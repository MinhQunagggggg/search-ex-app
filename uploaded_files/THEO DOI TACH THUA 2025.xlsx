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725" yWindow="240" windowWidth="6585" windowHeight="13140" tabRatio="842" activeTab="9"/>
  </bookViews>
  <sheets>
    <sheet name="P1-HTH" sheetId="4" r:id="rId1"/>
    <sheet name="P3-TTH" sheetId="6" r:id="rId2"/>
    <sheet name="P4-CRL" sheetId="7" r:id="rId3"/>
    <sheet name="P5-HH" sheetId="8" r:id="rId4"/>
    <sheet name="P8-VL" sheetId="9" r:id="rId5"/>
    <sheet name="P9-VTI" sheetId="10" r:id="rId6"/>
    <sheet name="TAN-TL" sheetId="11" r:id="rId7"/>
    <sheet name="TNGAI-HTI" sheetId="12" r:id="rId8"/>
    <sheet name="THOA-RCTH" sheetId="13" r:id="rId9"/>
    <sheet name="Giao Tách thửa CN" sheetId="17" r:id="rId10"/>
    <sheet name="Năm 2025 - ĐĐ" sheetId="16" r:id="rId11"/>
    <sheet name="THOI-VH" sheetId="14" r:id="rId12"/>
    <sheet name="Sheet1" sheetId="15" r:id="rId13"/>
  </sheets>
  <definedNames>
    <definedName name="_xlnm._FilterDatabase" localSheetId="9" hidden="1">'Giao Tách thửa CN'!$A$2:$H$33</definedName>
    <definedName name="_xlnm._FilterDatabase" localSheetId="10" hidden="1">'Năm 2025 - ĐĐ'!$A$2:$T$423</definedName>
    <definedName name="_xlnm.Print_Titles" localSheetId="0">'P1-HTH'!$2:$2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89" i="14" l="1"/>
  <c r="Q89" i="14"/>
  <c r="P89" i="14"/>
  <c r="O89" i="14"/>
  <c r="N89" i="14"/>
  <c r="M89" i="14"/>
  <c r="K89" i="14"/>
  <c r="AD98" i="13"/>
  <c r="P98" i="13"/>
  <c r="O98" i="13"/>
  <c r="N98" i="13"/>
  <c r="M98" i="13"/>
  <c r="L98" i="13"/>
  <c r="K98" i="13"/>
  <c r="J98" i="13"/>
  <c r="AE140" i="12"/>
  <c r="Q140" i="12"/>
  <c r="P140" i="12"/>
  <c r="O140" i="12"/>
  <c r="N140" i="12"/>
  <c r="M140" i="12"/>
  <c r="L140" i="12"/>
  <c r="K140" i="12"/>
  <c r="K128" i="11"/>
  <c r="J128" i="11"/>
  <c r="AD128" i="11"/>
  <c r="P128" i="11"/>
  <c r="O128" i="11"/>
  <c r="N128" i="11"/>
  <c r="M128" i="11"/>
  <c r="L128" i="11"/>
  <c r="P109" i="10"/>
  <c r="AD109" i="10"/>
  <c r="O109" i="10"/>
  <c r="N109" i="10"/>
  <c r="M109" i="10"/>
  <c r="L109" i="10"/>
  <c r="K109" i="10"/>
  <c r="J109" i="10"/>
  <c r="M98" i="9"/>
  <c r="P98" i="9"/>
  <c r="L98" i="9"/>
  <c r="K98" i="9"/>
  <c r="J98" i="9"/>
  <c r="AD98" i="9"/>
  <c r="O98" i="9"/>
  <c r="N98" i="9"/>
  <c r="P121" i="8"/>
  <c r="K121" i="8"/>
  <c r="AD121" i="8"/>
  <c r="O121" i="8"/>
  <c r="N121" i="8"/>
  <c r="M121" i="8"/>
  <c r="L121" i="8"/>
  <c r="J121" i="8"/>
  <c r="J84" i="7"/>
  <c r="L84" i="7"/>
  <c r="AD84" i="7"/>
  <c r="P84" i="7"/>
  <c r="O84" i="7"/>
  <c r="N84" i="7"/>
  <c r="M84" i="7"/>
  <c r="K84" i="7"/>
  <c r="L203" i="6"/>
  <c r="AD203" i="6"/>
  <c r="P203" i="6"/>
  <c r="O203" i="6"/>
  <c r="N203" i="6"/>
  <c r="M203" i="6"/>
  <c r="K203" i="6"/>
  <c r="J203" i="6"/>
  <c r="P112" i="4"/>
  <c r="N112" i="4"/>
  <c r="L112" i="4"/>
  <c r="AD112" i="4"/>
  <c r="O112" i="4"/>
  <c r="M112" i="4"/>
  <c r="K112" i="4"/>
  <c r="J112" i="4"/>
  <c r="M87" i="14" l="1"/>
  <c r="AE87" i="14"/>
  <c r="Q87" i="14"/>
  <c r="P87" i="14"/>
  <c r="O87" i="14"/>
  <c r="N87" i="14"/>
  <c r="K87" i="14"/>
  <c r="AD94" i="13"/>
  <c r="P94" i="13"/>
  <c r="M94" i="13"/>
  <c r="K94" i="13"/>
  <c r="M134" i="12"/>
  <c r="L134" i="12"/>
  <c r="K134" i="12"/>
  <c r="AE134" i="12"/>
  <c r="Q134" i="12"/>
  <c r="P134" i="12"/>
  <c r="O134" i="12"/>
  <c r="N134" i="12"/>
  <c r="P118" i="11"/>
  <c r="L118" i="11"/>
  <c r="J118" i="11"/>
  <c r="AD118" i="11"/>
  <c r="O118" i="11"/>
  <c r="N118" i="11"/>
  <c r="M118" i="11"/>
  <c r="K118" i="11"/>
  <c r="L101" i="10"/>
  <c r="N101" i="10"/>
  <c r="J101" i="10"/>
  <c r="AD101" i="10"/>
  <c r="P101" i="10"/>
  <c r="O101" i="10"/>
  <c r="M101" i="10"/>
  <c r="K101" i="10"/>
  <c r="P93" i="9"/>
  <c r="N93" i="9"/>
  <c r="L93" i="9"/>
  <c r="K93" i="9"/>
  <c r="J93" i="9"/>
  <c r="AD93" i="9"/>
  <c r="O93" i="9"/>
  <c r="M93" i="9"/>
  <c r="P118" i="8"/>
  <c r="K118" i="8"/>
  <c r="AD118" i="8"/>
  <c r="O118" i="8"/>
  <c r="N118" i="8"/>
  <c r="M118" i="8"/>
  <c r="L118" i="8"/>
  <c r="J118" i="8"/>
  <c r="AD81" i="7"/>
  <c r="P81" i="7"/>
  <c r="O81" i="7"/>
  <c r="N81" i="7"/>
  <c r="M81" i="7"/>
  <c r="L81" i="7"/>
  <c r="K81" i="7"/>
  <c r="J81" i="7"/>
  <c r="L198" i="6"/>
  <c r="K198" i="6"/>
  <c r="J198" i="6"/>
  <c r="AD198" i="6"/>
  <c r="P198" i="6"/>
  <c r="O198" i="6"/>
  <c r="N198" i="6"/>
  <c r="M198" i="6"/>
  <c r="AD103" i="4"/>
  <c r="P103" i="4"/>
  <c r="O103" i="4"/>
  <c r="N103" i="4"/>
  <c r="M103" i="4"/>
  <c r="L103" i="4"/>
  <c r="K103" i="4"/>
  <c r="J103" i="4"/>
  <c r="K127" i="12" l="1"/>
  <c r="AE127" i="12"/>
  <c r="Q127" i="12"/>
  <c r="P127" i="12"/>
  <c r="O127" i="12"/>
  <c r="N127" i="12"/>
  <c r="M127" i="12"/>
  <c r="L127" i="12"/>
  <c r="L107" i="11"/>
  <c r="K107" i="11"/>
  <c r="J107" i="11"/>
  <c r="AD107" i="11"/>
  <c r="P107" i="11"/>
  <c r="M107" i="11"/>
  <c r="K93" i="10"/>
  <c r="AD93" i="10"/>
  <c r="P93" i="10"/>
  <c r="O93" i="10"/>
  <c r="N93" i="10"/>
  <c r="M93" i="10"/>
  <c r="L93" i="10"/>
  <c r="J80" i="9"/>
  <c r="P80" i="9"/>
  <c r="AD80" i="9"/>
  <c r="O80" i="9"/>
  <c r="N80" i="9"/>
  <c r="M80" i="9"/>
  <c r="L80" i="9"/>
  <c r="K80" i="9"/>
  <c r="J104" i="8"/>
  <c r="L104" i="8"/>
  <c r="P104" i="8"/>
  <c r="K104" i="8"/>
  <c r="AD104" i="8"/>
  <c r="O104" i="8"/>
  <c r="N104" i="8"/>
  <c r="M104" i="8"/>
  <c r="AD78" i="7"/>
  <c r="P78" i="7"/>
  <c r="O78" i="7"/>
  <c r="N78" i="7"/>
  <c r="M78" i="7"/>
  <c r="L78" i="7"/>
  <c r="K78" i="7"/>
  <c r="J78" i="7"/>
  <c r="AD184" i="6"/>
  <c r="P184" i="6"/>
  <c r="O184" i="6"/>
  <c r="N184" i="6"/>
  <c r="M184" i="6"/>
  <c r="L184" i="6"/>
  <c r="K184" i="6"/>
  <c r="J184" i="6"/>
  <c r="AD100" i="4"/>
  <c r="P100" i="4"/>
  <c r="O100" i="4"/>
  <c r="N100" i="4"/>
  <c r="M100" i="4"/>
  <c r="L100" i="4"/>
  <c r="K100" i="4"/>
  <c r="J100" i="4"/>
  <c r="L84" i="14" l="1"/>
  <c r="K84" i="14"/>
  <c r="AE84" i="14"/>
  <c r="Q84" i="14"/>
  <c r="P84" i="14"/>
  <c r="O84" i="14"/>
  <c r="N84" i="14"/>
  <c r="M84" i="14"/>
  <c r="K89" i="13"/>
  <c r="AD89" i="13"/>
  <c r="P89" i="13"/>
  <c r="M89" i="13"/>
  <c r="M124" i="12"/>
  <c r="L124" i="12"/>
  <c r="K124" i="12"/>
  <c r="AE124" i="12"/>
  <c r="Q124" i="12"/>
  <c r="P124" i="12"/>
  <c r="O124" i="12"/>
  <c r="N124" i="12"/>
  <c r="P97" i="11"/>
  <c r="AD97" i="11"/>
  <c r="M97" i="11"/>
  <c r="L97" i="11"/>
  <c r="K89" i="10"/>
  <c r="AD89" i="10"/>
  <c r="P89" i="10"/>
  <c r="O89" i="10"/>
  <c r="N89" i="10"/>
  <c r="M89" i="10"/>
  <c r="L89" i="10"/>
  <c r="J89" i="10"/>
  <c r="J93" i="10" s="1"/>
  <c r="P78" i="9"/>
  <c r="J78" i="9"/>
  <c r="AD78" i="9"/>
  <c r="O78" i="9"/>
  <c r="N78" i="9"/>
  <c r="M78" i="9"/>
  <c r="L78" i="9"/>
  <c r="K78" i="9"/>
  <c r="P102" i="8"/>
  <c r="L102" i="8"/>
  <c r="K102" i="8"/>
  <c r="J102" i="8"/>
  <c r="AD102" i="8"/>
  <c r="O102" i="8"/>
  <c r="N102" i="8"/>
  <c r="M102" i="8"/>
  <c r="P75" i="7"/>
  <c r="AD75" i="7"/>
  <c r="P177" i="6"/>
  <c r="L177" i="6"/>
  <c r="AD177" i="6"/>
  <c r="O177" i="6"/>
  <c r="N177" i="6"/>
  <c r="M177" i="6"/>
  <c r="K177" i="6"/>
  <c r="J177" i="6"/>
  <c r="P98" i="4"/>
  <c r="AD98" i="4"/>
  <c r="O98" i="4"/>
  <c r="N98" i="4"/>
  <c r="M98" i="4"/>
  <c r="L98" i="4"/>
  <c r="K98" i="4"/>
  <c r="J98" i="4"/>
  <c r="Q79" i="14" l="1"/>
  <c r="N79" i="14"/>
  <c r="K79" i="14"/>
  <c r="AE79" i="14"/>
  <c r="P79" i="14"/>
  <c r="O79" i="14"/>
  <c r="M79" i="14"/>
  <c r="L79" i="14"/>
  <c r="K84" i="13"/>
  <c r="AD84" i="13"/>
  <c r="M84" i="13"/>
  <c r="K122" i="12"/>
  <c r="AE122" i="12"/>
  <c r="Q122" i="12"/>
  <c r="P122" i="12"/>
  <c r="O122" i="12"/>
  <c r="N122" i="12"/>
  <c r="M122" i="12"/>
  <c r="L122" i="12"/>
  <c r="K90" i="11"/>
  <c r="K97" i="11" s="1"/>
  <c r="J90" i="11"/>
  <c r="J97" i="11" s="1"/>
  <c r="AD90" i="11"/>
  <c r="P90" i="11"/>
  <c r="M90" i="11"/>
  <c r="L90" i="11"/>
  <c r="P82" i="10"/>
  <c r="K82" i="10"/>
  <c r="J82" i="10"/>
  <c r="AD82" i="10"/>
  <c r="O82" i="10"/>
  <c r="N82" i="10"/>
  <c r="M82" i="10"/>
  <c r="L82" i="10"/>
  <c r="P72" i="9"/>
  <c r="L72" i="9"/>
  <c r="AD72" i="9"/>
  <c r="O72" i="9"/>
  <c r="N72" i="9"/>
  <c r="M72" i="9"/>
  <c r="K72" i="9"/>
  <c r="J72" i="9"/>
  <c r="AD92" i="8"/>
  <c r="P92" i="8"/>
  <c r="O92" i="8"/>
  <c r="N92" i="8"/>
  <c r="M92" i="8"/>
  <c r="L92" i="8"/>
  <c r="K92" i="8"/>
  <c r="J92" i="8"/>
  <c r="M72" i="7"/>
  <c r="M75" i="7" s="1"/>
  <c r="AD72" i="7"/>
  <c r="P72" i="7"/>
  <c r="K72" i="7"/>
  <c r="K75" i="7" s="1"/>
  <c r="J72" i="7"/>
  <c r="J75" i="7" s="1"/>
  <c r="K171" i="6"/>
  <c r="J171" i="6"/>
  <c r="AD171" i="6"/>
  <c r="P171" i="6"/>
  <c r="O171" i="6"/>
  <c r="N171" i="6"/>
  <c r="M171" i="6"/>
  <c r="L171" i="6"/>
  <c r="P93" i="4"/>
  <c r="L93" i="4"/>
  <c r="K93" i="4"/>
  <c r="AD93" i="4"/>
  <c r="O93" i="4"/>
  <c r="N93" i="4"/>
  <c r="M93" i="4"/>
  <c r="J93" i="4"/>
  <c r="N76" i="14" l="1"/>
  <c r="Q76" i="14"/>
  <c r="M76" i="14"/>
  <c r="K76" i="14"/>
  <c r="AE76" i="14"/>
  <c r="P76" i="14"/>
  <c r="O76" i="14"/>
  <c r="L76" i="14"/>
  <c r="L82" i="13"/>
  <c r="K82" i="13"/>
  <c r="J82" i="13"/>
  <c r="AD82" i="13"/>
  <c r="P82" i="13"/>
  <c r="P84" i="13" s="1"/>
  <c r="N82" i="13"/>
  <c r="N84" i="13" s="1"/>
  <c r="N89" i="13" s="1"/>
  <c r="N94" i="13" s="1"/>
  <c r="M82" i="13"/>
  <c r="AE114" i="12"/>
  <c r="Q114" i="12"/>
  <c r="P114" i="12"/>
  <c r="O114" i="12"/>
  <c r="N114" i="12"/>
  <c r="M114" i="12"/>
  <c r="L114" i="12"/>
  <c r="K114" i="12"/>
  <c r="L81" i="11"/>
  <c r="K81" i="11"/>
  <c r="AD81" i="11"/>
  <c r="P81" i="11"/>
  <c r="M81" i="11"/>
  <c r="P77" i="10"/>
  <c r="L77" i="10"/>
  <c r="J77" i="10"/>
  <c r="AD77" i="10"/>
  <c r="O77" i="10"/>
  <c r="N77" i="10"/>
  <c r="M77" i="10"/>
  <c r="K77" i="10"/>
  <c r="P68" i="9"/>
  <c r="L68" i="9"/>
  <c r="K68" i="9"/>
  <c r="AD68" i="9"/>
  <c r="O68" i="9"/>
  <c r="N68" i="9"/>
  <c r="M68" i="9"/>
  <c r="J68" i="9"/>
  <c r="P89" i="8"/>
  <c r="L89" i="8"/>
  <c r="AD89" i="8"/>
  <c r="O89" i="8"/>
  <c r="N89" i="8"/>
  <c r="M89" i="8"/>
  <c r="K89" i="8"/>
  <c r="J89" i="8"/>
  <c r="L68" i="7"/>
  <c r="L72" i="7" s="1"/>
  <c r="L75" i="7" s="1"/>
  <c r="AD68" i="7"/>
  <c r="P68" i="7"/>
  <c r="K68" i="7"/>
  <c r="J68" i="7"/>
  <c r="P163" i="6"/>
  <c r="L163" i="6"/>
  <c r="J163" i="6"/>
  <c r="AD163" i="6"/>
  <c r="O163" i="6"/>
  <c r="N163" i="6"/>
  <c r="M163" i="6"/>
  <c r="P89" i="4"/>
  <c r="L89" i="4"/>
  <c r="K89" i="4"/>
  <c r="J89" i="4"/>
  <c r="AD89" i="4"/>
  <c r="O89" i="4"/>
  <c r="N89" i="4"/>
  <c r="M89" i="4"/>
  <c r="J84" i="13" l="1"/>
  <c r="J89" i="13" s="1"/>
  <c r="J94" i="13" s="1"/>
  <c r="L84" i="13"/>
  <c r="L89" i="13" s="1"/>
  <c r="L94" i="13" s="1"/>
  <c r="Q68" i="14"/>
  <c r="K68" i="14"/>
  <c r="AE68" i="14"/>
  <c r="P68" i="14"/>
  <c r="O68" i="14"/>
  <c r="N68" i="14"/>
  <c r="M68" i="14"/>
  <c r="K73" i="13"/>
  <c r="J73" i="13"/>
  <c r="AD73" i="13"/>
  <c r="P73" i="13"/>
  <c r="N73" i="13"/>
  <c r="M73" i="13"/>
  <c r="L73" i="13"/>
  <c r="Q108" i="12"/>
  <c r="O108" i="12"/>
  <c r="N108" i="12"/>
  <c r="M108" i="12"/>
  <c r="K108" i="12"/>
  <c r="AE108" i="12"/>
  <c r="P108" i="12"/>
  <c r="L108" i="12"/>
  <c r="P75" i="11"/>
  <c r="M75" i="11"/>
  <c r="L75" i="11"/>
  <c r="AD75" i="11"/>
  <c r="K75" i="11"/>
  <c r="J63" i="10"/>
  <c r="AD63" i="10"/>
  <c r="P63" i="10"/>
  <c r="O63" i="10"/>
  <c r="N63" i="10"/>
  <c r="M63" i="10"/>
  <c r="L63" i="10"/>
  <c r="K63" i="10"/>
  <c r="P61" i="9"/>
  <c r="AD61" i="9"/>
  <c r="O61" i="9"/>
  <c r="N61" i="9"/>
  <c r="M61" i="9"/>
  <c r="L61" i="9"/>
  <c r="K61" i="9"/>
  <c r="J61" i="9"/>
  <c r="P84" i="8"/>
  <c r="M84" i="8"/>
  <c r="L84" i="8"/>
  <c r="AD84" i="8"/>
  <c r="O84" i="8"/>
  <c r="N84" i="8"/>
  <c r="K84" i="8"/>
  <c r="J84" i="8"/>
  <c r="P61" i="7"/>
  <c r="AD61" i="7"/>
  <c r="AD154" i="6"/>
  <c r="P154" i="6"/>
  <c r="O154" i="6"/>
  <c r="N154" i="6"/>
  <c r="M154" i="6"/>
  <c r="L154" i="6"/>
  <c r="K154" i="6"/>
  <c r="K163" i="6" s="1"/>
  <c r="J154" i="6"/>
  <c r="J78" i="4"/>
  <c r="AD78" i="4"/>
  <c r="P78" i="4"/>
  <c r="O78" i="4"/>
  <c r="N78" i="4"/>
  <c r="M78" i="4"/>
  <c r="L78" i="4"/>
  <c r="K78" i="4"/>
  <c r="Q65" i="14" l="1"/>
  <c r="AE65" i="14"/>
  <c r="P65" i="14"/>
  <c r="O65" i="14"/>
  <c r="N65" i="14"/>
  <c r="M65" i="14"/>
  <c r="L65" i="14"/>
  <c r="L68" i="14" s="1"/>
  <c r="K65" i="14"/>
  <c r="K67" i="13"/>
  <c r="AD67" i="13"/>
  <c r="P67" i="13"/>
  <c r="M67" i="13"/>
  <c r="Q102" i="12"/>
  <c r="O102" i="12"/>
  <c r="N102" i="12"/>
  <c r="L102" i="12"/>
  <c r="K102" i="12"/>
  <c r="AE102" i="12"/>
  <c r="P102" i="12"/>
  <c r="M102" i="12"/>
  <c r="J69" i="11"/>
  <c r="J75" i="11" s="1"/>
  <c r="J81" i="11" s="1"/>
  <c r="AD69" i="11"/>
  <c r="P69" i="11"/>
  <c r="L69" i="11"/>
  <c r="K69" i="11"/>
  <c r="O56" i="10"/>
  <c r="J56" i="10"/>
  <c r="AD56" i="10"/>
  <c r="P56" i="10"/>
  <c r="N56" i="10"/>
  <c r="M56" i="10"/>
  <c r="L56" i="10"/>
  <c r="K56" i="10"/>
  <c r="AD58" i="9"/>
  <c r="P58" i="9"/>
  <c r="O58" i="9"/>
  <c r="N58" i="9"/>
  <c r="M58" i="9"/>
  <c r="L58" i="9"/>
  <c r="K58" i="9"/>
  <c r="J58" i="9"/>
  <c r="P75" i="8"/>
  <c r="L75" i="8"/>
  <c r="M75" i="8"/>
  <c r="AD75" i="8"/>
  <c r="O75" i="8"/>
  <c r="N75" i="8"/>
  <c r="K75" i="8"/>
  <c r="J75" i="8"/>
  <c r="P58" i="7"/>
  <c r="L58" i="7"/>
  <c r="L61" i="7" s="1"/>
  <c r="AD58" i="7"/>
  <c r="K58" i="7"/>
  <c r="K61" i="7" s="1"/>
  <c r="J58" i="7"/>
  <c r="J61" i="7" s="1"/>
  <c r="P145" i="6"/>
  <c r="O145" i="6"/>
  <c r="J145" i="6"/>
  <c r="AD145" i="6"/>
  <c r="N145" i="6"/>
  <c r="M145" i="6"/>
  <c r="L145" i="6"/>
  <c r="K145" i="6"/>
  <c r="J74" i="4"/>
  <c r="AD74" i="4"/>
  <c r="P74" i="4"/>
  <c r="O74" i="4"/>
  <c r="N74" i="4"/>
  <c r="M74" i="4"/>
  <c r="L74" i="4"/>
  <c r="K74" i="4"/>
  <c r="AD72" i="4" l="1"/>
  <c r="P72" i="4"/>
  <c r="O72" i="4"/>
  <c r="N72" i="4"/>
  <c r="M72" i="4"/>
  <c r="L72" i="4"/>
  <c r="K72" i="4"/>
  <c r="J72" i="4"/>
  <c r="L55" i="14" l="1"/>
  <c r="K55" i="14"/>
  <c r="AE55" i="14"/>
  <c r="Q55" i="14"/>
  <c r="O55" i="14"/>
  <c r="N55" i="14"/>
  <c r="M55" i="14"/>
  <c r="K63" i="13"/>
  <c r="J63" i="13"/>
  <c r="J67" i="13" s="1"/>
  <c r="AD63" i="13"/>
  <c r="P63" i="13"/>
  <c r="N63" i="13"/>
  <c r="N67" i="13" s="1"/>
  <c r="M63" i="13"/>
  <c r="L63" i="13"/>
  <c r="L67" i="13" s="1"/>
  <c r="L93" i="12"/>
  <c r="AE93" i="12"/>
  <c r="Q93" i="12"/>
  <c r="P93" i="12"/>
  <c r="O93" i="12"/>
  <c r="N93" i="12"/>
  <c r="M93" i="12"/>
  <c r="K93" i="12"/>
  <c r="P62" i="11"/>
  <c r="AD62" i="11"/>
  <c r="P52" i="10"/>
  <c r="L52" i="10"/>
  <c r="AD52" i="10"/>
  <c r="O52" i="10"/>
  <c r="N52" i="10"/>
  <c r="M52" i="10"/>
  <c r="K52" i="10"/>
  <c r="J52" i="10"/>
  <c r="N55" i="9"/>
  <c r="K55" i="9"/>
  <c r="AD55" i="9"/>
  <c r="P55" i="9"/>
  <c r="O55" i="9"/>
  <c r="M55" i="9"/>
  <c r="L55" i="9"/>
  <c r="J55" i="9"/>
  <c r="P72" i="8"/>
  <c r="AD72" i="8"/>
  <c r="O72" i="8"/>
  <c r="N72" i="8"/>
  <c r="M72" i="8"/>
  <c r="L72" i="8"/>
  <c r="K72" i="8"/>
  <c r="J72" i="8"/>
  <c r="P51" i="7"/>
  <c r="AD51" i="7"/>
  <c r="L51" i="7"/>
  <c r="K51" i="7"/>
  <c r="J51" i="7"/>
  <c r="P138" i="6"/>
  <c r="O138" i="6"/>
  <c r="N138" i="6"/>
  <c r="J138" i="6"/>
  <c r="AD138" i="6"/>
  <c r="M138" i="6"/>
  <c r="L138" i="6"/>
  <c r="K138" i="6"/>
  <c r="P67" i="4"/>
  <c r="N67" i="4"/>
  <c r="AD67" i="4"/>
  <c r="O67" i="4"/>
  <c r="M67" i="4"/>
  <c r="L67" i="4"/>
  <c r="K67" i="4"/>
  <c r="J67" i="4"/>
  <c r="O47" i="14" l="1"/>
  <c r="AE47" i="14"/>
  <c r="N47" i="14"/>
  <c r="P55" i="13"/>
  <c r="AD55" i="13"/>
  <c r="M55" i="13"/>
  <c r="L58" i="11"/>
  <c r="L62" i="11" s="1"/>
  <c r="K58" i="11"/>
  <c r="K62" i="11" s="1"/>
  <c r="J58" i="11"/>
  <c r="J62" i="11" s="1"/>
  <c r="AD58" i="11"/>
  <c r="N47" i="10"/>
  <c r="L47" i="10"/>
  <c r="J47" i="10"/>
  <c r="AD47" i="10"/>
  <c r="P47" i="10"/>
  <c r="O47" i="10"/>
  <c r="M47" i="10"/>
  <c r="K47" i="10"/>
  <c r="P65" i="8"/>
  <c r="M65" i="8"/>
  <c r="K65" i="8"/>
  <c r="AD65" i="8"/>
  <c r="O65" i="8"/>
  <c r="N65" i="8"/>
  <c r="L65" i="8"/>
  <c r="J65" i="8"/>
  <c r="L47" i="7"/>
  <c r="K47" i="7"/>
  <c r="J47" i="7"/>
  <c r="AD47" i="7"/>
  <c r="M126" i="6"/>
  <c r="P126" i="6"/>
  <c r="L126" i="6"/>
  <c r="K126" i="6"/>
  <c r="AD126" i="6"/>
  <c r="O126" i="6"/>
  <c r="J126" i="6"/>
  <c r="N63" i="4"/>
  <c r="M63" i="4"/>
  <c r="L63" i="4"/>
  <c r="O63" i="4"/>
  <c r="P63" i="4"/>
  <c r="K63" i="4"/>
  <c r="AD63" i="4"/>
  <c r="J63" i="4"/>
  <c r="Q44" i="14" l="1"/>
  <c r="Q47" i="14" s="1"/>
  <c r="M44" i="14"/>
  <c r="M47" i="14" s="1"/>
  <c r="L44" i="14"/>
  <c r="L47" i="14" s="1"/>
  <c r="K44" i="14"/>
  <c r="K47" i="14" s="1"/>
  <c r="AE44" i="14"/>
  <c r="O44" i="14"/>
  <c r="N44" i="14"/>
  <c r="P52" i="13"/>
  <c r="N52" i="13"/>
  <c r="N55" i="13" s="1"/>
  <c r="L52" i="13"/>
  <c r="L55" i="13" s="1"/>
  <c r="K52" i="13"/>
  <c r="J52" i="13"/>
  <c r="J55" i="13" s="1"/>
  <c r="AD52" i="13"/>
  <c r="M52" i="13"/>
  <c r="Q91" i="12"/>
  <c r="M91" i="12"/>
  <c r="L91" i="12"/>
  <c r="K91" i="12"/>
  <c r="AE91" i="12"/>
  <c r="P91" i="12"/>
  <c r="O91" i="12"/>
  <c r="N91" i="12"/>
  <c r="J53" i="11"/>
  <c r="AD53" i="11"/>
  <c r="L44" i="10"/>
  <c r="K44" i="10"/>
  <c r="J44" i="10"/>
  <c r="AD44" i="10"/>
  <c r="P44" i="10"/>
  <c r="O44" i="10"/>
  <c r="N44" i="10"/>
  <c r="M44" i="10"/>
  <c r="P53" i="9"/>
  <c r="N53" i="9"/>
  <c r="L53" i="9"/>
  <c r="K53" i="9"/>
  <c r="J53" i="9"/>
  <c r="AD53" i="9"/>
  <c r="O53" i="9"/>
  <c r="M53" i="9"/>
  <c r="P63" i="8"/>
  <c r="L63" i="8"/>
  <c r="K63" i="8"/>
  <c r="J63" i="8"/>
  <c r="AD63" i="8"/>
  <c r="O63" i="8"/>
  <c r="N63" i="8"/>
  <c r="M63" i="8"/>
  <c r="P43" i="7"/>
  <c r="P47" i="7" s="1"/>
  <c r="N43" i="7"/>
  <c r="N47" i="7" s="1"/>
  <c r="N51" i="7" s="1"/>
  <c r="N58" i="7" s="1"/>
  <c r="N61" i="7" s="1"/>
  <c r="N68" i="7" s="1"/>
  <c r="M43" i="7"/>
  <c r="M47" i="7" s="1"/>
  <c r="M51" i="7" s="1"/>
  <c r="M58" i="7" s="1"/>
  <c r="M61" i="7" s="1"/>
  <c r="M68" i="7" s="1"/>
  <c r="L43" i="7"/>
  <c r="K43" i="7"/>
  <c r="J43" i="7"/>
  <c r="AD43" i="7"/>
  <c r="P116" i="6"/>
  <c r="L116" i="6"/>
  <c r="K116" i="6"/>
  <c r="J116" i="6"/>
  <c r="AD116" i="6"/>
  <c r="O116" i="6"/>
  <c r="M116" i="6"/>
  <c r="P61" i="4"/>
  <c r="O61" i="4"/>
  <c r="N61" i="4"/>
  <c r="M61" i="4"/>
  <c r="L61" i="4"/>
  <c r="K61" i="4"/>
  <c r="J61" i="4"/>
  <c r="AD61" i="4"/>
  <c r="N72" i="7" l="1"/>
  <c r="N75" i="7" s="1"/>
  <c r="K39" i="14"/>
  <c r="AE39" i="14"/>
  <c r="Q39" i="14"/>
  <c r="P39" i="14"/>
  <c r="O39" i="14"/>
  <c r="N39" i="14"/>
  <c r="M39" i="14"/>
  <c r="L39" i="14"/>
  <c r="P46" i="13"/>
  <c r="N46" i="13"/>
  <c r="L46" i="13"/>
  <c r="K46" i="13"/>
  <c r="J46" i="13"/>
  <c r="AD46" i="13"/>
  <c r="O46" i="13"/>
  <c r="M46" i="13"/>
  <c r="Q79" i="12"/>
  <c r="M79" i="12"/>
  <c r="L79" i="12"/>
  <c r="K79" i="12"/>
  <c r="AE79" i="12"/>
  <c r="P79" i="12"/>
  <c r="O79" i="12"/>
  <c r="N79" i="12"/>
  <c r="L43" i="11"/>
  <c r="L53" i="11" s="1"/>
  <c r="K43" i="11"/>
  <c r="K53" i="11" s="1"/>
  <c r="J43" i="11"/>
  <c r="AD43" i="11"/>
  <c r="P43" i="11"/>
  <c r="P53" i="11" s="1"/>
  <c r="P58" i="11" s="1"/>
  <c r="O43" i="11"/>
  <c r="O53" i="11" s="1"/>
  <c r="N43" i="11"/>
  <c r="N53" i="11" s="1"/>
  <c r="M43" i="11"/>
  <c r="M53" i="11" s="1"/>
  <c r="P36" i="10"/>
  <c r="N36" i="10"/>
  <c r="M36" i="10"/>
  <c r="L36" i="10"/>
  <c r="K36" i="10"/>
  <c r="J36" i="10"/>
  <c r="AD36" i="10"/>
  <c r="O36" i="10"/>
  <c r="P48" i="9"/>
  <c r="O48" i="9"/>
  <c r="N48" i="9"/>
  <c r="L48" i="9"/>
  <c r="K48" i="9"/>
  <c r="J48" i="9"/>
  <c r="AD48" i="9"/>
  <c r="M48" i="9"/>
  <c r="P55" i="8"/>
  <c r="M55" i="8"/>
  <c r="L55" i="8"/>
  <c r="K55" i="8"/>
  <c r="J55" i="8"/>
  <c r="AD55" i="8"/>
  <c r="O55" i="8"/>
  <c r="N55" i="8"/>
  <c r="P35" i="7"/>
  <c r="L35" i="7"/>
  <c r="K35" i="7"/>
  <c r="J35" i="7"/>
  <c r="AD35" i="7"/>
  <c r="O35" i="7"/>
  <c r="O43" i="7" s="1"/>
  <c r="N35" i="7"/>
  <c r="M35" i="7"/>
  <c r="P47" i="4"/>
  <c r="N47" i="4"/>
  <c r="M47" i="4"/>
  <c r="L47" i="4"/>
  <c r="K47" i="4"/>
  <c r="J47" i="4"/>
  <c r="AD47" i="4"/>
  <c r="O47" i="4"/>
  <c r="P102" i="6"/>
  <c r="O102" i="6"/>
  <c r="N102" i="6"/>
  <c r="L102" i="6"/>
  <c r="K102" i="6"/>
  <c r="J102" i="6"/>
  <c r="AD102" i="6"/>
  <c r="M102" i="6"/>
  <c r="O52" i="13" l="1"/>
  <c r="O55" i="13" s="1"/>
  <c r="O63" i="13" s="1"/>
  <c r="O58" i="11"/>
  <c r="N58" i="11"/>
  <c r="M58" i="11"/>
  <c r="O47" i="7"/>
  <c r="P44" i="14"/>
  <c r="Q18" i="14"/>
  <c r="P18" i="14"/>
  <c r="M18" i="14"/>
  <c r="L18" i="14"/>
  <c r="K18" i="14"/>
  <c r="AE146" i="14"/>
  <c r="Q146" i="14"/>
  <c r="P146" i="14"/>
  <c r="O146" i="14"/>
  <c r="N146" i="14"/>
  <c r="M146" i="14"/>
  <c r="AE18" i="14"/>
  <c r="O18" i="14"/>
  <c r="N18" i="14"/>
  <c r="O19" i="13"/>
  <c r="P19" i="13"/>
  <c r="L19" i="13"/>
  <c r="K19" i="13"/>
  <c r="J19" i="13"/>
  <c r="AD19" i="13"/>
  <c r="N19" i="13"/>
  <c r="M19" i="13"/>
  <c r="Q45" i="12"/>
  <c r="P45" i="12"/>
  <c r="M45" i="12"/>
  <c r="L45" i="12"/>
  <c r="K45" i="12"/>
  <c r="AE45" i="12"/>
  <c r="O45" i="12"/>
  <c r="N45" i="12"/>
  <c r="J31" i="11"/>
  <c r="P31" i="11"/>
  <c r="P137" i="11" s="1"/>
  <c r="O31" i="11"/>
  <c r="N31" i="11"/>
  <c r="M31" i="11"/>
  <c r="L31" i="11"/>
  <c r="L137" i="11" s="1"/>
  <c r="K31" i="11"/>
  <c r="K137" i="11" s="1"/>
  <c r="AD31" i="11"/>
  <c r="P22" i="10"/>
  <c r="O22" i="10"/>
  <c r="L22" i="10"/>
  <c r="K22" i="10"/>
  <c r="J22" i="10"/>
  <c r="AD22" i="10"/>
  <c r="N22" i="10"/>
  <c r="M22" i="10"/>
  <c r="P27" i="9"/>
  <c r="O27" i="9"/>
  <c r="K27" i="9"/>
  <c r="J27" i="9"/>
  <c r="AD27" i="9"/>
  <c r="N27" i="9"/>
  <c r="M27" i="9"/>
  <c r="L27" i="9"/>
  <c r="P20" i="7"/>
  <c r="O20" i="7"/>
  <c r="N20" i="7"/>
  <c r="M20" i="7"/>
  <c r="L20" i="7"/>
  <c r="J20" i="7"/>
  <c r="AD20" i="7"/>
  <c r="P49" i="6"/>
  <c r="O49" i="6"/>
  <c r="L49" i="6"/>
  <c r="K49" i="6"/>
  <c r="J49" i="6"/>
  <c r="AD49" i="6"/>
  <c r="N49" i="6"/>
  <c r="M49" i="6"/>
  <c r="P38" i="8"/>
  <c r="O38" i="8"/>
  <c r="M38" i="8"/>
  <c r="K38" i="8"/>
  <c r="J38" i="8"/>
  <c r="AD38" i="8"/>
  <c r="N38" i="8"/>
  <c r="L38" i="8"/>
  <c r="O67" i="13" l="1"/>
  <c r="O73" i="13" s="1"/>
  <c r="O82" i="13" s="1"/>
  <c r="N62" i="11"/>
  <c r="N69" i="11" s="1"/>
  <c r="N75" i="11" s="1"/>
  <c r="N81" i="11" s="1"/>
  <c r="N90" i="11" s="1"/>
  <c r="N97" i="11" s="1"/>
  <c r="N107" i="11" s="1"/>
  <c r="M69" i="11"/>
  <c r="O69" i="11"/>
  <c r="O75" i="11" s="1"/>
  <c r="O81" i="11" s="1"/>
  <c r="O90" i="11" s="1"/>
  <c r="O97" i="11" s="1"/>
  <c r="O107" i="11" s="1"/>
  <c r="M62" i="11"/>
  <c r="O62" i="11"/>
  <c r="O51" i="7"/>
  <c r="P47" i="14"/>
  <c r="P55" i="14" s="1"/>
  <c r="P25" i="4"/>
  <c r="L25" i="4"/>
  <c r="AD25" i="4"/>
  <c r="O25" i="4"/>
  <c r="N25" i="4"/>
  <c r="M25" i="4"/>
  <c r="K25" i="4"/>
  <c r="J25" i="4"/>
  <c r="O84" i="13" l="1"/>
  <c r="O58" i="7"/>
  <c r="O8" i="13"/>
  <c r="P8" i="13"/>
  <c r="O89" i="13" l="1"/>
  <c r="O94" i="13" s="1"/>
  <c r="O61" i="7"/>
  <c r="L5" i="14"/>
  <c r="AE5" i="14"/>
  <c r="Q5" i="14"/>
  <c r="P5" i="14"/>
  <c r="O5" i="14"/>
  <c r="N5" i="14"/>
  <c r="M5" i="14"/>
  <c r="L8" i="13"/>
  <c r="K8" i="13"/>
  <c r="J8" i="13"/>
  <c r="AD8" i="13"/>
  <c r="N8" i="13"/>
  <c r="M8" i="13"/>
  <c r="Q27" i="12"/>
  <c r="P27" i="12"/>
  <c r="M27" i="12"/>
  <c r="L27" i="12"/>
  <c r="K27" i="12"/>
  <c r="AE27" i="12"/>
  <c r="O27" i="12"/>
  <c r="N27" i="12"/>
  <c r="P19" i="11"/>
  <c r="O19" i="11"/>
  <c r="L19" i="11"/>
  <c r="K19" i="11"/>
  <c r="O68" i="7" l="1"/>
  <c r="J19" i="11"/>
  <c r="AD19" i="11"/>
  <c r="N19" i="11"/>
  <c r="M19" i="11"/>
  <c r="P12" i="10"/>
  <c r="O12" i="10"/>
  <c r="N12" i="10"/>
  <c r="L12" i="10"/>
  <c r="K12" i="10"/>
  <c r="AD12" i="10"/>
  <c r="M12" i="10"/>
  <c r="P15" i="9"/>
  <c r="O15" i="9"/>
  <c r="L15" i="9"/>
  <c r="K15" i="9"/>
  <c r="J15" i="9"/>
  <c r="AD15" i="9"/>
  <c r="N15" i="9"/>
  <c r="M15" i="9"/>
  <c r="P20" i="8"/>
  <c r="O20" i="8"/>
  <c r="L20" i="8"/>
  <c r="K20" i="8"/>
  <c r="J20" i="8"/>
  <c r="AD20" i="8"/>
  <c r="N20" i="8"/>
  <c r="M20" i="8"/>
  <c r="P8" i="7"/>
  <c r="L8" i="7"/>
  <c r="AD8" i="7"/>
  <c r="O8" i="7"/>
  <c r="N8" i="7"/>
  <c r="M8" i="7"/>
  <c r="K8" i="7"/>
  <c r="J8" i="7"/>
  <c r="P27" i="6"/>
  <c r="L27" i="6"/>
  <c r="K27" i="6"/>
  <c r="J27" i="6"/>
  <c r="AD27" i="6"/>
  <c r="O27" i="6"/>
  <c r="N27" i="6"/>
  <c r="M27" i="6"/>
  <c r="AD15" i="4"/>
  <c r="N15" i="4"/>
  <c r="M15" i="4"/>
  <c r="L15" i="4"/>
  <c r="O72" i="7" l="1"/>
  <c r="O75" i="7" s="1"/>
  <c r="P184" i="13"/>
  <c r="Q156" i="12"/>
  <c r="P126" i="10"/>
  <c r="P142" i="8"/>
  <c r="P104" i="7"/>
  <c r="P221" i="6"/>
  <c r="P9" i="4"/>
  <c r="P15" i="4" s="1"/>
  <c r="AD184" i="13" l="1"/>
  <c r="O184" i="13"/>
  <c r="N184" i="13"/>
  <c r="M184" i="13"/>
  <c r="L184" i="13"/>
  <c r="J184" i="13"/>
  <c r="AE156" i="12"/>
  <c r="P156" i="12"/>
  <c r="O156" i="12"/>
  <c r="N156" i="12"/>
  <c r="M156" i="12"/>
  <c r="L156" i="12"/>
  <c r="K156" i="12"/>
  <c r="AD137" i="11"/>
  <c r="O137" i="11"/>
  <c r="N137" i="11"/>
  <c r="M137" i="11"/>
  <c r="AD126" i="10"/>
  <c r="O126" i="10"/>
  <c r="N126" i="10"/>
  <c r="M126" i="10"/>
  <c r="L126" i="10"/>
  <c r="K126" i="10"/>
  <c r="AD159" i="9"/>
  <c r="O159" i="9"/>
  <c r="N159" i="9"/>
  <c r="M159" i="9"/>
  <c r="L159" i="9"/>
  <c r="K159" i="9"/>
  <c r="J159" i="9"/>
  <c r="AD142" i="8"/>
  <c r="O142" i="8"/>
  <c r="N142" i="8"/>
  <c r="M142" i="8"/>
  <c r="L142" i="8"/>
  <c r="K142" i="8"/>
  <c r="J142" i="8"/>
  <c r="AD104" i="7"/>
  <c r="O104" i="7"/>
  <c r="N104" i="7"/>
  <c r="M104" i="7"/>
  <c r="L104" i="7"/>
  <c r="J104" i="7"/>
  <c r="AD221" i="6"/>
  <c r="O221" i="6"/>
  <c r="N221" i="6"/>
  <c r="M221" i="6"/>
  <c r="L221" i="6"/>
  <c r="K221" i="6"/>
  <c r="J221" i="6"/>
  <c r="AD9" i="4"/>
  <c r="O9" i="4"/>
  <c r="O15" i="4" s="1"/>
  <c r="N9" i="4"/>
  <c r="M9" i="4"/>
  <c r="L9" i="4"/>
  <c r="K9" i="4"/>
  <c r="K15" i="4" s="1"/>
  <c r="J9" i="4"/>
  <c r="J15" i="4" s="1"/>
  <c r="J137" i="11"/>
  <c r="P159" i="9"/>
  <c r="K184" i="13"/>
  <c r="K55" i="13"/>
  <c r="N116" i="6"/>
  <c r="N126" i="6"/>
  <c r="K20" i="7"/>
  <c r="K104" i="7"/>
  <c r="J12" i="10"/>
  <c r="J126" i="10"/>
  <c r="L89" i="14"/>
  <c r="L87" i="14"/>
  <c r="L146" i="14"/>
  <c r="K5" i="14"/>
  <c r="K146" i="14"/>
</calcChain>
</file>

<file path=xl/sharedStrings.xml><?xml version="1.0" encoding="utf-8"?>
<sst xmlns="http://schemas.openxmlformats.org/spreadsheetml/2006/main" count="10543" uniqueCount="3327">
  <si>
    <t>STT</t>
  </si>
  <si>
    <t>XMDT</t>
  </si>
  <si>
    <t>CB ĐO</t>
  </si>
  <si>
    <t>TÁCH CMĐ</t>
  </si>
  <si>
    <t>TÁCH THỬA</t>
  </si>
  <si>
    <t>NGÀY NHẬN</t>
  </si>
  <si>
    <t>DT (m2)</t>
  </si>
  <si>
    <t>TBĐ</t>
  </si>
  <si>
    <t>CHÚ THÍCH</t>
  </si>
  <si>
    <t>XỨ ĐỒNG</t>
  </si>
  <si>
    <t>HỌ VÀ TÊN</t>
  </si>
  <si>
    <t>TÒA ÁN</t>
  </si>
  <si>
    <t>CẤP GCN (60CP)</t>
  </si>
  <si>
    <t>NGÀY GIAO TỔ XỬ LÝ HỒ SƠ</t>
  </si>
  <si>
    <t>NGÀY THỰC HIỆN THỦ TỤC</t>
  </si>
  <si>
    <t>SỐ ĐIỆN THOẠI</t>
  </si>
  <si>
    <t>THỬA ĐẤT</t>
  </si>
  <si>
    <t>LOẠI ĐẤT</t>
  </si>
  <si>
    <t>LÝ DO - NGÀY - NƠI TRẢ HS</t>
  </si>
  <si>
    <t xml:space="preserve">THÁN </t>
  </si>
  <si>
    <t>KẾT QUẢ TRÍCH ĐO</t>
  </si>
  <si>
    <t>SỐ THỬA TÁCH</t>
  </si>
  <si>
    <t xml:space="preserve">SỐ TIỀN </t>
  </si>
  <si>
    <t>TỜ BĐ MỚI</t>
  </si>
  <si>
    <t>SỐ THỬA MỚI</t>
  </si>
  <si>
    <t>P8</t>
  </si>
  <si>
    <t>P5</t>
  </si>
  <si>
    <t>P4</t>
  </si>
  <si>
    <t>P3</t>
  </si>
  <si>
    <t>NGÀY PHÁT KẾT QUẢ</t>
  </si>
  <si>
    <t>NGÀY XUẤT HÓA ĐƠN</t>
  </si>
  <si>
    <t>SỐ HÓA ĐƠN</t>
  </si>
  <si>
    <t>P9</t>
  </si>
  <si>
    <t>TAn</t>
  </si>
  <si>
    <t>P1</t>
  </si>
  <si>
    <t>KHÔNG THÀNH</t>
  </si>
  <si>
    <t>THoi</t>
  </si>
  <si>
    <t>BÁO CÁO NGÀY 05/01/2025</t>
  </si>
  <si>
    <t>TNgai</t>
  </si>
  <si>
    <t>SỔ THEO DÕI HỒ SƠ ĐO ĐẠC TÁCH THỬA ĐỊA BÀN PHƯỜNG 1 - NĂM 2025</t>
  </si>
  <si>
    <t>SỔ THEO DÕI HỒ SƠ ĐO ĐẠC TÁCH THỬA ĐỊA BÀN PHƯỜNG 3 - NĂM 2025</t>
  </si>
  <si>
    <t>SỔ THEO DÕI HỒ SƠ ĐO ĐẠC TÁCH THỬA ĐỊA BÀN PHƯỜNG 4 - NĂM 2025</t>
  </si>
  <si>
    <t>SỔ THEO DÕI HỒ SƠ ĐO ĐẠC TÁCH THỬA ĐỊA BÀN PHƯỜNG 5 - NĂM 2025</t>
  </si>
  <si>
    <t>SỔ THEO DÕI HỒ SƠ ĐO ĐẠC TÁCH THỬA ĐỊA BÀN PHƯỜNG 8 - NĂM 2025</t>
  </si>
  <si>
    <t>SỔ THEO DÕI HỒ SƠ ĐO ĐẠC TÁCH THỬA ĐỊA BÀN PHƯỜNG 9 - NĂM 2025</t>
  </si>
  <si>
    <t>SỔ THEO DÕI HỒ SƠ ĐO ĐẠC TÁCH THỬA ĐỊA BÀN PHƯỜNG TRƯỜNG AN - NĂM 2025</t>
  </si>
  <si>
    <t>SỔ THEO DÕI HỒ SƠ ĐO ĐẠC TÁCH THỬA ĐỊA BÀN PHƯỜNG TÂN NGÃI - NĂM 2025</t>
  </si>
  <si>
    <t>SỔ THEO DÕI HỒ SƠ ĐO ĐẠC TÁCH THỬA ĐỊA BÀN PHƯỜNG TÂN HÒA - NĂM 2025</t>
  </si>
  <si>
    <t>SỔ THEO DÕI HỒ SƠ ĐO ĐẠC TÁCH THỬA ĐỊA BÀN PHƯỜNG TÂN HỘI - NĂM 2025</t>
  </si>
  <si>
    <t>Huỳnh Thị Kim Oanh</t>
  </si>
  <si>
    <t>0939862549</t>
  </si>
  <si>
    <t xml:space="preserve">CLN </t>
  </si>
  <si>
    <t>SHN</t>
  </si>
  <si>
    <t>Nguyễn Thanh Bình + Nguyễn Công Danh</t>
  </si>
  <si>
    <t>Tòa án</t>
  </si>
  <si>
    <t xml:space="preserve">ODT </t>
  </si>
  <si>
    <t>Tòa</t>
  </si>
  <si>
    <t>QĐ số 772A/2024/QĐ-CCTLCC ngày 26/01/2024 - HĐ số 01 ngày 09/01/2025</t>
  </si>
  <si>
    <t>Nguyễn Văn Toàn</t>
  </si>
  <si>
    <t>0939751768</t>
  </si>
  <si>
    <t>CN</t>
  </si>
  <si>
    <t>0984086227</t>
  </si>
  <si>
    <t>CMĐ</t>
  </si>
  <si>
    <t>Vinh-Bình</t>
  </si>
  <si>
    <t>Ngô Công Tràng</t>
  </si>
  <si>
    <t>0941862868</t>
  </si>
  <si>
    <t>Nguyễn Văn Rạng</t>
  </si>
  <si>
    <t>0777921476</t>
  </si>
  <si>
    <t>Trần Kim Ca</t>
  </si>
  <si>
    <t>258+265+264</t>
  </si>
  <si>
    <t>640.6+718.0+630.1</t>
  </si>
  <si>
    <t>Võ Thị Phương Loan</t>
  </si>
  <si>
    <t>0986357509</t>
  </si>
  <si>
    <t>Nguyễn Thị Nhung</t>
  </si>
  <si>
    <t>0907586338</t>
  </si>
  <si>
    <t xml:space="preserve">ODT-CLN </t>
  </si>
  <si>
    <t>CT</t>
  </si>
  <si>
    <t>Võ Thành Mãi</t>
  </si>
  <si>
    <t>0763930093</t>
  </si>
  <si>
    <t>Dương Văn Thọ</t>
  </si>
  <si>
    <t>0907761038</t>
  </si>
  <si>
    <t>Cấp GCN</t>
  </si>
  <si>
    <t>Huy-Tài</t>
  </si>
  <si>
    <t>Huỳnh Ngọc Chiến</t>
  </si>
  <si>
    <t>0916694634</t>
  </si>
  <si>
    <t>19 (52)</t>
  </si>
  <si>
    <t>Lâm Thị Hồng</t>
  </si>
  <si>
    <t>0939032236</t>
  </si>
  <si>
    <t>31/12/2024 06/01/2024</t>
  </si>
  <si>
    <t>Mai Quốc Tuấn</t>
  </si>
  <si>
    <t>0372441919</t>
  </si>
  <si>
    <t>08/10/2024 06/01/2025</t>
  </si>
  <si>
    <t>Trần Thị Mỹ Vân</t>
  </si>
  <si>
    <t>P1 (P2)</t>
  </si>
  <si>
    <t>30/12/2024 06/01/2025</t>
  </si>
  <si>
    <t>Thái Minh Trí</t>
  </si>
  <si>
    <t>0702221111</t>
  </si>
  <si>
    <t>20/12/2024 06/01/2025</t>
  </si>
  <si>
    <t>Mốc</t>
  </si>
  <si>
    <t>Phạm Thu Thảo</t>
  </si>
  <si>
    <t>0932763827</t>
  </si>
  <si>
    <t>Vinh-Công</t>
  </si>
  <si>
    <t>TNgãi</t>
  </si>
  <si>
    <t xml:space="preserve">Dương Cẩm Hòa </t>
  </si>
  <si>
    <t>0834541306</t>
  </si>
  <si>
    <t>09/12/2024 06/01/2025</t>
  </si>
  <si>
    <t>Võ Thị Ngọc Em</t>
  </si>
  <si>
    <t>0939401456</t>
  </si>
  <si>
    <t>Phạm Thanh Nhàn</t>
  </si>
  <si>
    <t>0931090871</t>
  </si>
  <si>
    <t>ODT-CLN</t>
  </si>
  <si>
    <t>Phạm Minh Nhứt</t>
  </si>
  <si>
    <t>Phạm Thị Lệ</t>
  </si>
  <si>
    <t>Phạm Thị Thanh Thơ</t>
  </si>
  <si>
    <t>Phạm Thị Thu Lan</t>
  </si>
  <si>
    <t>Phạm Ân Trung</t>
  </si>
  <si>
    <t>0909103335</t>
  </si>
  <si>
    <t>10/12/2024 06/01/2025</t>
  </si>
  <si>
    <t>Võ Anh Khoa</t>
  </si>
  <si>
    <t>0988090326</t>
  </si>
  <si>
    <t>23/12/2024 06/01/2025</t>
  </si>
  <si>
    <t>Đỗ Hồng Loan</t>
  </si>
  <si>
    <t>0989806953</t>
  </si>
  <si>
    <t>Đặng Thị Hồng</t>
  </si>
  <si>
    <t>0932882787</t>
  </si>
  <si>
    <t>Trần Thị Hải Duyên + Trần Tư Đoan</t>
  </si>
  <si>
    <t>0774007246 0367991728</t>
  </si>
  <si>
    <t>Nguyễn Thanh Tùng</t>
  </si>
  <si>
    <t>0798063646</t>
  </si>
  <si>
    <t>24/12/2024 06/01/2025</t>
  </si>
  <si>
    <t>Nguyễn Thị Ngọc Mai</t>
  </si>
  <si>
    <t>0949893351</t>
  </si>
  <si>
    <t>25/10/2024 10/12/2024 06/01/2025</t>
  </si>
  <si>
    <t>Bình-Duy</t>
  </si>
  <si>
    <t>Đặng Lê Hoài Phong</t>
  </si>
  <si>
    <t>0389211890</t>
  </si>
  <si>
    <t>Huỳnh Ngọc Bửu</t>
  </si>
  <si>
    <t>0937607097</t>
  </si>
  <si>
    <t>Trương Thị Bé Đoan</t>
  </si>
  <si>
    <t>0977335656</t>
  </si>
  <si>
    <t>11/12/2024 06/01/2025</t>
  </si>
  <si>
    <t>TT</t>
  </si>
  <si>
    <t>Nguyễn Thị Hồng Phượng</t>
  </si>
  <si>
    <t>0943331116</t>
  </si>
  <si>
    <t>Nguyễn Thị Yến Duyên</t>
  </si>
  <si>
    <t>0979199308</t>
  </si>
  <si>
    <t>Bùi Vĩnh Lạc</t>
  </si>
  <si>
    <t>0836201612</t>
  </si>
  <si>
    <t>Trần Minh Mẫn</t>
  </si>
  <si>
    <t>0357523689</t>
  </si>
  <si>
    <t>Đỗ Thị Lạc</t>
  </si>
  <si>
    <t>0787843428</t>
  </si>
  <si>
    <t>Lưu Thị Sảnh</t>
  </si>
  <si>
    <t>CQ</t>
  </si>
  <si>
    <t>Nguyễn Ngọc Đoàn</t>
  </si>
  <si>
    <t>0939687363</t>
  </si>
  <si>
    <t>27/12/2024 06/01/2025</t>
  </si>
  <si>
    <t>Trịnh Nguyễn Phong Duy Phúc</t>
  </si>
  <si>
    <t>0939976732</t>
  </si>
  <si>
    <t>133+132</t>
  </si>
  <si>
    <t>231.6+253.9</t>
  </si>
  <si>
    <t>Phạm Hữu Thọ</t>
  </si>
  <si>
    <t>0909209991</t>
  </si>
  <si>
    <t>25/12/2024 06/01/2025</t>
  </si>
  <si>
    <t xml:space="preserve">Nguyễn Phước Hậu + Nguyễn Thị Ngân Hà + Nguyễn Phước Lộc (Trần Văn Được) </t>
  </si>
  <si>
    <t>0919224433</t>
  </si>
  <si>
    <t>22/10/2024 30/12/2024 06/01/2025</t>
  </si>
  <si>
    <t>Nguyễn Thị Thanh Trinh</t>
  </si>
  <si>
    <t>Võ Hồng Nhung</t>
  </si>
  <si>
    <t>0939261447</t>
  </si>
  <si>
    <t>Lương Trí Minh Nhựt</t>
  </si>
  <si>
    <t>0901000569</t>
  </si>
  <si>
    <t>Nguyễn Lưu Bích Trân</t>
  </si>
  <si>
    <t>0988920709</t>
  </si>
  <si>
    <t>26/12/2024 06/01/2025</t>
  </si>
  <si>
    <t>31/12/2024 06/01/2025</t>
  </si>
  <si>
    <t>Huỳnh Thị Rượu</t>
  </si>
  <si>
    <t>0772144088</t>
  </si>
  <si>
    <t>Hồ Thanh Thiện</t>
  </si>
  <si>
    <t>0907740090</t>
  </si>
  <si>
    <t>Ca</t>
  </si>
  <si>
    <t>Huỳnh Phú Yên</t>
  </si>
  <si>
    <t>0902458548</t>
  </si>
  <si>
    <t>Lê Thị Hồng Nhung</t>
  </si>
  <si>
    <t>0918747471</t>
  </si>
  <si>
    <t>Trần Thị Muôn</t>
  </si>
  <si>
    <t>0908371754</t>
  </si>
  <si>
    <t>Tchen Hồng Linh</t>
  </si>
  <si>
    <t>Nguyễn Ngọc Thành</t>
  </si>
  <si>
    <t>0978193949</t>
  </si>
  <si>
    <t>Tỉnh đo</t>
  </si>
  <si>
    <t>ct-06/01/2025</t>
  </si>
  <si>
    <t>Giao Sơn 07/01/2025</t>
  </si>
  <si>
    <t>Nguyễn Tấn Thắng</t>
  </si>
  <si>
    <t>0907123599</t>
  </si>
  <si>
    <t>cn-06/01/2025</t>
  </si>
  <si>
    <t xml:space="preserve">Giao Sơn 07/01/2025 </t>
  </si>
  <si>
    <t>Trần Thị Chợ (chết) Lê Tuấn Khải (thừa kế)</t>
  </si>
  <si>
    <t>0938871302</t>
  </si>
  <si>
    <t>LUC</t>
  </si>
  <si>
    <t>Nguyễn Thị Trang Thảo</t>
  </si>
  <si>
    <t>0778137840</t>
  </si>
  <si>
    <t>0939169429</t>
  </si>
  <si>
    <t>Lê Thị Nga</t>
  </si>
  <si>
    <t>Hồ Cảnh Đường</t>
  </si>
  <si>
    <t>0936484088</t>
  </si>
  <si>
    <t>Nguyễn Thành Trí</t>
  </si>
  <si>
    <t>0913339539</t>
  </si>
  <si>
    <t>Phạm Thị Huyên</t>
  </si>
  <si>
    <t>0898660687</t>
  </si>
  <si>
    <t>HS BÌnh</t>
  </si>
  <si>
    <t>Phạm Văn Mười</t>
  </si>
  <si>
    <t>0886189138</t>
  </si>
  <si>
    <t>HĐ số 02 ngày 07/01/2025</t>
  </si>
  <si>
    <t>Lê Văn My + Lê Thị Thúy Vân</t>
  </si>
  <si>
    <t>0918716581</t>
  </si>
  <si>
    <t>187,0</t>
  </si>
  <si>
    <t>Nguyễn Hoàng Đức Khải</t>
  </si>
  <si>
    <t>0985222339</t>
  </si>
  <si>
    <t>Nguyễn Hòa Thuận</t>
  </si>
  <si>
    <t>0988816668</t>
  </si>
  <si>
    <t>Trần Thị Yến Thu</t>
  </si>
  <si>
    <t>0348104669</t>
  </si>
  <si>
    <t>THòa</t>
  </si>
  <si>
    <t>Phan Kim Hà</t>
  </si>
  <si>
    <t>0815928348</t>
  </si>
  <si>
    <t>Từ Ngọc Lệ</t>
  </si>
  <si>
    <t>0375300076</t>
  </si>
  <si>
    <t>Nguyễn Thị Ngọc Hoa</t>
  </si>
  <si>
    <t>0919629691</t>
  </si>
  <si>
    <t>Trương Thị Xuân Mai</t>
  </si>
  <si>
    <t>0825215345</t>
  </si>
  <si>
    <t>Đỗ Thị Loan</t>
  </si>
  <si>
    <t>0919235799</t>
  </si>
  <si>
    <t>Nguyễn Thành Nhân</t>
  </si>
  <si>
    <t>0941591599</t>
  </si>
  <si>
    <t>Nguyễn Thị Hồng Luyện</t>
  </si>
  <si>
    <t>Ngô Văn Mười Hai</t>
  </si>
  <si>
    <t>0918116949</t>
  </si>
  <si>
    <t>CSD rút HS - Tổ đo trả 10/01/2025</t>
  </si>
  <si>
    <t>224+212</t>
  </si>
  <si>
    <t>3117.5 + 190</t>
  </si>
  <si>
    <t>CLN + NTĐ</t>
  </si>
  <si>
    <t>08/01/2025 10/01/2025</t>
  </si>
  <si>
    <t>Nguyễn Thị Huy Thùy</t>
  </si>
  <si>
    <t>Nguyễn Hoàng Phượng</t>
  </si>
  <si>
    <t>0931099639</t>
  </si>
  <si>
    <t>Nguyễn Minh Tuyền</t>
  </si>
  <si>
    <t>14+9</t>
  </si>
  <si>
    <t>276+387</t>
  </si>
  <si>
    <t>268.2+211.5</t>
  </si>
  <si>
    <t>Huỳnh Thị Thu Vân</t>
  </si>
  <si>
    <t>0975722979</t>
  </si>
  <si>
    <t>Trần Công Phước</t>
  </si>
  <si>
    <t>0386986748</t>
  </si>
  <si>
    <t>Thái Thu Hà</t>
  </si>
  <si>
    <t>0933880022</t>
  </si>
  <si>
    <t>Không thành - N lưu hs kg thành 13/01/2025</t>
  </si>
  <si>
    <t>Trần Vũ Linh</t>
  </si>
  <si>
    <t>Nguyễn Thị Thanh Nga</t>
  </si>
  <si>
    <t>0932767771</t>
  </si>
  <si>
    <t>Thoa Thoa</t>
  </si>
  <si>
    <t>Nguyễn Minh Nhẫn</t>
  </si>
  <si>
    <t>0368629099</t>
  </si>
  <si>
    <t>Nguyễn Khánh Nguyên</t>
  </si>
  <si>
    <t>0913844664</t>
  </si>
  <si>
    <t>Kg liên lạc được - N lưu hs kg thành 13/01/2025</t>
  </si>
  <si>
    <t>Trần Minh Thuận</t>
  </si>
  <si>
    <t>0914523108</t>
  </si>
  <si>
    <t>HĐ số 04 ngày 13/01/2025</t>
  </si>
  <si>
    <t>Ngô Thuận Búng</t>
  </si>
  <si>
    <t>0901308308</t>
  </si>
  <si>
    <t>Huy cQ</t>
  </si>
  <si>
    <t>Hồ Tiến Tài + Nguyễn Thị Thủy Tiên</t>
  </si>
  <si>
    <t>0918602888</t>
  </si>
  <si>
    <t>Nguyễn Thanh Tâm</t>
  </si>
  <si>
    <t>0947455479</t>
  </si>
  <si>
    <t>Dương Văn Mai (chết) Dương Thị Thi (thừa kế)</t>
  </si>
  <si>
    <t>0979277239</t>
  </si>
  <si>
    <t>NTĐ</t>
  </si>
  <si>
    <t>Dương Thanh Tòng + Bùi Thu Hương</t>
  </si>
  <si>
    <t>Không thành - N lưu kg thành 13/01/2025</t>
  </si>
  <si>
    <t>Đã trả HS cho CSD 13/01/2025 - Mất BN</t>
  </si>
  <si>
    <t>Lã Viết Thông</t>
  </si>
  <si>
    <t>0939366366</t>
  </si>
  <si>
    <t>ct-13/01/2025</t>
  </si>
  <si>
    <t>Lê Quang Điển</t>
  </si>
  <si>
    <t>0906990006</t>
  </si>
  <si>
    <t>Phong ĐC</t>
  </si>
  <si>
    <t>Lưu Thị Tuyết + Huỳnh Lê Hoàng Dũng</t>
  </si>
  <si>
    <t>0907080101</t>
  </si>
  <si>
    <t>Pham Văn Thêm</t>
  </si>
  <si>
    <t>0987550300</t>
  </si>
  <si>
    <t>Bùi Thị Nhiên</t>
  </si>
  <si>
    <t>0363433296</t>
  </si>
  <si>
    <t>CSD xin rút HS - Tổ đo trả hs cho CSD 15/01/2025</t>
  </si>
  <si>
    <t>Lê Thị Liên Hoa</t>
  </si>
  <si>
    <t>0379105090</t>
  </si>
  <si>
    <t>CSD xin rút hs - Đã trả 15/01/2025</t>
  </si>
  <si>
    <t>Tô Thị Mận</t>
  </si>
  <si>
    <t>0907829582</t>
  </si>
  <si>
    <t xml:space="preserve">Giao hs gốc cho Trí 16/01/2025 </t>
  </si>
  <si>
    <t>Trả hs cho CSD đều chỉnh lại GPXD - N lưu kg thành 16/01/2025</t>
  </si>
  <si>
    <t xml:space="preserve">Nguyễn Minh Thức </t>
  </si>
  <si>
    <t>0931390995</t>
  </si>
  <si>
    <t>Hồ Văn Hùng</t>
  </si>
  <si>
    <t>0763221146</t>
  </si>
  <si>
    <t>0901464484</t>
  </si>
  <si>
    <t>Nguyễn Thanh Phong + Cao Thị Cẩm Nhung + Bùi Thu Nguyệt + Khúc Thị Lan Oanh + Khúc Thị Tho</t>
  </si>
  <si>
    <t>0917547490</t>
  </si>
  <si>
    <t>Phan Hiền Trúc Mai</t>
  </si>
  <si>
    <t>0939203358</t>
  </si>
  <si>
    <t>Huy XEKo ĐC P5</t>
  </si>
  <si>
    <t>0932879778 0902805842</t>
  </si>
  <si>
    <t>Nguyễn Bá Dũng + Nguyễn Thị Nguyệt + Nguyễn Bá Cường &gt;&lt; Nguyễn Bá Mạnh + Nguyễn Thị Tuyết Nhung</t>
  </si>
  <si>
    <t>Tòa Án</t>
  </si>
  <si>
    <t>QĐ số 14/2025/QĐ-TCĐĐ ngày 14/01/2025 - HĐ số 05 ngày 13/02/2025</t>
  </si>
  <si>
    <t xml:space="preserve">Giao Sơn 14/01/2025 - Giao Diễm 20/01/2025 </t>
  </si>
  <si>
    <t>Lê Thanh Nhịnh</t>
  </si>
  <si>
    <t>Huỳnh Thị Huỳnh Yến</t>
  </si>
  <si>
    <t>cmd-20/01/2025</t>
  </si>
  <si>
    <t xml:space="preserve">Giao Hạnh 20/01/2025 </t>
  </si>
  <si>
    <t xml:space="preserve"> - Trả 1 cửa bổ sung biên nhận 20/01/2025 </t>
  </si>
  <si>
    <t>Phạm Văn Vũ</t>
  </si>
  <si>
    <t>0799658585</t>
  </si>
  <si>
    <t>tt-20/01/2025</t>
  </si>
  <si>
    <t xml:space="preserve">Giao Sơn 20/01/2025 </t>
  </si>
  <si>
    <t>Nguyễn Thanh Nhanh</t>
  </si>
  <si>
    <t>0939472429</t>
  </si>
  <si>
    <t>Phạm Văn Tư</t>
  </si>
  <si>
    <t>0363168619</t>
  </si>
  <si>
    <t>Nguyễn Thị Kim Hoàng</t>
  </si>
  <si>
    <t>0798099942</t>
  </si>
  <si>
    <t xml:space="preserve">Giao Hạnh 22/01/2025 </t>
  </si>
  <si>
    <t xml:space="preserve">Giao hs gốc cho Bảo 22/01/2025 </t>
  </si>
  <si>
    <t>0932822008</t>
  </si>
  <si>
    <t>Thạch Ngọc Minh</t>
  </si>
  <si>
    <t>0936291235</t>
  </si>
  <si>
    <t>HĐ số 06 ngày 22/01/2025</t>
  </si>
  <si>
    <t>Lê Kim Ngân</t>
  </si>
  <si>
    <t>0902920772</t>
  </si>
  <si>
    <t>Nguyễn Minh Nhẩn</t>
  </si>
  <si>
    <t>ig-22/01/2025</t>
  </si>
  <si>
    <t xml:space="preserve">Giao Thư 22/01/2025 </t>
  </si>
  <si>
    <t>Kg thành - N lưu hs kg thành 22/01/2025</t>
  </si>
  <si>
    <t>Có VB hướng dẫn 22/01/2025</t>
  </si>
  <si>
    <t>IG-22/01/2025</t>
  </si>
  <si>
    <t>Nguyễn Thị Thúy Hằng</t>
  </si>
  <si>
    <t>0939192819</t>
  </si>
  <si>
    <t>Nguyễn Thị Thu Dung</t>
  </si>
  <si>
    <t>0772144008</t>
  </si>
  <si>
    <t>Đinh Văn Hai</t>
  </si>
  <si>
    <t>0932807779</t>
  </si>
  <si>
    <t>cmd-22/01/2025</t>
  </si>
  <si>
    <t xml:space="preserve">Giao Tiên 22/01/2025 </t>
  </si>
  <si>
    <t>Lương Ngọc Lan</t>
  </si>
  <si>
    <t>0933640151</t>
  </si>
  <si>
    <t>146+147</t>
  </si>
  <si>
    <t>222+36.6</t>
  </si>
  <si>
    <t>Đặng Ngọc Lợi + Phan Ngọc Tường Vy</t>
  </si>
  <si>
    <t>0912990967</t>
  </si>
  <si>
    <t>HS Vũ Voi</t>
  </si>
  <si>
    <t>Có VB trả lời trả hs 23/01/2025</t>
  </si>
  <si>
    <t>Đã trả hs cho CSD 23/01/2025</t>
  </si>
  <si>
    <t>Nguyễn Văn Hội</t>
  </si>
  <si>
    <t>BÁO CÁO NGÀY 23/01/2025</t>
  </si>
  <si>
    <t>.</t>
  </si>
  <si>
    <t>CSD xin rút hs - N lưu hs kg thành 23/01/2025</t>
  </si>
  <si>
    <t>Võ Đại Thắng</t>
  </si>
  <si>
    <t>0918366688</t>
  </si>
  <si>
    <t>IG-24/01/2025</t>
  </si>
  <si>
    <t xml:space="preserve">Giao Hạnh 24/01/2025 </t>
  </si>
  <si>
    <t>CN-24/01/2025</t>
  </si>
  <si>
    <t xml:space="preserve">Giao Sơn 24/01/2025 </t>
  </si>
  <si>
    <t>Lương Kim Yến</t>
  </si>
  <si>
    <t>0988322584</t>
  </si>
  <si>
    <t>Chánh QLĐT</t>
  </si>
  <si>
    <t>Lê Thị Ngọc Hiếu (thừa kế) Trần Thị Trầm (Chết)</t>
  </si>
  <si>
    <t>0907972350</t>
  </si>
  <si>
    <t xml:space="preserve">CSD xin rút hs - N lưu hs kg thành 04/02/2025 </t>
  </si>
  <si>
    <t>17/01/2025 04/02/2025</t>
  </si>
  <si>
    <t>Nhận lại 04/02/2025</t>
  </si>
  <si>
    <t>Có VB trả lời - N lưu hs kg thành 04/02/2025</t>
  </si>
  <si>
    <t>Đã trả hs 05/02/2025</t>
  </si>
  <si>
    <t>Giao hs gốc cho Bảo 05/02/2025</t>
  </si>
  <si>
    <t>Dương Thị Thi</t>
  </si>
  <si>
    <t>Có VB trả lời - N lưu hs kg thành 05/02/2025</t>
  </si>
  <si>
    <t>Châu Mộng Thu</t>
  </si>
  <si>
    <t>0932825055</t>
  </si>
  <si>
    <t>Lữ Ngọc Điệp</t>
  </si>
  <si>
    <t>Huỳnh Tấn Phát</t>
  </si>
  <si>
    <t>0926267936</t>
  </si>
  <si>
    <t xml:space="preserve">Giao Bảo hs gốc 05/02/2025 </t>
  </si>
  <si>
    <t>IG-05/02/2025</t>
  </si>
  <si>
    <t xml:space="preserve">Giao Lan 05/02/2025 </t>
  </si>
  <si>
    <t xml:space="preserve">Giao Bảo hs gốc 06/02/2025 </t>
  </si>
  <si>
    <t>Huỳnh Thị Mỹ Nhung</t>
  </si>
  <si>
    <t>0766937479</t>
  </si>
  <si>
    <t>Đặng Thị Thẹo</t>
  </si>
  <si>
    <t>0907595738</t>
  </si>
  <si>
    <t>Nguyễn Thị Thu Vân</t>
  </si>
  <si>
    <t>Nguyễn Thị Bích Thủy</t>
  </si>
  <si>
    <t>0946742715</t>
  </si>
  <si>
    <t>cmd-06/02/2025</t>
  </si>
  <si>
    <t xml:space="preserve">Giao Hạnh 06/02/2025 </t>
  </si>
  <si>
    <t>CSD đã rút hs 06/02/2025</t>
  </si>
  <si>
    <t>Kg thành - N lưu hs kg thành 06/02/2025</t>
  </si>
  <si>
    <t>Phạm Yến Lan</t>
  </si>
  <si>
    <t>0901013016</t>
  </si>
  <si>
    <t>Vy ĐC Tan</t>
  </si>
  <si>
    <t>CSD xin rút hs - N lưu hs kg thành 07/02/2025</t>
  </si>
  <si>
    <t>Huỳnh Văn Thu (Nhận CN) Đinh Văn Tám (CN)</t>
  </si>
  <si>
    <t>0776560009</t>
  </si>
  <si>
    <t>Chưa thu tiền - Chờ xin ý kiến</t>
  </si>
  <si>
    <t>chưa thu tiền - Đã giao kq cho csd 07/02/2025</t>
  </si>
  <si>
    <t>giao KQ cho Chú Biên</t>
  </si>
  <si>
    <t>0985159365</t>
  </si>
  <si>
    <t>Trần Thị Thụy Khương</t>
  </si>
  <si>
    <t>0908829494</t>
  </si>
  <si>
    <t>Đoàn Văn Âu</t>
  </si>
  <si>
    <t>0372434805</t>
  </si>
  <si>
    <t>100+98+99</t>
  </si>
  <si>
    <t>533.6+3697.4+989.0</t>
  </si>
  <si>
    <t>NTĐ+ODT-CLN + LUC</t>
  </si>
  <si>
    <t>Đã giao hs gốc cho Bảo 07/02/2025</t>
  </si>
  <si>
    <t>Nguyễn Chí Hòa</t>
  </si>
  <si>
    <t>0983518369</t>
  </si>
  <si>
    <t>Bùi Thị Mỹ Xuân</t>
  </si>
  <si>
    <t>0901701249</t>
  </si>
  <si>
    <t>Nguyễn Thị Ngọc Trinh</t>
  </si>
  <si>
    <t>0982070082</t>
  </si>
  <si>
    <t>Trần Thanh Tân</t>
  </si>
  <si>
    <t>0972380152</t>
  </si>
  <si>
    <t>Kim Đạt</t>
  </si>
  <si>
    <t>0346882184</t>
  </si>
  <si>
    <t>Lê Văn Út Anh</t>
  </si>
  <si>
    <t>0936953995</t>
  </si>
  <si>
    <t>Nguyễn Thị Ngọc Ánh</t>
  </si>
  <si>
    <t>0936953955</t>
  </si>
  <si>
    <t>Nguyễn Thị Hoàng Oanh</t>
  </si>
  <si>
    <t>0918537892</t>
  </si>
  <si>
    <t>Hứa Thị Thu Hà</t>
  </si>
  <si>
    <t>cmd-10/2/2025</t>
  </si>
  <si>
    <t xml:space="preserve">Giao Hạnh 10/02/2025 </t>
  </si>
  <si>
    <t>Nguyễn Minh Nhựt</t>
  </si>
  <si>
    <t>Lê Thị Hồng Hoa</t>
  </si>
  <si>
    <t xml:space="preserve">Giao Tiên 10/02/2025 </t>
  </si>
  <si>
    <t>Nguyễn Thị Ánh Hồng</t>
  </si>
  <si>
    <t>0906874011</t>
  </si>
  <si>
    <t>14 (47)</t>
  </si>
  <si>
    <t>Phạm Thị Hường</t>
  </si>
  <si>
    <t>0902779351</t>
  </si>
  <si>
    <t>CSD xin rút hs</t>
  </si>
  <si>
    <t>Đã trả hs cho CSD - N đã thu hồi BN 11/02/2025</t>
  </si>
  <si>
    <t>Tổ đo trả HS cho CSD đã thu hồi BN 11/02/2025</t>
  </si>
  <si>
    <t>Nguyễn Ngọc Đức Ái</t>
  </si>
  <si>
    <t>cmd-11/02/2025</t>
  </si>
  <si>
    <t xml:space="preserve">Giao Thư 11/02/2025 </t>
  </si>
  <si>
    <t xml:space="preserve">Giao Lan 11/02/2025 </t>
  </si>
  <si>
    <t>Trang Anh Tú</t>
  </si>
  <si>
    <t>0942704263</t>
  </si>
  <si>
    <t>Huỳnh Thị Thu Thủy</t>
  </si>
  <si>
    <t>0907466567</t>
  </si>
  <si>
    <t>Đào Thanh Hậu</t>
  </si>
  <si>
    <t>0939594843</t>
  </si>
  <si>
    <t>Mai Quốc Chương</t>
  </si>
  <si>
    <t>0907956989</t>
  </si>
  <si>
    <t>Nguyễn Văn Bảy</t>
  </si>
  <si>
    <t>Phạm Thị Kim Hoàng</t>
  </si>
  <si>
    <t>0385572888</t>
  </si>
  <si>
    <t>Bùi Thanh Sơn</t>
  </si>
  <si>
    <t>0903768476</t>
  </si>
  <si>
    <t>5 (38)</t>
  </si>
  <si>
    <t>Hồ Thị Diễm</t>
  </si>
  <si>
    <t>0944824444</t>
  </si>
  <si>
    <t>13/01/2025 11/02/2025</t>
  </si>
  <si>
    <t>Dương Thị Ngọc Diễm</t>
  </si>
  <si>
    <t>0909192493</t>
  </si>
  <si>
    <t>Trần Hùng Thắng + Nguyễn Thị Diệp</t>
  </si>
  <si>
    <t>0913299420</t>
  </si>
  <si>
    <t>HĐ số 10 ngày 11/02/2025</t>
  </si>
  <si>
    <t>Võ Tấn Đức</t>
  </si>
  <si>
    <t>CSD xin rút hs - N lưu hs kg thành 12/02/2025</t>
  </si>
  <si>
    <t>Nguyễn Thị Vân</t>
  </si>
  <si>
    <t>HĐ số 11 ngày 08/01/2025</t>
  </si>
  <si>
    <t>Huỳnh Văn Bé Sáu</t>
  </si>
  <si>
    <t>Đã trả hs cho CSD 12/02/2025</t>
  </si>
  <si>
    <t>Ngân hàng TMCP Á Châu &gt;&lt; Công ty CP Thương mại - Dịch vụ - Xây dựng Kiến Phát</t>
  </si>
  <si>
    <t>THán</t>
  </si>
  <si>
    <t>HĐ số 12 ngày 26/02/2025 -  Thơ mời số 81/TM-CCTHADS ngày 10/02/2025</t>
  </si>
  <si>
    <t>Ngân hàng TMCP Á Châu &gt;&lt; Hoàng Văn Trường</t>
  </si>
  <si>
    <t>THÁn</t>
  </si>
  <si>
    <t>HĐ số 13 ngày 19/02/2025 -  Thơ mời số 83/TM-CCTHADS ngày 10/02/2025</t>
  </si>
  <si>
    <t>Phan Quang Đông + Đỗ Thị Hoa</t>
  </si>
  <si>
    <t>0988666235</t>
  </si>
  <si>
    <t>Nguyễn Minh Trường</t>
  </si>
  <si>
    <t>0908990443</t>
  </si>
  <si>
    <t>Nguyễn Thị Ngọc Điệp</t>
  </si>
  <si>
    <t>Nguyễn Thị Hồng Điệp</t>
  </si>
  <si>
    <t xml:space="preserve">Trả 1 cửa bổ sung 17/01/2025 - Trả 1 cửa  bổ sung 13/02/2025 </t>
  </si>
  <si>
    <t>CSD xin rút hs - N lưu hs kg thành 13/02/2025</t>
  </si>
  <si>
    <t>Phạm Kim Thời</t>
  </si>
  <si>
    <t>0918624828</t>
  </si>
  <si>
    <t>Trần Thị Kiều</t>
  </si>
  <si>
    <t>0986003388</t>
  </si>
  <si>
    <t>HS HUY CQ</t>
  </si>
  <si>
    <t>Nguyễn Ngọc Em</t>
  </si>
  <si>
    <t>0939075147</t>
  </si>
  <si>
    <t>Huỳnh Kim Trân</t>
  </si>
  <si>
    <t>0385632017</t>
  </si>
  <si>
    <t>Có VB trả lời - N lưu hs kg thành 13/02/2025</t>
  </si>
  <si>
    <t>Nguyễn Thị Hồng Hạnh</t>
  </si>
  <si>
    <t>0778169838</t>
  </si>
  <si>
    <t>Đặng Văn Tám</t>
  </si>
  <si>
    <t>Vũ Sơn</t>
  </si>
  <si>
    <t>Thái Văn Thành</t>
  </si>
  <si>
    <t>0369000040</t>
  </si>
  <si>
    <t>HĐ số 14 ngày 11/02/2025</t>
  </si>
  <si>
    <t>Nguyễn Thị Kim Quyên</t>
  </si>
  <si>
    <t>0907974808</t>
  </si>
  <si>
    <t>Lư Tấn Phước</t>
  </si>
  <si>
    <t>0903620623</t>
  </si>
  <si>
    <t xml:space="preserve">Giao Trí hs gốc 14/02/2025 </t>
  </si>
  <si>
    <t>18/10/2024 06/01/2025 14/02/2025</t>
  </si>
  <si>
    <t>Có VB trả lời - N lưu hs kg thành 14/02/2025</t>
  </si>
  <si>
    <t>Đã trả hs cho CSD 14/02/2025</t>
  </si>
  <si>
    <t>Đỗ Văn Thành Danh</t>
  </si>
  <si>
    <t>0976600759</t>
  </si>
  <si>
    <t>Lâm Vân Hồng &gt;&lt; Nguyễn Duy Dương</t>
  </si>
  <si>
    <t>172+186</t>
  </si>
  <si>
    <t>HĐ số 15 ngày 20/02/2025 -  Công văn số 08/2025/CV_TA ngày 10/02/2025</t>
  </si>
  <si>
    <t>Quách Thị Kim Cách</t>
  </si>
  <si>
    <t>Nguyễn Văn Văn</t>
  </si>
  <si>
    <t>HS Phong Tngai</t>
  </si>
  <si>
    <t>Huỳnh Văn Khiêm</t>
  </si>
  <si>
    <t>0907755850</t>
  </si>
  <si>
    <t>cmd-14/2/2025</t>
  </si>
  <si>
    <t xml:space="preserve">Giao Thư 17/02/2025 </t>
  </si>
  <si>
    <t>Lê Ngọc Kiều</t>
  </si>
  <si>
    <t>0378377426</t>
  </si>
  <si>
    <t>Huỳnh Sơn Hùng</t>
  </si>
  <si>
    <t>0397709039</t>
  </si>
  <si>
    <t>Trần Minh Trí + Nguyễn Thị Ngọc Bích</t>
  </si>
  <si>
    <t>0389472201</t>
  </si>
  <si>
    <t>Nguyễn Tấn Thôi</t>
  </si>
  <si>
    <t>0973263287</t>
  </si>
  <si>
    <t>HĐ số 16 ngày 14/02/2025</t>
  </si>
  <si>
    <t>Trần Thu Hồng</t>
  </si>
  <si>
    <t>0918660118</t>
  </si>
  <si>
    <t>Trần Thụy Quế Hương</t>
  </si>
  <si>
    <t xml:space="preserve">Giao hs gốc cho Thư 17/02/2025 </t>
  </si>
  <si>
    <t>Nguyễn Văn Công (chết) Nguyễn Hoàng Cẩm Tú + Nguyễn Minh Duy (thừa kế)</t>
  </si>
  <si>
    <t>0899659397</t>
  </si>
  <si>
    <t>Ca-Rel</t>
  </si>
  <si>
    <t>2167-18/4/2023</t>
  </si>
  <si>
    <t>Chú ý hs năm 2023</t>
  </si>
  <si>
    <t>tk-14/02/2025</t>
  </si>
  <si>
    <t xml:space="preserve">Trả 1 cửa  bổ sung 17/02/2025 </t>
  </si>
  <si>
    <t>131+650</t>
  </si>
  <si>
    <t>200.6+508.4</t>
  </si>
  <si>
    <t>HĐ số 17 ngày 17/02/2025</t>
  </si>
  <si>
    <t>Đặng Viết Hưng</t>
  </si>
  <si>
    <t>0919518347</t>
  </si>
  <si>
    <t xml:space="preserve">Giao Sơn 17/02/2025 </t>
  </si>
  <si>
    <t>Nguyễn Thị Ngọc Lan</t>
  </si>
  <si>
    <t>0793903957</t>
  </si>
  <si>
    <t>Phạm Văn Tám</t>
  </si>
  <si>
    <t>0919202182</t>
  </si>
  <si>
    <t>Trần Thị Ẩn</t>
  </si>
  <si>
    <t>HĐ số 18 ngày 17/02/2025</t>
  </si>
  <si>
    <t>Nguyễn Thu Dung</t>
  </si>
  <si>
    <t>0919458538</t>
  </si>
  <si>
    <t>Nguyễn Băng Tâm</t>
  </si>
  <si>
    <t>0908015970</t>
  </si>
  <si>
    <t>Nguyễn Thị Thủy</t>
  </si>
  <si>
    <t>0784253635</t>
  </si>
  <si>
    <t>Nguyễn Thị Ngọc Trân</t>
  </si>
  <si>
    <t>0933552585</t>
  </si>
  <si>
    <t>24/12/2024 06/01/2025 18/02/2025</t>
  </si>
  <si>
    <t>CSD xin rút hs - Đã trả 18/02/2025</t>
  </si>
  <si>
    <t>Trương Thị Thông (Chết) Bùi Thị Cúc (thừa kế)</t>
  </si>
  <si>
    <t>0909166307</t>
  </si>
  <si>
    <t>Nguyễn Thị Ngọc Tuyết</t>
  </si>
  <si>
    <t>0983712716</t>
  </si>
  <si>
    <t>Bạch Thị Kim Thủy</t>
  </si>
  <si>
    <t>0939281991</t>
  </si>
  <si>
    <t>CLN</t>
  </si>
  <si>
    <t>Ngô Bạch Vân</t>
  </si>
  <si>
    <t>0385149105</t>
  </si>
  <si>
    <t>Trần Văn Ngai</t>
  </si>
  <si>
    <t>0907911679</t>
  </si>
  <si>
    <t>cmd-18/02/2025</t>
  </si>
  <si>
    <t xml:space="preserve">Giao Hạnh 18/02/2025 </t>
  </si>
  <si>
    <t>ct-18/02/2025</t>
  </si>
  <si>
    <t xml:space="preserve">Giao Sơn 18/02/2025 </t>
  </si>
  <si>
    <t>Nguyễn Thị Tiến</t>
  </si>
  <si>
    <t>0348395208</t>
  </si>
  <si>
    <t>Nguyễn Thị Thùy Linh</t>
  </si>
  <si>
    <t>0939391000</t>
  </si>
  <si>
    <t xml:space="preserve">Giao hs gốc cho Bảo 19/02/2025 </t>
  </si>
  <si>
    <t>Lê Trung Hiền</t>
  </si>
  <si>
    <t>0378281454</t>
  </si>
  <si>
    <t>HĐ số 19 ngày 19/02/2025</t>
  </si>
  <si>
    <t>Huỳnh Thị Tâm</t>
  </si>
  <si>
    <t>Nguyễn Văn Tài</t>
  </si>
  <si>
    <t>0969543404</t>
  </si>
  <si>
    <t>Lương Hoài Thanh</t>
  </si>
  <si>
    <t>0907644788</t>
  </si>
  <si>
    <t>Tham dự kg xuất kết quả - N lưu kg thành 19/02/2025</t>
  </si>
  <si>
    <t>Dương Văn Ry (Thừa kế) Dương Văn Tố (Chết)</t>
  </si>
  <si>
    <t>0329770474</t>
  </si>
  <si>
    <t>cn-19/02/2025</t>
  </si>
  <si>
    <t xml:space="preserve">Giao 19/02/2025 </t>
  </si>
  <si>
    <t>Lê Thanh Định</t>
  </si>
  <si>
    <t>0989692731</t>
  </si>
  <si>
    <t>CSD xin rút hs - N lưu hs kg thành 19/02/2025</t>
  </si>
  <si>
    <t>Có BB - N lưu kg thành 19/02/2025</t>
  </si>
  <si>
    <t>Võ Thị Hành</t>
  </si>
  <si>
    <t>0919236296</t>
  </si>
  <si>
    <t>706 - hủy thay thế 900 ngày 19/02/2025</t>
  </si>
  <si>
    <t>Hướng dẫn tồn tại  - N lưu kg thành 19/02/2025</t>
  </si>
  <si>
    <t>CSD xin rút hs - N lưu kg thành 20/02/2025</t>
  </si>
  <si>
    <t>Trần Diễm Phương</t>
  </si>
  <si>
    <t>0939833828</t>
  </si>
  <si>
    <t>HĐ số 20 ngày 20/02/2025</t>
  </si>
  <si>
    <t>Phạm Thị Ngọc Bích (chết) Lê Mặc Khải Định (thừa kế)</t>
  </si>
  <si>
    <t>Đã trả hs cho CSD 20/02/2025</t>
  </si>
  <si>
    <t>HS Trung cq</t>
  </si>
  <si>
    <t>Trần Thị Tuyết Mai</t>
  </si>
  <si>
    <t>0898138450</t>
  </si>
  <si>
    <t>926 hủy thay thế 929</t>
  </si>
  <si>
    <t>Nguyễn Văn Tính</t>
  </si>
  <si>
    <t>Dương Văn Phương + Lê Thị Bích Liễu</t>
  </si>
  <si>
    <t>0913672452</t>
  </si>
  <si>
    <t>cmd-20/2/2025</t>
  </si>
  <si>
    <t xml:space="preserve">Giao Hạnh 20/02/2025 </t>
  </si>
  <si>
    <t>QĐ số 54/2025/QĐ-TCĐĐ ngày 18/02/2025 - HĐ số 21 ngày 06/03/2025</t>
  </si>
  <si>
    <t xml:space="preserve">Giao hs gốc cho Bảo 21/02/2025 </t>
  </si>
  <si>
    <t>Trần Thanh Sơn</t>
  </si>
  <si>
    <t>0848268677</t>
  </si>
  <si>
    <t>Võ Thị Kim Thắng</t>
  </si>
  <si>
    <t>0787923395</t>
  </si>
  <si>
    <t>cmd-21/02/2025</t>
  </si>
  <si>
    <t xml:space="preserve">Giao Hạnh 21/02/2025 </t>
  </si>
  <si>
    <t xml:space="preserve">Giao Sơn 21/02/2025 </t>
  </si>
  <si>
    <t>Nguyễn Việt Tiến</t>
  </si>
  <si>
    <t>0947213711</t>
  </si>
  <si>
    <t>ct-21/02/2025</t>
  </si>
  <si>
    <t>cn-21/02/2025</t>
  </si>
  <si>
    <t>Hồ Ngọc Vinh</t>
  </si>
  <si>
    <t>0587377777</t>
  </si>
  <si>
    <t>Nguyễn Văn Minh</t>
  </si>
  <si>
    <t>0978333396</t>
  </si>
  <si>
    <t>Nguyễn Văn Ở + Hồ Thị Biểu</t>
  </si>
  <si>
    <t>0939441917</t>
  </si>
  <si>
    <t>Lê Văn Sáu</t>
  </si>
  <si>
    <t>0856825773</t>
  </si>
  <si>
    <t>Nguyễn Thị Lang</t>
  </si>
  <si>
    <t>0398098071</t>
  </si>
  <si>
    <t>Kha Tắc</t>
  </si>
  <si>
    <t>0919282583</t>
  </si>
  <si>
    <t>HĐ số 22 ngày 24/02/2025</t>
  </si>
  <si>
    <t>Phạm Hồng Yến</t>
  </si>
  <si>
    <t>HS Huy</t>
  </si>
  <si>
    <t>Hồ Hùng Cường</t>
  </si>
  <si>
    <t>Châu Thị Sáu + Nguyễn  Văn Hải</t>
  </si>
  <si>
    <t>0939724149</t>
  </si>
  <si>
    <t>HĐ số 23 ngày 21/02/2025</t>
  </si>
  <si>
    <t>Lê Minh Tùng</t>
  </si>
  <si>
    <t>0974227649</t>
  </si>
  <si>
    <t>Phạm Văn Bảo (chết) Phạm Trần Văn (tke)</t>
  </si>
  <si>
    <t>Nguyễn Thị Một</t>
  </si>
  <si>
    <t>13/01/2025 24/02/2025</t>
  </si>
  <si>
    <t>Nguyễn Thị Mười Một</t>
  </si>
  <si>
    <t>0907406175</t>
  </si>
  <si>
    <t>Kg thành - N lưu hs kg thành 24/02/2025</t>
  </si>
  <si>
    <t>Nguyễn Thị Diệu</t>
  </si>
  <si>
    <t>0848121951</t>
  </si>
  <si>
    <t>Nguyễn Thị Lâm Anh</t>
  </si>
  <si>
    <t>0939957610</t>
  </si>
  <si>
    <t>ct-24/02/2025</t>
  </si>
  <si>
    <t xml:space="preserve">Giao Sơn 24/02/2025 </t>
  </si>
  <si>
    <t>Huỳnh Minh Hiệp + Tô Thị Anh Thơ</t>
  </si>
  <si>
    <t>09324736638</t>
  </si>
  <si>
    <t>17 (50)</t>
  </si>
  <si>
    <t>Đặng Quốc Tuấn</t>
  </si>
  <si>
    <t>0908468558</t>
  </si>
  <si>
    <t>CĐ</t>
  </si>
  <si>
    <t>Huỳnh Văn Hoàng</t>
  </si>
  <si>
    <t>0939990196</t>
  </si>
  <si>
    <t>Lê Thị Bích Châu</t>
  </si>
  <si>
    <t>0762840372</t>
  </si>
  <si>
    <t>HĐ số 24 ngày 24/02/2025</t>
  </si>
  <si>
    <t>Nguyễn Ngọc Huyền Trân</t>
  </si>
  <si>
    <t>0939248348</t>
  </si>
  <si>
    <t>Lâm Văn Tuấn</t>
  </si>
  <si>
    <t>0845463398</t>
  </si>
  <si>
    <t>18 (51)</t>
  </si>
  <si>
    <t xml:space="preserve">Giao Sơn 25/02/2025 </t>
  </si>
  <si>
    <t>cn-25/02/2025</t>
  </si>
  <si>
    <t>Võ Thị Hồng Điệp</t>
  </si>
  <si>
    <t>0903379870</t>
  </si>
  <si>
    <t>Trần Thị Mỹ Linh</t>
  </si>
  <si>
    <t>0389501421</t>
  </si>
  <si>
    <t>Đỗ Văn Hà</t>
  </si>
  <si>
    <t>0989008334</t>
  </si>
  <si>
    <t>BÁO CÁO NGÀY 25/02/2025</t>
  </si>
  <si>
    <t>Võ Hoàng Chiến</t>
  </si>
  <si>
    <t>0767675777</t>
  </si>
  <si>
    <t>Nguyễn Thị Nga</t>
  </si>
  <si>
    <t>0399700779</t>
  </si>
  <si>
    <t>HĐ số 25 ngày 25/02/2025</t>
  </si>
  <si>
    <t>Nguyễn Hữu Phúc</t>
  </si>
  <si>
    <t>0919356280</t>
  </si>
  <si>
    <t>HĐ số 26 ngày 25/02/2025</t>
  </si>
  <si>
    <t>Kg thành - N lưu hs kg thành 25/02/2025</t>
  </si>
  <si>
    <t>Đã trả hs cho CSD 25/02/2025</t>
  </si>
  <si>
    <t>Lê Thị Thu Trang</t>
  </si>
  <si>
    <t>0939232207</t>
  </si>
  <si>
    <t>PT số 01 ngày 20/02/2025</t>
  </si>
  <si>
    <t>PT số 02 ngày 21/02/2025</t>
  </si>
  <si>
    <t>PT số 03 ngày 24/02/2025</t>
  </si>
  <si>
    <t>PT số 04 ngày 24/02/2025</t>
  </si>
  <si>
    <t>PT số 05 ngày 25/02/2025</t>
  </si>
  <si>
    <t>PT số 06 ngày 25/02/2025</t>
  </si>
  <si>
    <t xml:space="preserve">Giao hs gốc cho Bảo 26/02/2025 </t>
  </si>
  <si>
    <t xml:space="preserve">Giao hs gốc Cho Bảo 26/02/2025 </t>
  </si>
  <si>
    <t xml:space="preserve">Giao Trí hs gốc 26/02/2025 </t>
  </si>
  <si>
    <t>ct-26/2/2025</t>
  </si>
  <si>
    <t xml:space="preserve">Giao Sơn 26/02/2025 </t>
  </si>
  <si>
    <t>Nguyễn Ngọc Nga + Nguyễn Ngọc Thủy Tiên</t>
  </si>
  <si>
    <t>0944123863</t>
  </si>
  <si>
    <t>cn-26/02/2025</t>
  </si>
  <si>
    <t>Đã trả hs cho CSD 26/02/2025 do có đơn ngăn chặn</t>
  </si>
  <si>
    <t>Ngô Anh Thư + Ngô Anh Trúc + Tống Thị Túy Vân</t>
  </si>
  <si>
    <t>0983047099</t>
  </si>
  <si>
    <t>Nguyễn Văn Xuân (Chết) - Nguyễn Thanh Xem (Tke)</t>
  </si>
  <si>
    <t>0973857467</t>
  </si>
  <si>
    <t>241+239</t>
  </si>
  <si>
    <t>38+636.4</t>
  </si>
  <si>
    <t>Nguyễn Thị Diễm Thu</t>
  </si>
  <si>
    <t>0983522806</t>
  </si>
  <si>
    <t>Có VB kg thành - N lưu hs kg thành 26/02/2025</t>
  </si>
  <si>
    <t>Nguyễn Thị Dung</t>
  </si>
  <si>
    <t>0985179679</t>
  </si>
  <si>
    <t>Kg thành - N lưu kg thành 26/02/2025</t>
  </si>
  <si>
    <t>Chỉ chứng kiến kg xuất kết quả - N lưu kg thành 26/02/2025</t>
  </si>
  <si>
    <t>Võ Văn No (chết) Võ Văn Phúc (thừa kế)</t>
  </si>
  <si>
    <t>0382834984</t>
  </si>
  <si>
    <t>Lê Thanh Long</t>
  </si>
  <si>
    <t>0978943232</t>
  </si>
  <si>
    <t>Lê Hồng Ngọc</t>
  </si>
  <si>
    <t>0919317863</t>
  </si>
  <si>
    <t>IG-27/02/2025</t>
  </si>
  <si>
    <t xml:space="preserve">Giao Tiên 27/02/2025 </t>
  </si>
  <si>
    <t xml:space="preserve">Giao Lan 27/02/2025 </t>
  </si>
  <si>
    <t>Nguyễn Thị Kim Phượng</t>
  </si>
  <si>
    <t>0986416947</t>
  </si>
  <si>
    <t>Nguyễn Hoàng Hiệp</t>
  </si>
  <si>
    <t>0918188979</t>
  </si>
  <si>
    <t xml:space="preserve">Giao hs gốc cho Bảo 27/02/2025 </t>
  </si>
  <si>
    <t>Trần Thị Thảo</t>
  </si>
  <si>
    <t>0932898598</t>
  </si>
  <si>
    <t>0939321881</t>
  </si>
  <si>
    <t>Nguyễn Văn Dọng</t>
  </si>
  <si>
    <t>0772198866</t>
  </si>
  <si>
    <t>Nguyễn Thị Tam Tùng (thừa kế) Nguyễn Văn Em (Chết)</t>
  </si>
  <si>
    <t>0774018048</t>
  </si>
  <si>
    <t>Nguyễn Thị Thân</t>
  </si>
  <si>
    <t>0918332079</t>
  </si>
  <si>
    <t>Kg thành - N lưu kg thành 27/02/2025</t>
  </si>
  <si>
    <t>cn--27/02/2025</t>
  </si>
  <si>
    <t xml:space="preserve">Giao Sơn 28/02/2025 </t>
  </si>
  <si>
    <t xml:space="preserve">Trả 1 cửa  bổ sung 28/02/2025 </t>
  </si>
  <si>
    <t>Không thành - N lưu kg thành 28/02/2025</t>
  </si>
  <si>
    <t>Nguyễn Thị Hồng</t>
  </si>
  <si>
    <t>Võ Thanh Quang</t>
  </si>
  <si>
    <t>Phạm Ngọc Ẩn</t>
  </si>
  <si>
    <t>0939664218</t>
  </si>
  <si>
    <t>Nguyễn Chí Tâm</t>
  </si>
  <si>
    <t>0919281828</t>
  </si>
  <si>
    <t>Lê Công Tâm</t>
  </si>
  <si>
    <t>0944401079</t>
  </si>
  <si>
    <t>Nguyễn Văn Vĩnh</t>
  </si>
  <si>
    <t>0939948826</t>
  </si>
  <si>
    <t>Kiều Long Hồ</t>
  </si>
  <si>
    <t xml:space="preserve">Giao hs gốc cho Lan 28/02/2025 </t>
  </si>
  <si>
    <t>0388579967</t>
  </si>
  <si>
    <t>Trần Thị Thanh Tâm</t>
  </si>
  <si>
    <t>32</t>
  </si>
  <si>
    <t>Hồ Ngọc Quang</t>
  </si>
  <si>
    <t>Có VB kg thành - N lưu hs kg thành 28/02/2025</t>
  </si>
  <si>
    <t>cmd-28/02/2025</t>
  </si>
  <si>
    <t xml:space="preserve">Giao Hạnh 28/02/2025 </t>
  </si>
  <si>
    <t>Đã trả hs cho CSD 28/02/2025</t>
  </si>
  <si>
    <t>Nguyễn Hữu Lộc</t>
  </si>
  <si>
    <t>0377777809</t>
  </si>
  <si>
    <t>IG-28/02/2025</t>
  </si>
  <si>
    <t>Kg thành - N lưu kg thành 28/02/2025</t>
  </si>
  <si>
    <t>Kg thành - N lưu kg thành 03/3/2025</t>
  </si>
  <si>
    <t>Tổ đo đã trả hs cho CSD 03/3/2025</t>
  </si>
  <si>
    <t>Nguyễn Thị Thôi</t>
  </si>
  <si>
    <t>0902272139</t>
  </si>
  <si>
    <t>25/02/2025 03/3/2025</t>
  </si>
  <si>
    <t>Lê Quốc Vũ</t>
  </si>
  <si>
    <t>0916999164</t>
  </si>
  <si>
    <t>HĐ số 27 ngày 03/3/2025 - PT số 07 ngày 03/3/2025</t>
  </si>
  <si>
    <t>Nguyễn Văn Bé Sáu</t>
  </si>
  <si>
    <t>0358479019</t>
  </si>
  <si>
    <t xml:space="preserve">Giao hs gốc cho Bảo 03/3/2025 </t>
  </si>
  <si>
    <t xml:space="preserve">Trả 1 cửa bổ sung 03/3/2025 </t>
  </si>
  <si>
    <t>Huỳnh Thị Thúy Nga</t>
  </si>
  <si>
    <t>0369382234</t>
  </si>
  <si>
    <t>Đặng Thị Cúc</t>
  </si>
  <si>
    <t>0393934149</t>
  </si>
  <si>
    <t>Mai Thị Huỳnh Điệp (thừa kế) Mai Phước Thì (Chết)</t>
  </si>
  <si>
    <t>0772851294</t>
  </si>
  <si>
    <t>Trần Lê Nhật Kiều</t>
  </si>
  <si>
    <t>0368093579</t>
  </si>
  <si>
    <t>Nguyễn Văn Ngọc</t>
  </si>
  <si>
    <t>0799615393</t>
  </si>
  <si>
    <t>Nguyễn Thị Xuân Loan</t>
  </si>
  <si>
    <t>0939002937</t>
  </si>
  <si>
    <t>IG</t>
  </si>
  <si>
    <t>Nguyễn Thị Thanh Phương</t>
  </si>
  <si>
    <t>0907315969</t>
  </si>
  <si>
    <t>Bùi Thị Cúc</t>
  </si>
  <si>
    <t>0932841611</t>
  </si>
  <si>
    <t>Nguyễn Hải Phú + Võ Thị Kim Mai</t>
  </si>
  <si>
    <t>0932957117</t>
  </si>
  <si>
    <t>HĐ số 28 ngày 04/3/2025</t>
  </si>
  <si>
    <t>PT số 08 ngày 04/3/2025</t>
  </si>
  <si>
    <t>VB trả lời cho tồn tại 04/3/2025</t>
  </si>
  <si>
    <t>Nguyễn Ngưỡng + Nguyễn Thị Trâm</t>
  </si>
  <si>
    <t xml:space="preserve">Giao Bảo hs gốc 04/3/2025 </t>
  </si>
  <si>
    <t>Văn Thị Mỹ Quyên</t>
  </si>
  <si>
    <t>cmd-04/3/2025</t>
  </si>
  <si>
    <t xml:space="preserve">Giao Thư 04/3/2025 </t>
  </si>
  <si>
    <t>Phùng Ngọc Lợi</t>
  </si>
  <si>
    <t>0907550234</t>
  </si>
  <si>
    <t>Bùi Chí Linh</t>
  </si>
  <si>
    <t>0785244337</t>
  </si>
  <si>
    <t>Nguyễn Hoàng Xuân (chết) Đặng Ngọc</t>
  </si>
  <si>
    <t>0779822697</t>
  </si>
  <si>
    <t>Phùng Văn Thuận</t>
  </si>
  <si>
    <t>0918772965</t>
  </si>
  <si>
    <t>Tạ Thị Nỡ</t>
  </si>
  <si>
    <t>0939898586</t>
  </si>
  <si>
    <t>0983991079</t>
  </si>
  <si>
    <t>Đặng Thị Ngọc Lang</t>
  </si>
  <si>
    <t>Trần Minh Thành</t>
  </si>
  <si>
    <t>0782970794</t>
  </si>
  <si>
    <t>Nguyễn Tấn Tài</t>
  </si>
  <si>
    <t xml:space="preserve">Giao hs gốc cho Bảo 05/3/2025 </t>
  </si>
  <si>
    <t>Huỳnh Ngọc Tân</t>
  </si>
  <si>
    <t>0932839299</t>
  </si>
  <si>
    <t>Trần Thị Hưởng</t>
  </si>
  <si>
    <t>0935157134</t>
  </si>
  <si>
    <t>Nguyễn Thị Phượng</t>
  </si>
  <si>
    <t>0918349991</t>
  </si>
  <si>
    <t>Cấp CN</t>
  </si>
  <si>
    <t>Phan Thị Bích Dân</t>
  </si>
  <si>
    <t>0965659739</t>
  </si>
  <si>
    <t>46+45</t>
  </si>
  <si>
    <t>115.3+336.1</t>
  </si>
  <si>
    <t>Sử Phương Thiên Quý</t>
  </si>
  <si>
    <t>0918734675</t>
  </si>
  <si>
    <t>HS Bảo CQ</t>
  </si>
  <si>
    <t>Lê Thành Khiêm</t>
  </si>
  <si>
    <t>0939623078</t>
  </si>
  <si>
    <t>Trần Thị Kim Trang</t>
  </si>
  <si>
    <t>0906702559</t>
  </si>
  <si>
    <t>HĐ số 29 ngày 05/3/2025 - PT số 09 ngày 05/3/2025</t>
  </si>
  <si>
    <t>Nguyễn Văn Đẹp</t>
  </si>
  <si>
    <t>0903131225</t>
  </si>
  <si>
    <t>Phạm Thị Yến Nhi</t>
  </si>
  <si>
    <t>0898120841</t>
  </si>
  <si>
    <t xml:space="preserve">Giao Thư 28/02/2025 - Giao Thư 06/3/2025 </t>
  </si>
  <si>
    <t>Kg thành - N lưu kg thành 06/3/2025</t>
  </si>
  <si>
    <t>Đã trả hs cho CSD 06/3/2025</t>
  </si>
  <si>
    <t>Phạm Văn Toản</t>
  </si>
  <si>
    <t>0913816926</t>
  </si>
  <si>
    <t>0385334635</t>
  </si>
  <si>
    <t>Ngô Ánh Ngọc</t>
  </si>
  <si>
    <t>0787844991</t>
  </si>
  <si>
    <t>IG-03/3/2025</t>
  </si>
  <si>
    <t xml:space="preserve">Giao Tiên 06/3/2025 </t>
  </si>
  <si>
    <t>Phạm Ngọc Tiên</t>
  </si>
  <si>
    <t>0949960000</t>
  </si>
  <si>
    <t>cn-05/3/2025</t>
  </si>
  <si>
    <t xml:space="preserve">Giao Sơn 06/3/2025 </t>
  </si>
  <si>
    <t>ct-05/3/2025</t>
  </si>
  <si>
    <t xml:space="preserve">Trả 1 cửa bổ sung 06/3/2025 </t>
  </si>
  <si>
    <t>Trần Minh Chí</t>
  </si>
  <si>
    <t>cmd-05/3/2025</t>
  </si>
  <si>
    <t xml:space="preserve">Giao Thư 05/3/2025 </t>
  </si>
  <si>
    <t>Lê Văn Bảy Lớn</t>
  </si>
  <si>
    <t>0932901853</t>
  </si>
  <si>
    <t xml:space="preserve">Giao hs cho Bảo 06/3/2025 </t>
  </si>
  <si>
    <t>Lê Thị Tròn</t>
  </si>
  <si>
    <t>54+86+55+56+87</t>
  </si>
  <si>
    <t>21+20</t>
  </si>
  <si>
    <t>2034.8+3862.4+2024.2+3506.7+4910.9</t>
  </si>
  <si>
    <t>CLN+LUC</t>
  </si>
  <si>
    <t>Phạm Mai Thanh Bình</t>
  </si>
  <si>
    <t>0949889430</t>
  </si>
  <si>
    <t>HĐ số 30 ngày 05/3/2025- PT số 10 ngày 05/3/2025</t>
  </si>
  <si>
    <t>Nguyễn Tuấn Hải</t>
  </si>
  <si>
    <t>0918055927</t>
  </si>
  <si>
    <t>Nguyễn Thị Kim Sang &gt;&lt; Nguyễn Văn Lộc</t>
  </si>
  <si>
    <t>29 (21)</t>
  </si>
  <si>
    <t>55 (26)</t>
  </si>
  <si>
    <t>2900 (2948.9)</t>
  </si>
  <si>
    <t>ĐN số 139/ĐN_TA ngày 03/3/2025 - HĐ số 31 ngày 13/3/2025</t>
  </si>
  <si>
    <t>Nguyễn Thị Tuyết Mai &gt;&lt; Phạm Xuân Giang</t>
  </si>
  <si>
    <t>QĐ số 57/2025/QĐ-TCĐĐ ngày 25/02/2025 - HĐ số 32 ngày 18/3/2025</t>
  </si>
  <si>
    <t>Trần Thị Hường &gt;&lt; Trần Văn Giao</t>
  </si>
  <si>
    <t>ĐN số 140/ĐN_TA ngày 03/3/2025 - HĐ số 32 ngày 13/3/2025</t>
  </si>
  <si>
    <t>Trương Ngọc Ba &gt;&lt; Nguyễn Thành Tuấn + Cao Thị Su Ly Cam</t>
  </si>
  <si>
    <t>64+63</t>
  </si>
  <si>
    <t>ĐN số 13/2025/ĐN-TA ngày 26/02/2025 - HĐ số 34 ngày 11/3/2025</t>
  </si>
  <si>
    <t>Ngân hàng TMCP Á Châu &gt;&lt; Hồ Thị Dung</t>
  </si>
  <si>
    <t>TM số 152/TM-CCTHADS ngày 03/3/2025 - HĐ số 35 ngày 26/3/2025</t>
  </si>
  <si>
    <t>TM số 153/TM-CCTHADS ngày 03/3/2025 - HĐ số 36 ngày 19/3/2025</t>
  </si>
  <si>
    <t>Ngân hàng TMCP Á Châu &gt;&lt; Công ty CP Thương mại- Dịch vụ - Xây dựng Kiến Phát</t>
  </si>
  <si>
    <t xml:space="preserve">Giao Sơn 07/3/2025 </t>
  </si>
  <si>
    <t>Trương Ngọc Hạnh</t>
  </si>
  <si>
    <t>cmd-07/3/2025</t>
  </si>
  <si>
    <t xml:space="preserve">Giao Lan 07/3/2025 </t>
  </si>
  <si>
    <t xml:space="preserve">Giao Thư 07/3/2025 </t>
  </si>
  <si>
    <t>Nguyễn Văn Thanh Hải</t>
  </si>
  <si>
    <t>0913364076</t>
  </si>
  <si>
    <t>Nguyễn Thị Thu Hà</t>
  </si>
  <si>
    <t>Đậu Thị Hương</t>
  </si>
  <si>
    <t>Võ Thị Hiệp</t>
  </si>
  <si>
    <t>0358942434</t>
  </si>
  <si>
    <t>13 (46)</t>
  </si>
  <si>
    <t>Nguyễn Văn Cường + Lê Thị Tuyết Thu</t>
  </si>
  <si>
    <t>0859628629</t>
  </si>
  <si>
    <t>Trương Thị Thùy Linh &gt;&lt; Cao Thị Tuyết Mai</t>
  </si>
  <si>
    <t>QĐ số 60/2025/QĐ-TCĐĐ ngày 03/3/2025 - HĐ số 37 ngày 27/3/2025</t>
  </si>
  <si>
    <t>Võ Thái Bình</t>
  </si>
  <si>
    <t>0979171568</t>
  </si>
  <si>
    <t>CSD xin hủy hs - N lưu kg thành 10/3/2025</t>
  </si>
  <si>
    <t xml:space="preserve">Giao hs gốc cho Bảo 10/3/2025 </t>
  </si>
  <si>
    <t>Có VB trả lời tồn tại 10/3/2025</t>
  </si>
  <si>
    <t>Đã trả hs cho CSD 10/3/2025</t>
  </si>
  <si>
    <t>Kg thành - N lưu kg thành 10/3/2025</t>
  </si>
  <si>
    <t>Lê Ngọc Ảnh</t>
  </si>
  <si>
    <t>0984719060</t>
  </si>
  <si>
    <t>2.060.577    2.060.577</t>
  </si>
  <si>
    <t>1345        1348</t>
  </si>
  <si>
    <t xml:space="preserve">Giao hs gốc cho Bảo 11/3/2025 </t>
  </si>
  <si>
    <t>Bình trả hs cho CSD 11/3/2025</t>
  </si>
  <si>
    <t>Đoàn Công Ngọc</t>
  </si>
  <si>
    <t>0907517217</t>
  </si>
  <si>
    <t>Đã trả hs cho CSD 11/3/2025</t>
  </si>
  <si>
    <t xml:space="preserve">Giao hs gốc cho A Nhân 11/3/2025 </t>
  </si>
  <si>
    <t>Đã trả hs cho CSD 11/03/2025</t>
  </si>
  <si>
    <t>Đinh Kim Tuyền</t>
  </si>
  <si>
    <t>0866408679</t>
  </si>
  <si>
    <t>Đỗ Thị Cân</t>
  </si>
  <si>
    <t>0914692866</t>
  </si>
  <si>
    <t>14+15</t>
  </si>
  <si>
    <t>100.0+100.0</t>
  </si>
  <si>
    <t>Phan Mộng Vân</t>
  </si>
  <si>
    <t>0327949138</t>
  </si>
  <si>
    <t>cmd-11/3/2025</t>
  </si>
  <si>
    <t xml:space="preserve">Giao Hạnh 11/3/2025 </t>
  </si>
  <si>
    <t>ct-11/3/2025</t>
  </si>
  <si>
    <t xml:space="preserve">Giao Sơn 11/3/2025 </t>
  </si>
  <si>
    <t>Có VB trả lời tồn tại 11/3/2025</t>
  </si>
  <si>
    <t>Đã trả hs cho cSD 11/3/2025</t>
  </si>
  <si>
    <t>Nguyễn Tuấn Vĩnh</t>
  </si>
  <si>
    <t>0914473434</t>
  </si>
  <si>
    <t xml:space="preserve">Giao hs gốc cho Bảo 12/3/2025 </t>
  </si>
  <si>
    <t>1265 hủy thay thế 1403 ngày 12/3/2025</t>
  </si>
  <si>
    <t xml:space="preserve">Lan trả lại hs gốc 07/3/2025 - Giao Lan hs gốc 12/3/2025 </t>
  </si>
  <si>
    <t>Có VB trả lời tồn tại 13/3/2025</t>
  </si>
  <si>
    <t>Nguyễn Ngọc Hà</t>
  </si>
  <si>
    <t>0901991791</t>
  </si>
  <si>
    <t>cn-12/3/2025</t>
  </si>
  <si>
    <t xml:space="preserve">Giao Sơn 12/3/2025 </t>
  </si>
  <si>
    <t>Nguyễn Bá Tùng</t>
  </si>
  <si>
    <t>0706911692</t>
  </si>
  <si>
    <t>03/03/2025 12/03/2025</t>
  </si>
  <si>
    <t>Tòa hoãn - N lưu kg thành 12/3/2025</t>
  </si>
  <si>
    <t>Đặng Thị Huệ An</t>
  </si>
  <si>
    <t>0835013395</t>
  </si>
  <si>
    <t>Phan Văn Bé Năm</t>
  </si>
  <si>
    <t>0918069998</t>
  </si>
  <si>
    <t>Hà Văn Phước</t>
  </si>
  <si>
    <t>0795034756</t>
  </si>
  <si>
    <t>kg thành - N lưu kg thành 12/3/2025</t>
  </si>
  <si>
    <t>Nguyễn Văn Lễ (chết) Nguyễn Văn Tính (Thừa kế)</t>
  </si>
  <si>
    <t>0917121364</t>
  </si>
  <si>
    <t>18-1+18-2</t>
  </si>
  <si>
    <t>118.8+4543.5</t>
  </si>
  <si>
    <t>05/03/2025 13/3/2025</t>
  </si>
  <si>
    <t>Tách CT -&gt; kg thể hiện lối đi -&gt; Xin ý kiến</t>
  </si>
  <si>
    <t>Phạm Bích Thủy</t>
  </si>
  <si>
    <t>0944996693</t>
  </si>
  <si>
    <t xml:space="preserve">Giao Bình hs gốc 13/3/2025 </t>
  </si>
  <si>
    <t>Đặng Thúy Phượng</t>
  </si>
  <si>
    <t>0782912349</t>
  </si>
  <si>
    <t>kg thành - N lưu kg thành 13/3/2025</t>
  </si>
  <si>
    <t>Đã trả hs cho CSD báo mất BN 13/3/2025</t>
  </si>
  <si>
    <t>cmd-13/3/2025</t>
  </si>
  <si>
    <t xml:space="preserve">Giao Thư 13/3/2025 </t>
  </si>
  <si>
    <t xml:space="preserve">Đã trả hs cho CSD 13/3/2025 </t>
  </si>
  <si>
    <t>Nguyễn Thị Thúy Nguyên</t>
  </si>
  <si>
    <t>100+98</t>
  </si>
  <si>
    <t>533.6+3510.1</t>
  </si>
  <si>
    <t>ODT-CLN + NTĐ</t>
  </si>
  <si>
    <t>Bùi Nguyễn Mai Phương</t>
  </si>
  <si>
    <t>0939993038</t>
  </si>
  <si>
    <t>Võ Bá Thịnh</t>
  </si>
  <si>
    <t>0834976966</t>
  </si>
  <si>
    <t>Mai Văn Bạn</t>
  </si>
  <si>
    <t>0906937833</t>
  </si>
  <si>
    <t>HĐ số 38 ngày 13/3/2025</t>
  </si>
  <si>
    <t>28/02/2025 12/3/2025</t>
  </si>
  <si>
    <t>Ngày 06/3/2025 có đơn xin điều chỉnh hình thức sử dụng tách thửa CMĐ-.CT có KQ ngày 12/3/2025</t>
  </si>
  <si>
    <t>Nguyễn Hùng Dũng</t>
  </si>
  <si>
    <t>0794238129</t>
  </si>
  <si>
    <t>Trần Ngọc Nhơn</t>
  </si>
  <si>
    <t>Nguyễn Thanh Lâm</t>
  </si>
  <si>
    <t>0932859789</t>
  </si>
  <si>
    <t>Tiêu Quang Mẫn + Nguyễn Thị Ngọc</t>
  </si>
  <si>
    <t>0794240009</t>
  </si>
  <si>
    <t>11 (16)</t>
  </si>
  <si>
    <t>136 (144)</t>
  </si>
  <si>
    <t>Huỳnh Đại</t>
  </si>
  <si>
    <t>Trẩn Văn Hòa</t>
  </si>
  <si>
    <t>0834534511</t>
  </si>
  <si>
    <t>Nguyễn Thị Xuyến + Nguyễn Huỳnh Lộc</t>
  </si>
  <si>
    <t>0947017297</t>
  </si>
  <si>
    <t>Phạm Văn Hùng</t>
  </si>
  <si>
    <t>0379975827</t>
  </si>
  <si>
    <t>41+690</t>
  </si>
  <si>
    <t>142.3+76.3</t>
  </si>
  <si>
    <t>Trần Thị Mai Thảo</t>
  </si>
  <si>
    <t>Nguyễn Đức Tiến</t>
  </si>
  <si>
    <t>Yêu cầu CSD XM cắt đường 14/3/2025</t>
  </si>
  <si>
    <t xml:space="preserve">Đinh Thị Thiếu </t>
  </si>
  <si>
    <t>0778779442</t>
  </si>
  <si>
    <t>Nguyễn Văn Đắc</t>
  </si>
  <si>
    <t>0827495979</t>
  </si>
  <si>
    <t>Đỗ Hữu Minh &gt;&lt; Dương Văn Hải</t>
  </si>
  <si>
    <t>ĐN số 70/2025/ĐN-TA ngày 11/3/2025 - HĐ số 39 ngày 08/4/2025</t>
  </si>
  <si>
    <t>Cao Thị Minh Phượng</t>
  </si>
  <si>
    <t>HĐ số 41 ngày 14/3/2025 - PT số 12 ngày 14/3/2025</t>
  </si>
  <si>
    <t>Phạm Văn Huệ</t>
  </si>
  <si>
    <t>Trương Thị Huệ &gt;&lt; Nguyễn Thị Thùy Dương + Nguyễn Thị Thùy Linh</t>
  </si>
  <si>
    <t>ĐN số 71/2025/ĐN.TA ngày 11/3/2025 - HĐ số 40 ngày 10/4/2025</t>
  </si>
  <si>
    <t>ct-14/3/2025</t>
  </si>
  <si>
    <t xml:space="preserve">Giao Sơn 14/3/2025 </t>
  </si>
  <si>
    <t>0982739127</t>
  </si>
  <si>
    <t>Hồng Võ Mỹ Quyên</t>
  </si>
  <si>
    <t>0908329502</t>
  </si>
  <si>
    <t>Nguyễn Tuyết Lan</t>
  </si>
  <si>
    <t>0866748299</t>
  </si>
  <si>
    <t>Võ Văn Hùng</t>
  </si>
  <si>
    <t>Nguyễn Văn Hùng</t>
  </si>
  <si>
    <t>0767949326</t>
  </si>
  <si>
    <t>HĐ số 42 ngày 17/3/2025 - PT số 13 ngày 17/3/2025</t>
  </si>
  <si>
    <t>Trịnh Thị Cưng</t>
  </si>
  <si>
    <t>0978721863</t>
  </si>
  <si>
    <t>Đặng Lê Nhật Thảo</t>
  </si>
  <si>
    <t>0964493289</t>
  </si>
  <si>
    <t>HĐ số 43 ngày 17/3/2025 - PT số 15 ngày 17/3/2025</t>
  </si>
  <si>
    <t>Võ Kim Hạnh</t>
  </si>
  <si>
    <t>0949685773</t>
  </si>
  <si>
    <t>Trần Ngọc Trân</t>
  </si>
  <si>
    <t>0907333816</t>
  </si>
  <si>
    <t>Phạm Thị Nhung</t>
  </si>
  <si>
    <t>0907921666</t>
  </si>
  <si>
    <t>Trần Long Thăng</t>
  </si>
  <si>
    <t>0919308749</t>
  </si>
  <si>
    <t>0962479638</t>
  </si>
  <si>
    <t>141+17</t>
  </si>
  <si>
    <t>1348.7+2390.2</t>
  </si>
  <si>
    <t>Nguyễn Bá Tòng (Chết) Nguyễn Thị Anh Đào + Nguyễn Thị Anh Đài (Tke)</t>
  </si>
  <si>
    <t>Phạm Trí Thức</t>
  </si>
  <si>
    <t>0939639399</t>
  </si>
  <si>
    <t>HS Huy CQ</t>
  </si>
  <si>
    <t>Vũ Voi</t>
  </si>
  <si>
    <t>Mỹ CQ</t>
  </si>
  <si>
    <t>ct-17/3/2025</t>
  </si>
  <si>
    <t xml:space="preserve">Giao Sơn 17/3/2025 </t>
  </si>
  <si>
    <t>Kg thành - N lưu kg thành 18/3/2025</t>
  </si>
  <si>
    <t>Lâm Thị Bình</t>
  </si>
  <si>
    <t>0834780106</t>
  </si>
  <si>
    <t>Đào Kim Phụng</t>
  </si>
  <si>
    <t>0772696081</t>
  </si>
  <si>
    <t>PT số 16 ngày 18/3/2025 - HĐ số 44 ngày 18/3/2025</t>
  </si>
  <si>
    <t>Mai Văn Thảo</t>
  </si>
  <si>
    <t>0903296029</t>
  </si>
  <si>
    <t>Nguyễn Anh Tuấn</t>
  </si>
  <si>
    <t>Trần Thị Ngọc Thảo</t>
  </si>
  <si>
    <t>0917747668</t>
  </si>
  <si>
    <t>Nguyễn Văn Tiến &gt;&lt; Huỳnh Ngọc Phú</t>
  </si>
  <si>
    <t>192+159</t>
  </si>
  <si>
    <t>142.7+1657.5</t>
  </si>
  <si>
    <t>Trần Nguyễn Hương Thanh</t>
  </si>
  <si>
    <t>Nguyễn Thành Kiệt</t>
  </si>
  <si>
    <t>Huỳnh Thị Chúc</t>
  </si>
  <si>
    <t>0941784427</t>
  </si>
  <si>
    <t xml:space="preserve">Giao hs gốc cho Tiên 19/3/2025 </t>
  </si>
  <si>
    <t xml:space="preserve">CV số 109/2025/CV-TA ngày 12/3/2025 -HĐ số 45 ngày 01/4/2025 </t>
  </si>
  <si>
    <t>Kha Tắc &gt;&lt; Nguyễn Hồng Dân</t>
  </si>
  <si>
    <t>93+284+393</t>
  </si>
  <si>
    <t>1423.7+575.2+403</t>
  </si>
  <si>
    <t xml:space="preserve">ODT-CLN + SKC + ODT </t>
  </si>
  <si>
    <t>QĐ số 82/2025/QĐ-XXTĐTC ngày 12/3/2025 - HĐ số 46 ngày 22/4/2024</t>
  </si>
  <si>
    <t xml:space="preserve">Trịnh Minh Dũng + Lê Thị Mỹ Vân </t>
  </si>
  <si>
    <t>0949392691</t>
  </si>
  <si>
    <t>16 (49)</t>
  </si>
  <si>
    <t>Lương Thị Lan Phương</t>
  </si>
  <si>
    <t>0914740022</t>
  </si>
  <si>
    <t>165+166</t>
  </si>
  <si>
    <t>281+335</t>
  </si>
  <si>
    <t>Có VB tồn tại 19/3/2025</t>
  </si>
  <si>
    <t>Trương Thành Sĩ + Lâm Thị Thu Lan</t>
  </si>
  <si>
    <t>0949400678</t>
  </si>
  <si>
    <t>Bạch Thị Ca</t>
  </si>
  <si>
    <t>cmd-19/3/2025</t>
  </si>
  <si>
    <t xml:space="preserve">GiaoLan 19/3/2025 </t>
  </si>
  <si>
    <t>ct-19/3/2025</t>
  </si>
  <si>
    <t xml:space="preserve">Trả 1 cửa bổ sung 19/3/2025 </t>
  </si>
  <si>
    <t>Huỳnh Thị Mỹ Lệ</t>
  </si>
  <si>
    <t>Trương Tòng</t>
  </si>
  <si>
    <t>0937988758</t>
  </si>
  <si>
    <t>HS Long CQ</t>
  </si>
  <si>
    <t>Phạm Tiến Dũng</t>
  </si>
  <si>
    <t>0918146178</t>
  </si>
  <si>
    <t>HS MỸ CQ</t>
  </si>
  <si>
    <t>Nguyễn Văn Chín</t>
  </si>
  <si>
    <t>0939794144</t>
  </si>
  <si>
    <t>Nguyễn Thị Ngọc Thủy</t>
  </si>
  <si>
    <t>0778067792</t>
  </si>
  <si>
    <t>Kg thể hiện lối đi -&gt; Xin ý kiến</t>
  </si>
  <si>
    <t>Huỳnh Thanh Nhàn</t>
  </si>
  <si>
    <t>Nguyễn Hữu Được</t>
  </si>
  <si>
    <t>0363917460</t>
  </si>
  <si>
    <t>Vũ Anh Vôn</t>
  </si>
  <si>
    <t>0918020918</t>
  </si>
  <si>
    <t>Trần Văn Mười</t>
  </si>
  <si>
    <t>0946192333</t>
  </si>
  <si>
    <t>133+108</t>
  </si>
  <si>
    <t>188.0+230.0</t>
  </si>
  <si>
    <t>Phan Thị Thúy An</t>
  </si>
  <si>
    <t>0783711520</t>
  </si>
  <si>
    <t>Lê Thị Dung</t>
  </si>
  <si>
    <t>0917845796</t>
  </si>
  <si>
    <t>Trương Thanh Nhân + Nguyễn Minh Như Vân</t>
  </si>
  <si>
    <t>0977153683</t>
  </si>
  <si>
    <t>HĐ số 47 ngày 20/3/2025 - PT số 17 ngày 20/3/2025</t>
  </si>
  <si>
    <t>kg thành - N lưu kg thành 20/3/2025</t>
  </si>
  <si>
    <t>ct-20/3/2025</t>
  </si>
  <si>
    <t xml:space="preserve">Giao Sơn 20/3/2025 </t>
  </si>
  <si>
    <t>cq-20/3/2025</t>
  </si>
  <si>
    <t>Võ Thanh Liêm</t>
  </si>
  <si>
    <t>0766887139</t>
  </si>
  <si>
    <t xml:space="preserve">Giao hs gốc cho Bảo 20/3/2025 </t>
  </si>
  <si>
    <t>Kg thành _ N lưu kg thành 21/3/2025</t>
  </si>
  <si>
    <t>Lê Thị Loan</t>
  </si>
  <si>
    <t>0901093879</t>
  </si>
  <si>
    <t>Võ Thanh Tuyền</t>
  </si>
  <si>
    <t>0983478939</t>
  </si>
  <si>
    <t>Nguyễn Thị Thum (thừa kế) Võ Văn Hoài + Võ Văn Bé (chết)</t>
  </si>
  <si>
    <t>0979198639</t>
  </si>
  <si>
    <t>44 (101)</t>
  </si>
  <si>
    <t>29 (78)</t>
  </si>
  <si>
    <t>Nguyễn Thị Kim Hồng</t>
  </si>
  <si>
    <t>0939261084</t>
  </si>
  <si>
    <t xml:space="preserve">CSD xin rút hs -Trả hs cho CSD 21/3/2025 </t>
  </si>
  <si>
    <t>Trả hs CSD 21/3/2025</t>
  </si>
  <si>
    <t>Lâm Minh Ái</t>
  </si>
  <si>
    <t>0988098010</t>
  </si>
  <si>
    <t>Phan Thị Phí</t>
  </si>
  <si>
    <t>0906103870</t>
  </si>
  <si>
    <t>Nguyễn Phương Bích Trân</t>
  </si>
  <si>
    <t>Võ Hoàng Dũng</t>
  </si>
  <si>
    <t>Lý Duy Nhất</t>
  </si>
  <si>
    <t>Nguyễn Tấn Thụ</t>
  </si>
  <si>
    <t>0868064064</t>
  </si>
  <si>
    <t xml:space="preserve">PNN-CLN </t>
  </si>
  <si>
    <t>Lê Tấn Anh</t>
  </si>
  <si>
    <t>0767902370</t>
  </si>
  <si>
    <t>Nguyễn Thùy Trân</t>
  </si>
  <si>
    <t>0939659522</t>
  </si>
  <si>
    <t>HĐ số 48 ngày 24/3/2025 - PT số 18 ngày 24/3/2025</t>
  </si>
  <si>
    <t>Nguyễn Thanh Tuyền</t>
  </si>
  <si>
    <t>0913912040</t>
  </si>
  <si>
    <t>Điền Hòa Tâm</t>
  </si>
  <si>
    <t>0913771125</t>
  </si>
  <si>
    <t>cn-24/3/2025</t>
  </si>
  <si>
    <t xml:space="preserve">GiaoSơn 24/3/2025 </t>
  </si>
  <si>
    <t>cmd-24/3/2025</t>
  </si>
  <si>
    <t xml:space="preserve">Giao Hạnh 24/3/2025 </t>
  </si>
  <si>
    <t>Nguyễn Thị Ngọc Phỉ</t>
  </si>
  <si>
    <t>0845786766</t>
  </si>
  <si>
    <t>116+77</t>
  </si>
  <si>
    <t>2842.8+1896.3</t>
  </si>
  <si>
    <t>Võ Thị Bằng</t>
  </si>
  <si>
    <t>0385172422</t>
  </si>
  <si>
    <t>Kg thành- Tổ đo trả hs cho CSD 25/3/2025 - N lưu BB kg thành</t>
  </si>
  <si>
    <t>Có BB kg thành - Tổ đo trả hs cho CSD 25/3/2025</t>
  </si>
  <si>
    <t>Tngai</t>
  </si>
  <si>
    <t>Có BB kg thành - N lưu kg thành 25/3/2025</t>
  </si>
  <si>
    <t>Trần Huy Đức</t>
  </si>
  <si>
    <t>0937953959</t>
  </si>
  <si>
    <t>Nguyễn Võ Văn Hiếu</t>
  </si>
  <si>
    <t>0939801117</t>
  </si>
  <si>
    <t>Nguyễn Thiên Phú</t>
  </si>
  <si>
    <t>Nguyễn Hoàng Minh</t>
  </si>
  <si>
    <t>0777882200</t>
  </si>
  <si>
    <t>ct-25/3/2025</t>
  </si>
  <si>
    <t xml:space="preserve">Giao Sơn 25/3/2025 </t>
  </si>
  <si>
    <t>Võ Thị Nhung</t>
  </si>
  <si>
    <t>cn-25/3/2025</t>
  </si>
  <si>
    <t>cmd-25/3/2025</t>
  </si>
  <si>
    <t xml:space="preserve">Giao Hạnh 25/3/2025 </t>
  </si>
  <si>
    <t>Nguyễn Thị Tám</t>
  </si>
  <si>
    <t xml:space="preserve">Giao Tiên 25/3/2025 </t>
  </si>
  <si>
    <t>Nguyễn Thị Năm (chết) Trần Quan Vũ + Trần Hoàng Huy (thừa kế)</t>
  </si>
  <si>
    <t>0846969221</t>
  </si>
  <si>
    <t>PT số 19 ngày 25/3/2025 - HĐ số 49 ngày 25/3/2025</t>
  </si>
  <si>
    <t xml:space="preserve">Giao hs gốc Cho Bảo 26/3/2025 </t>
  </si>
  <si>
    <t>cn-26/3/2025</t>
  </si>
  <si>
    <t xml:space="preserve">Giao Sơn 26/3/2025 </t>
  </si>
  <si>
    <t>IG-26/3/2025</t>
  </si>
  <si>
    <t xml:space="preserve">Giao Hạnh 26/3/2025 </t>
  </si>
  <si>
    <t>Lê Văn Tường &gt;&lt; Lê Văn Thuận</t>
  </si>
  <si>
    <t>ĐN số 94/2025/ĐN-TA ngày 19/3/2025 - HĐ số 50 ngày 15/4/2025</t>
  </si>
  <si>
    <t>cmd-26/3/2025</t>
  </si>
  <si>
    <t xml:space="preserve">Giao Lan 26/3/2025 </t>
  </si>
  <si>
    <t>csd xin rút hs - trả hs csd 26/3/2025</t>
  </si>
  <si>
    <t>Ngô Lệ Thủy</t>
  </si>
  <si>
    <t>0974144119</t>
  </si>
  <si>
    <t>10/01/2025 25/02/2025</t>
  </si>
  <si>
    <t>Có BB - N lưu kg thành 27/3/2025</t>
  </si>
  <si>
    <t xml:space="preserve">Trả 1 cửa bổ sung 27/3/2025 Làm thủ tục CT xong mới HT </t>
  </si>
  <si>
    <t xml:space="preserve">848+449 – </t>
  </si>
  <si>
    <t>197.7+34.1</t>
  </si>
  <si>
    <t xml:space="preserve">Trả 1 cửa bổ sung 26/3/2025 - Trả Lan  27/3/2025 </t>
  </si>
  <si>
    <t>IG-27/3/2025</t>
  </si>
  <si>
    <t xml:space="preserve">Giao 27/3/2025 </t>
  </si>
  <si>
    <t>Ca mượn hs gốc 27/3/2025</t>
  </si>
  <si>
    <t>CSD xin rút hs - Trả hs cho CSD 27/3/2025</t>
  </si>
  <si>
    <t>Nguyễn Thị Mộng Kiều</t>
  </si>
  <si>
    <t>0946666236</t>
  </si>
  <si>
    <t>201+49</t>
  </si>
  <si>
    <t>93.9+130.5</t>
  </si>
  <si>
    <t>Bạch Thị Trúc Quyên</t>
  </si>
  <si>
    <t>0989369968</t>
  </si>
  <si>
    <t>Hà Quốc Phong</t>
  </si>
  <si>
    <t>BÁO CÁO NGÀY 28/3/2025</t>
  </si>
  <si>
    <t>Huỳnh Thị Tám</t>
  </si>
  <si>
    <t>HS CA</t>
  </si>
  <si>
    <t>Nguyễn Công Danh</t>
  </si>
  <si>
    <t>0918499919</t>
  </si>
  <si>
    <t>Đang xin ý kiến tách kg lối đi VB số 136 ngày 27/3/2025</t>
  </si>
  <si>
    <t>0907143627</t>
  </si>
  <si>
    <t>Nguyễn Thị Minh</t>
  </si>
  <si>
    <t>Lưu kg thành 28/3/2025</t>
  </si>
  <si>
    <t>Đang xin ý kiến tách kg lối đi VB số 137 ngày 27/3/2025</t>
  </si>
  <si>
    <t>BÁO CÁO NGÀY 28/03/2025</t>
  </si>
  <si>
    <t>Hồ Thanh Tâm</t>
  </si>
  <si>
    <t>Phan Thanh Sử</t>
  </si>
  <si>
    <t>Nguyễn Thị Bính</t>
  </si>
  <si>
    <t>Lê Thị Kim Trang</t>
  </si>
  <si>
    <t>0914459482</t>
  </si>
  <si>
    <t>Ngô Thành Thương</t>
  </si>
  <si>
    <t>0975102850</t>
  </si>
  <si>
    <t>Huy</t>
  </si>
  <si>
    <t>HS cũ năm 2023</t>
  </si>
  <si>
    <t>14/03/2025 26/3/2025</t>
  </si>
  <si>
    <t>Đang giữ 2 BN</t>
  </si>
  <si>
    <t>Bảo CQ</t>
  </si>
  <si>
    <t>0918754944</t>
  </si>
  <si>
    <t>Lê Anh Kiệt</t>
  </si>
  <si>
    <t>0941047862</t>
  </si>
  <si>
    <t>HS HUY</t>
  </si>
  <si>
    <t>HUY CQ</t>
  </si>
  <si>
    <t>Tô Hồng Thủy</t>
  </si>
  <si>
    <t>0917736829</t>
  </si>
  <si>
    <t>0907324129</t>
  </si>
  <si>
    <t>Võ Phụng Huyền Trân</t>
  </si>
  <si>
    <t>0908451736</t>
  </si>
  <si>
    <t>Văn Thị Nhi</t>
  </si>
  <si>
    <t>53+69</t>
  </si>
  <si>
    <t>92.5+92.5</t>
  </si>
  <si>
    <t>0906644725</t>
  </si>
  <si>
    <t>Phạm Văn Rẩy &gt;&lt; Bùi Thanh Xuân</t>
  </si>
  <si>
    <t>CV số 132/2025/CV-TA ngày 20/3/2025 - HĐ số 51 ngày 03/4/2025</t>
  </si>
  <si>
    <t>Nguyễn Thị Hồng Ánh</t>
  </si>
  <si>
    <t>0704810964</t>
  </si>
  <si>
    <t>Nguyễn Minh Hải</t>
  </si>
  <si>
    <t>0983037795</t>
  </si>
  <si>
    <t xml:space="preserve">Giao hs gốc cho Bảo 31/3/2025 </t>
  </si>
  <si>
    <t>cmd-258/3/2025</t>
  </si>
  <si>
    <t xml:space="preserve">Giao Hạnh 31/3/2025 </t>
  </si>
  <si>
    <t>cn-31/3/2025</t>
  </si>
  <si>
    <t xml:space="preserve">Giao Sơn 31/3/2025 </t>
  </si>
  <si>
    <t>Nguyễn Văn Mười</t>
  </si>
  <si>
    <t>0932804580</t>
  </si>
  <si>
    <t>Huỳnh Văn Vinh + Huỳnh Văn Trí + Huỳnh Thị Tuyết Mai + Huỳnh Thị Bạch Huệ + Huỳnh Thị Kim Loan + Huỳnh Kim Phượng + Huỳnh Ngọc Bữu + Huỳnh Thị Sương + Huỳnh Văn Trí + Huỳnh Thị Thu &gt;&lt; Công An Tỉnh Vĩnh Long</t>
  </si>
  <si>
    <t>HĐ số 52 ngày 24/4/2025 - QĐ số 111/2025/QĐ-TCĐĐ ngày 24/3/2025</t>
  </si>
  <si>
    <t>Thòa</t>
  </si>
  <si>
    <t>Huỳnh Văn Tư</t>
  </si>
  <si>
    <t>0987618575</t>
  </si>
  <si>
    <t>Nguyễn Thị Ly</t>
  </si>
  <si>
    <t>0933333119</t>
  </si>
  <si>
    <t>Đinh Hoàng Niên</t>
  </si>
  <si>
    <t>ct-31/3/2025</t>
  </si>
  <si>
    <t>Mời CSD xin gia hạn rồi mới xin ý kiến 31/3/2025</t>
  </si>
  <si>
    <t>CSD báo 04/4/2025 có Giấy gia hạn - N lưu kg thành 31/3/2025</t>
  </si>
  <si>
    <t xml:space="preserve">  </t>
  </si>
  <si>
    <t>Dương Thị Thu Trang</t>
  </si>
  <si>
    <t>0981652985</t>
  </si>
  <si>
    <t>HĐ số 53 ngày 31/3/2025 - PT số 21 ngày 31/3/2025</t>
  </si>
  <si>
    <t>Tăng Nhuần Lợi</t>
  </si>
  <si>
    <t>0918165941</t>
  </si>
  <si>
    <t>Trương Văn Chiến</t>
  </si>
  <si>
    <t>0865942767</t>
  </si>
  <si>
    <t>Hồ Văn Giàu</t>
  </si>
  <si>
    <t>0856673639</t>
  </si>
  <si>
    <t>0329395959</t>
  </si>
  <si>
    <t>HĐ số 54 ngày 31/3/2024 - PT số 20 ngày 31/3/2025</t>
  </si>
  <si>
    <t>Ninh Duy Long</t>
  </si>
  <si>
    <t>Nguyễn Thị Thu Hằng</t>
  </si>
  <si>
    <t>Trương Thị Thu Thủy</t>
  </si>
  <si>
    <t>0933899255</t>
  </si>
  <si>
    <t>Trương Tâm Trung + Lâm Thị Hương Giang</t>
  </si>
  <si>
    <t>Trần Quốc Khánh</t>
  </si>
  <si>
    <t>0907481039</t>
  </si>
  <si>
    <t xml:space="preserve">Giao hs cho Bình-Duy điều chỉnh KQ đo đạc 01/4/2025 </t>
  </si>
  <si>
    <t>Kg thành - N lưu kg thành 01/4/2025 - Có BB</t>
  </si>
  <si>
    <t>CSD xin điều chỉnh KQ đo đạc ký lại 01/4/2025</t>
  </si>
  <si>
    <t>Phương Mỹ Hạnh</t>
  </si>
  <si>
    <t>0773849607</t>
  </si>
  <si>
    <t>0768829484</t>
  </si>
  <si>
    <t>Phạm Thái Hùng</t>
  </si>
  <si>
    <t>Kg thành - N lưu kg thành 01/4/2025</t>
  </si>
  <si>
    <t>Lâm Thị Hương Giang</t>
  </si>
  <si>
    <t>CS xin hủy KQ đo 31/3/2025 giao Bình</t>
  </si>
  <si>
    <t>Phan Kế Toại</t>
  </si>
  <si>
    <t>0949685677</t>
  </si>
  <si>
    <t>SKC</t>
  </si>
  <si>
    <t>Thái Thanh Thảo</t>
  </si>
  <si>
    <t>0976625153</t>
  </si>
  <si>
    <t>Ngô Thị Bốn + Trần Hồng Phấn</t>
  </si>
  <si>
    <t>0939774589</t>
  </si>
  <si>
    <t>Trần Hồng Phấn</t>
  </si>
  <si>
    <t>Lý Hùng &gt;&lt; Võ Thị Ngọc Trân</t>
  </si>
  <si>
    <t>HĐ số 56 ngày 10/4/2025 - CV số 134/2025/CV-TA ngày 20/3/2025</t>
  </si>
  <si>
    <t xml:space="preserve">Phạm Hoàng Minh &gt;&lt; Ngô Thị Thanh Thúy </t>
  </si>
  <si>
    <t>HĐ số 57 ngày 08/4/2025 - CV số 140/2025/CV-TA ngày 20/3/2025</t>
  </si>
  <si>
    <t>Nguyễn Định Cương</t>
  </si>
  <si>
    <t>Ngân hàng TMCP Phương Đông &gt;&lt; Nguyễn Duy Tâm + Nguyễn Thị Kim Thoa</t>
  </si>
  <si>
    <t>HĐ số 59 ngày 02/4/2025 - TM số 228/TM-CCTHADS ngày 24/3/2025</t>
  </si>
  <si>
    <t>HĐ số 58 ngày 02/4/2025 - TM số 232/TM-CCTHADS ngày 25/3/2025</t>
  </si>
  <si>
    <t>Có BB kg thành _ N lưu hs kg thành 01/4/2025</t>
  </si>
  <si>
    <t xml:space="preserve">Giao hs gốc cho Bảo 01/4/2025 </t>
  </si>
  <si>
    <t xml:space="preserve">Nguyễn Bích Thùy </t>
  </si>
  <si>
    <t>0939928292</t>
  </si>
  <si>
    <t>HĐ số 60 ngày 01/4/2025 - PT số 23 ngày 01/4/2025</t>
  </si>
  <si>
    <t>0913889225</t>
  </si>
  <si>
    <t>CSD xin út hs - N lưu kg thành 01/4/2025</t>
  </si>
  <si>
    <t>Đoàn Hữu Thạch</t>
  </si>
  <si>
    <t xml:space="preserve">Giao hs gốc cho Bảo 02/4/2025 </t>
  </si>
  <si>
    <t>Đã thực hiện -&gt; Kg giao kết quả -&gt; Kg thu tiền 02/4/2025</t>
  </si>
  <si>
    <t>31/3/22025</t>
  </si>
  <si>
    <t>0782810898</t>
  </si>
  <si>
    <t>Huỳnh Kiêm Nguyệt</t>
  </si>
  <si>
    <t>0782257525</t>
  </si>
  <si>
    <t>Nguyễn Hoàng Minh + Lý Thị Hằng</t>
  </si>
  <si>
    <t>0935145471</t>
  </si>
  <si>
    <t xml:space="preserve">HĐ số 47 ngày 20/3/2025 </t>
  </si>
  <si>
    <t>1798 (27/3/2025) hủy thay thế 1965</t>
  </si>
  <si>
    <t>Thiều Minh Thắng</t>
  </si>
  <si>
    <t>0799888090</t>
  </si>
  <si>
    <t xml:space="preserve">Giao Bảo hs gốc 03/4/2025 </t>
  </si>
  <si>
    <t>Nguyễn Văn Lô</t>
  </si>
  <si>
    <t>0353992592</t>
  </si>
  <si>
    <t>cmd-03/4/2025</t>
  </si>
  <si>
    <t xml:space="preserve">Giao Lan 03/4/2025 </t>
  </si>
  <si>
    <t>Trần Hữu Tài + Nguyễn Đức Minh</t>
  </si>
  <si>
    <t>0938720725</t>
  </si>
  <si>
    <t>Xin ý kiến - Tách thửa kg lối đi</t>
  </si>
  <si>
    <t>Huỳnh Thị Kim Cúc</t>
  </si>
  <si>
    <t>0903113520</t>
  </si>
  <si>
    <t>HĐ số 62 ngày 03/4/2025 - PT số 26 ngày 03/4/2025</t>
  </si>
  <si>
    <t xml:space="preserve">Giao Tiên 03/4/2025 </t>
  </si>
  <si>
    <t xml:space="preserve">Giao Hạnh 03/4/2025 </t>
  </si>
  <si>
    <t>ig-03/4/2025</t>
  </si>
  <si>
    <t xml:space="preserve">Giao Thư 03/4/2025 </t>
  </si>
  <si>
    <t>Trần Thị Chúc Hà</t>
  </si>
  <si>
    <t>0377943220</t>
  </si>
  <si>
    <t>Phan Hồng Sơn</t>
  </si>
  <si>
    <t>0397720810</t>
  </si>
  <si>
    <t>HĐ số 63 ngày 03/4/2025 - PT số 25 ngày 03/4/2025</t>
  </si>
  <si>
    <t>Phan Hồng Anh</t>
  </si>
  <si>
    <t>0939101345</t>
  </si>
  <si>
    <t>hs vũ sơn</t>
  </si>
  <si>
    <t>Nguyễn Ngọc Minh Hân</t>
  </si>
  <si>
    <t>hs phúc vinh</t>
  </si>
  <si>
    <t>IG-03/4/2025</t>
  </si>
  <si>
    <t>HĐ số 61 ngày 02/4/2024 - PT số 24 ngày 2/4/2025</t>
  </si>
  <si>
    <t>03/03/2025 03/4/2025</t>
  </si>
  <si>
    <t>Nguyễn Vũ Tâm Nguyên + Sơn Thị Nhan</t>
  </si>
  <si>
    <t>0898422080</t>
  </si>
  <si>
    <t>Nguyễn Thị Lùng</t>
  </si>
  <si>
    <t>0932922633</t>
  </si>
  <si>
    <t>Phạm Văn Thanh</t>
  </si>
  <si>
    <t>Nguyễn Thị Nga + Nguyễn Thanh Toàn + Nguyễn Phi Thoàng</t>
  </si>
  <si>
    <t>Nguyễn Ngọc Xuân Thanh</t>
  </si>
  <si>
    <t>0706749055</t>
  </si>
  <si>
    <t>Lê Hữu Thành + Lê Hữu Tín + Lê Hữu Quang + Lê Thanh Huy</t>
  </si>
  <si>
    <t>Dương Văn Bé Tư</t>
  </si>
  <si>
    <t>0916558313</t>
  </si>
  <si>
    <t xml:space="preserve">Giao Bảo hs gốc 04/4/2025 </t>
  </si>
  <si>
    <t>01/04/2025 04/4/2025</t>
  </si>
  <si>
    <t>1897     2009</t>
  </si>
  <si>
    <t>2.038.310 1.019.155</t>
  </si>
  <si>
    <t>Nguyễn Thị Lệ &gt;&lt; Nguyễn Thanh Hùng</t>
  </si>
  <si>
    <t>HĐ số 64 ngày 15/4/2025 - QĐ số 14/2025/QĐ-TCĐĐ ngày 31/3/2025</t>
  </si>
  <si>
    <t>Trần Tiến Sỹ &gt;&lt; Hồ Kim Hoàng</t>
  </si>
  <si>
    <t>HĐ số 65 ngày 15/4/2025 - TM  ngày 01/4/2025</t>
  </si>
  <si>
    <t>cn-04/4/2025</t>
  </si>
  <si>
    <t xml:space="preserve">Giao Sơn 04/4/2025 </t>
  </si>
  <si>
    <t>Kg thành - N lưu hs kg thành 04/4/2025</t>
  </si>
  <si>
    <t>Nguyễn Văn Truyện (thừa kế) + Nguyễn Thị Hai (chết)</t>
  </si>
  <si>
    <t>0916746406</t>
  </si>
  <si>
    <t>13/03/2025 04/4/2025</t>
  </si>
  <si>
    <t>Nguyễn Văn Thanh</t>
  </si>
  <si>
    <t>0796681649</t>
  </si>
  <si>
    <t>Phạm Thị Đờ Ri (chết) Nguyễn Thị Minh Hoàng (thừa kế)</t>
  </si>
  <si>
    <t>0987228079</t>
  </si>
  <si>
    <t>Trương Thanh Tâm</t>
  </si>
  <si>
    <t>0913731685</t>
  </si>
  <si>
    <t>IG-04/4/2025</t>
  </si>
  <si>
    <t xml:space="preserve">Giao Lan 04/4/2025 </t>
  </si>
  <si>
    <t>IG-08/4/2025</t>
  </si>
  <si>
    <t xml:space="preserve">Giao Thư 08/4/2025 </t>
  </si>
  <si>
    <t>Đặng Văn Ne</t>
  </si>
  <si>
    <t>0907330386</t>
  </si>
  <si>
    <t>Bảo Tòa Án báo bị đơn xin hoãn-&gt; Hủy lịch 08/4/2025</t>
  </si>
  <si>
    <t>ct-08/4/2025</t>
  </si>
  <si>
    <t xml:space="preserve">Giao Sơn 08/4/2025 </t>
  </si>
  <si>
    <t>N lưu kg thành 08/4/2025</t>
  </si>
  <si>
    <t>Có BB kg thành-Đã trả hs cho CSD 08/4/2025</t>
  </si>
  <si>
    <t>Kha Tân</t>
  </si>
  <si>
    <t xml:space="preserve">Giao hs gốc cho Bảo 08/4/2025 </t>
  </si>
  <si>
    <t>Trần Văn Hoàng</t>
  </si>
  <si>
    <t>Nguyễn Thị Mỹ Huệ</t>
  </si>
  <si>
    <t>0362358426</t>
  </si>
  <si>
    <t>Tách CMĐ kg lối đi -&gt; Xin ý kiến</t>
  </si>
  <si>
    <t>Lê Thị Thu Hương</t>
  </si>
  <si>
    <t>0939996509</t>
  </si>
  <si>
    <t>Hồ Văn Long</t>
  </si>
  <si>
    <t>0356599152</t>
  </si>
  <si>
    <t>Mai Thị Bảy</t>
  </si>
  <si>
    <t>0939604056</t>
  </si>
  <si>
    <t>Nhàn quỹ đất</t>
  </si>
  <si>
    <t>Hoàng Thị Kim Lan &gt;&lt; Nguyễn Thị Nga + Đào Nhựt Chiến</t>
  </si>
  <si>
    <t>HĐ số 66 ngày 23/4/2025 - TM số 278/TM-CCTHADS ngày 03/4/2025</t>
  </si>
  <si>
    <t>Cao Thị Kim Phụng</t>
  </si>
  <si>
    <t>0977777745</t>
  </si>
  <si>
    <t>Ngô Hoàng Diễm + Ngô Hoàng Anh + Ngô Hoàng Tâm &gt;&lt; Trương Khắc Liêm</t>
  </si>
  <si>
    <t>HĐ số 67 ngày 15/4/2025 - ĐN số 113/2025/ĐN-TA ngày 24/3/2025</t>
  </si>
  <si>
    <t>Lâm Văn Ánh +    Đặng Thị Nhàn</t>
  </si>
  <si>
    <t>0907166155</t>
  </si>
  <si>
    <t>Phạm Thị Thu Thủy</t>
  </si>
  <si>
    <t>270+271</t>
  </si>
  <si>
    <t>214.2+100.0</t>
  </si>
  <si>
    <t>BÁO CÁO NGÀY 09/4/2025</t>
  </si>
  <si>
    <t>BÁO CÁO NGÀY 9/4/2025</t>
  </si>
  <si>
    <t>cq-08/4/2025</t>
  </si>
  <si>
    <t xml:space="preserve">Giao Sơn 09/4/2025 </t>
  </si>
  <si>
    <t>Nguyễn Thị Thúy Thẳng</t>
  </si>
  <si>
    <t>0907977034</t>
  </si>
  <si>
    <t>Nguyễn Thị Di Linh</t>
  </si>
  <si>
    <t>Trương Minh Chánh</t>
  </si>
  <si>
    <t>Trương Thành Tân</t>
  </si>
  <si>
    <t>Nguyễn Trọng Lực + Nguyễn Thị Còn</t>
  </si>
  <si>
    <t>0979197019</t>
  </si>
  <si>
    <t xml:space="preserve">Tách thửa không lối đi </t>
  </si>
  <si>
    <t>Trà hs cho CSD 09/4/2025</t>
  </si>
  <si>
    <t>Nguyễn Phượng Kiều</t>
  </si>
  <si>
    <t>0965667782</t>
  </si>
  <si>
    <t>PT số 27 ngày 09/4/2025 - HĐ số 68 ngày 09/4/2025</t>
  </si>
  <si>
    <t>cmd-09/4/2025</t>
  </si>
  <si>
    <t xml:space="preserve">Giao Thư 09/4/2025 </t>
  </si>
  <si>
    <t>Phạm Văn Răng (chết) Phạm Kim Lan (thừa kế)</t>
  </si>
  <si>
    <t>0918114227</t>
  </si>
  <si>
    <t>Nguyễn Thị Bé &gt;&lt; Dương Thị Sự</t>
  </si>
  <si>
    <t>HĐ số 69 ngày 24/4/2025- CV số 167/2025/CV-TA ngày 03/4/2025</t>
  </si>
  <si>
    <t>HĐ số 70 ngày 02/4/2025- ĐN số 02/ĐN-TA ngày 02/4/2025</t>
  </si>
  <si>
    <t>Lê Thanh Ngà &gt;&lt; Phạm Văn Hoàng</t>
  </si>
  <si>
    <t>Nguyễn Thị Lan &gt;&lt; Huỳnh Tấn Dũng + Nguyễn Thị Ngọc Giàu</t>
  </si>
  <si>
    <t>HĐ số 71 ngày 23/4/2025 - TM số 260/TM-CCTHA ngày 31/3/2025</t>
  </si>
  <si>
    <t>HS VŨ VOI</t>
  </si>
  <si>
    <t>Cao Xuân Trường</t>
  </si>
  <si>
    <t>Có BB kg thành - đã trả hs cho CSD 10/4/2025</t>
  </si>
  <si>
    <t>CSD xin rút hs - N lưu  kg thành 10/4/2025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</si>
  <si>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</si>
  <si>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Võ Thị Hồng</t>
  </si>
  <si>
    <t>Lê Nguyễn Đức Tín</t>
  </si>
  <si>
    <t xml:space="preserve">Giao Sơn 10/4/2025 </t>
  </si>
  <si>
    <t>Phạm Nhật Minh + Trần Thị Thùy Trang</t>
  </si>
  <si>
    <t>0932856134</t>
  </si>
  <si>
    <t>0396719979</t>
  </si>
  <si>
    <t>CSD xin rút hs - N lưu kg thành 10/4/2025</t>
  </si>
  <si>
    <t>Có BB kg thành-Đã trả hs cho CSD 11/4/2025</t>
  </si>
  <si>
    <t>Phan Thị Mỹ Trang</t>
  </si>
  <si>
    <t>0931391193</t>
  </si>
  <si>
    <t>Đào Văn Hiệp</t>
  </si>
  <si>
    <t>0906020292</t>
  </si>
  <si>
    <t>ct-11/4/2025</t>
  </si>
  <si>
    <t xml:space="preserve">Giao Sơn 11/4/2025 </t>
  </si>
  <si>
    <t>cmd-11/4/2025</t>
  </si>
  <si>
    <t>Huỳnh Thị Hiếu &gt;&lt; Nguyễn Phước Ngọc</t>
  </si>
  <si>
    <t>HĐ số 72 ngày 17/4/2025 - ĐN số 528/2025/ĐN-TA ngày 31/3/2025</t>
  </si>
  <si>
    <t>Nguyễn Thị Bé Hai</t>
  </si>
  <si>
    <t>0977503813</t>
  </si>
  <si>
    <t xml:space="preserve">Trả 1 cửa  bổ sung 11/4/2025 </t>
  </si>
  <si>
    <t xml:space="preserve">Giao hs gốc cho Trí 07/02/2025 </t>
  </si>
  <si>
    <t xml:space="preserve">Giao hs gốc cho Trí 11/4/2025 </t>
  </si>
  <si>
    <t>Nguyễn Thị Minh Anh</t>
  </si>
  <si>
    <t>0986416269</t>
  </si>
  <si>
    <t>11/4/20253</t>
  </si>
  <si>
    <t>Dương Trung Hiếu</t>
  </si>
  <si>
    <t>0907960323</t>
  </si>
  <si>
    <t>Nguyễn Thị Đở</t>
  </si>
  <si>
    <t>0704801622</t>
  </si>
  <si>
    <t>HĐ số 73 ngày 14/4/2025 - PT số 28 ngày 14/4/2025</t>
  </si>
  <si>
    <t>Nguyễn Thị Kim Lan</t>
  </si>
  <si>
    <t>cmd-14/4/2025</t>
  </si>
  <si>
    <t xml:space="preserve">Giao Thư 14/4/2025 </t>
  </si>
  <si>
    <t xml:space="preserve">Giao Lan 11/4/2025 - Giao Lan 14/4/2025 </t>
  </si>
  <si>
    <t>BÁO CÁO NGÀY 14/4/2025</t>
  </si>
  <si>
    <t>Lê Thị Kim Thanh</t>
  </si>
  <si>
    <t>0966758989</t>
  </si>
  <si>
    <t>Lê Hoàng Khương</t>
  </si>
  <si>
    <t xml:space="preserve">Giao Tiên 15/4/2025 </t>
  </si>
  <si>
    <t xml:space="preserve">Giao Thư 15/4/2025 </t>
  </si>
  <si>
    <t>Ngô Quốc Bình</t>
  </si>
  <si>
    <t>ct-14/4/2025</t>
  </si>
  <si>
    <t xml:space="preserve">Giao Sơn 15/4/2025 </t>
  </si>
  <si>
    <t>cn-14/4/2025</t>
  </si>
  <si>
    <t>Phạm Văn Đức + Huỳnh Thị Sáu</t>
  </si>
  <si>
    <t>0936789011</t>
  </si>
  <si>
    <t>Lê Minh Lý</t>
  </si>
  <si>
    <t>0834184444</t>
  </si>
  <si>
    <t>0988617159</t>
  </si>
  <si>
    <t>HĐ số 75 ngày 24/4/2025 - ĐN số 70/2025/ĐN-TA ngày 08/4/2025</t>
  </si>
  <si>
    <t>0917837637</t>
  </si>
  <si>
    <t>0964684019</t>
  </si>
  <si>
    <t>PT số 29 ngày 14/4/2025 - HĐ số 74 ngày 14/4/2025</t>
  </si>
  <si>
    <t xml:space="preserve">Giao hs gốc cho Bảo 15/4/2025 </t>
  </si>
  <si>
    <t>Tòa hoãn - N lưu hs kg thành 15/4/2025</t>
  </si>
  <si>
    <t>2265  2290</t>
  </si>
  <si>
    <t>961.551   961.551</t>
  </si>
  <si>
    <t>Nguyễn Thị Hồng Điệp + Lê Thị Minh Nguyệt</t>
  </si>
  <si>
    <t>Có BB kg thành - N lưu hs 15/4/2025</t>
  </si>
  <si>
    <t>Nguyễn Dương Tấn Huy</t>
  </si>
  <si>
    <t>0932958652</t>
  </si>
  <si>
    <t>Lê Thị Mỹ Hoa</t>
  </si>
  <si>
    <t>0932496353</t>
  </si>
  <si>
    <t xml:space="preserve">Giao hs gốc cho Bảo 16/4/2025 </t>
  </si>
  <si>
    <t xml:space="preserve">Giao hs gốc cho Trí 16/4/2025 </t>
  </si>
  <si>
    <t>Gan Thị Phương Ánh &gt;&lt; Nguyễn Văn Đặng</t>
  </si>
  <si>
    <t>96+95</t>
  </si>
  <si>
    <t>ĐN số 507/2025/ĐN.TA ngày 08/4/2025 - HĐ số 76 ngày 22/4/2025</t>
  </si>
  <si>
    <t>Phan Thị Thúy Kiều &gt;&lt; Lê Văn No</t>
  </si>
  <si>
    <t>231+31+232</t>
  </si>
  <si>
    <t>434.9+103.3+673.6</t>
  </si>
  <si>
    <t>CV số 175/2025/CV.TA ngày 08/4/2025 - HĐ số 77 ngày 29/4/2025</t>
  </si>
  <si>
    <t>Lâm Thị Phương Thảo &gt;&lt; Mai Nghĩa Sang</t>
  </si>
  <si>
    <t>CV số 177/2025/CV-TA ngày 08/4/2025 - HĐ số 78 ngày 08/5/2025</t>
  </si>
  <si>
    <t>Trần Lý Trung Dũng &gt;&lt; Nguyễn Minh Tâm</t>
  </si>
  <si>
    <t>CV số 174/2025/CV-TA ngày 08/4/2025 - HĐ số 79 ngày 06/5/2025</t>
  </si>
  <si>
    <t>Tiên Anh Phụng</t>
  </si>
  <si>
    <t>Nguyễn Ngọc Mới</t>
  </si>
  <si>
    <t>0794216260</t>
  </si>
  <si>
    <t>Trần Minh Tuấn + Đỗ Thị Kim Ngọc</t>
  </si>
  <si>
    <t>0971595292</t>
  </si>
  <si>
    <t>PT số 30 ngày 16/4/2025 - HĐ số 80 ngày 16/4/2025</t>
  </si>
  <si>
    <t>Châu Tấn Thành</t>
  </si>
  <si>
    <t>0845999639</t>
  </si>
  <si>
    <t>Đã xin ý kiến BGĐ cho phép đổi tổ đo</t>
  </si>
  <si>
    <t>PT số 31 ngày 16/4/2025 - HĐ số 81 ngày 16/4/2025</t>
  </si>
  <si>
    <t>Nguyễn Văn Bút</t>
  </si>
  <si>
    <t>0939260163</t>
  </si>
  <si>
    <t>Nguyễn Thị Ngọc Liễu</t>
  </si>
  <si>
    <t>PT số 33 ngày 16/4/2025 - HĐ số 83 ngày 16/4/2025</t>
  </si>
  <si>
    <t>PT số 32 ngày 16/4/2025 - HĐ số 82 ngày 16/4/2025</t>
  </si>
  <si>
    <t>Dương Tấn Đức + Huỳnh Thị Diện</t>
  </si>
  <si>
    <t>0913604359</t>
  </si>
  <si>
    <t>Văn Kim Tố</t>
  </si>
  <si>
    <t>0973089099</t>
  </si>
  <si>
    <t>hs huy cq</t>
  </si>
  <si>
    <t>Nguyễn Văn Nhã</t>
  </si>
  <si>
    <t>huy cq</t>
  </si>
  <si>
    <t>Đoàn Cao Thanh Hưng</t>
  </si>
  <si>
    <t>hs huy</t>
  </si>
  <si>
    <t>0913614681</t>
  </si>
  <si>
    <t>Phạm Thị Ca (thừa kế) Phạm Văn Bích + Dương Thị Ba</t>
  </si>
  <si>
    <t>Lê Vũ Trường</t>
  </si>
  <si>
    <t>CSD tạm ngưng hs - N lưu kg thành 16/4/2025</t>
  </si>
  <si>
    <t>Kg thành - N lưu kg thành 16/4/2025</t>
  </si>
  <si>
    <t>cmd-16/4/2025</t>
  </si>
  <si>
    <t xml:space="preserve">Giao Lan 16/4/2025 </t>
  </si>
  <si>
    <t>Huỳnh Huy Tân</t>
  </si>
  <si>
    <t>0913889000</t>
  </si>
  <si>
    <t>TTKT đo</t>
  </si>
  <si>
    <t>ct-17/4/2025</t>
  </si>
  <si>
    <t xml:space="preserve">Trả 1 cửa bổ sung 17/4/2025 </t>
  </si>
  <si>
    <t>Lê Văn Thái</t>
  </si>
  <si>
    <t>0908062799</t>
  </si>
  <si>
    <t>cn-17/4/2025</t>
  </si>
  <si>
    <t xml:space="preserve">Giao Sơn 17/4/2025 </t>
  </si>
  <si>
    <t>Trương Ngọc Diễm Phương</t>
  </si>
  <si>
    <t>0947234529</t>
  </si>
  <si>
    <t>HĐ số 84 ngày 17/4/2025 - PT số 34 ngày 17/4/2025</t>
  </si>
  <si>
    <t>Bạch Văn Liệt</t>
  </si>
  <si>
    <t>0977687526</t>
  </si>
  <si>
    <t>Hoàng Ngọc Văn + Đặng Thị Thu Nga</t>
  </si>
  <si>
    <t>0799522988</t>
  </si>
  <si>
    <t>Có BB kg thành - N lưu kg thành 17/4/2025</t>
  </si>
  <si>
    <t>Hồ Thị Xuân Hằng</t>
  </si>
  <si>
    <t>0939296962</t>
  </si>
  <si>
    <t>Nguyễn Hoàng Đức</t>
  </si>
  <si>
    <t>hs Bảo</t>
  </si>
  <si>
    <t>Nguyễn Thành Tám</t>
  </si>
  <si>
    <t>0913798799</t>
  </si>
  <si>
    <t xml:space="preserve">Giao Bảo hs gốc 18/4/2025 </t>
  </si>
  <si>
    <t>2378    2380</t>
  </si>
  <si>
    <t>961.551 1.019.155</t>
  </si>
  <si>
    <t>Thu lần 2 2387-18/4/2025 (1.248.329đ)</t>
  </si>
  <si>
    <t>Nguyễn Tấn Sĩ</t>
  </si>
  <si>
    <t>03533370647</t>
  </si>
  <si>
    <t xml:space="preserve">Giao hs gốc cho Tiên 18/4/2025 </t>
  </si>
  <si>
    <t xml:space="preserve"> Giao hs gốc cho Bảo 18/4/2025 </t>
  </si>
  <si>
    <t>Trần Văn Kiệm (chết) Phan Thị Hát (Tke)</t>
  </si>
  <si>
    <t>0988407520</t>
  </si>
  <si>
    <t xml:space="preserve">Giao hs gốc cho Trí 18/4/2025 </t>
  </si>
  <si>
    <t>Lê Thị Mười</t>
  </si>
  <si>
    <t>Lê Thanh Hải</t>
  </si>
  <si>
    <t>HS A Mỹ</t>
  </si>
  <si>
    <t>Nguyễn Thị Bình (tke) Nguyễn Thành Dũng (chết)</t>
  </si>
  <si>
    <t>0797734626</t>
  </si>
  <si>
    <t>Nguyễn Trung Hiếu</t>
  </si>
  <si>
    <t>BÁO CÁO NGÀY 21/4/2025</t>
  </si>
  <si>
    <t>CẤP GCN</t>
  </si>
  <si>
    <t>có BB kg thành - Đã trả hs cho CSD 21/4/2025</t>
  </si>
  <si>
    <t>02/04/2025 21/4/2025</t>
  </si>
  <si>
    <t>03/03/2025 21/4/2025</t>
  </si>
  <si>
    <t>Thân Thanh Thi</t>
  </si>
  <si>
    <t>0842345179</t>
  </si>
  <si>
    <t>Tòa hoãn - N lưu kg thành 22/4/2025</t>
  </si>
  <si>
    <t xml:space="preserve">Trả 1 cửa bổ sung 22/4/2025 </t>
  </si>
  <si>
    <t>cmd-22/4/2025</t>
  </si>
  <si>
    <t xml:space="preserve">Giao Thư 22/4/2025 </t>
  </si>
  <si>
    <t xml:space="preserve">Giao hs gốc cho Trí 22/4/2025 </t>
  </si>
  <si>
    <t xml:space="preserve">Giao hs gốc cho Bảo 22/4/2025 </t>
  </si>
  <si>
    <t>Phạm Thị Kim Hồng</t>
  </si>
  <si>
    <t>Nguyễn Thị Lệ</t>
  </si>
  <si>
    <t>0783773265</t>
  </si>
  <si>
    <t>Bùi Văn Nguyên (chết) Bùi Qui Hoàng + Bùi Thanh Phong + Bùi Thị Tuyết Hoa (tke)</t>
  </si>
  <si>
    <t>0945050267</t>
  </si>
  <si>
    <t>TK</t>
  </si>
  <si>
    <t>Lê Tấn Tài</t>
  </si>
  <si>
    <t>0896896213</t>
  </si>
  <si>
    <t>Phạm Thanh Tuyền</t>
  </si>
  <si>
    <t>0919786264</t>
  </si>
  <si>
    <t>PT số 35 ngày 21/4/2025 - HĐ số 85 ngày 21/4/2025</t>
  </si>
  <si>
    <t>Nguyễn Hoàng Nhơn</t>
  </si>
  <si>
    <t>0988968197</t>
  </si>
  <si>
    <t>Thái Ngọc Diệp</t>
  </si>
  <si>
    <t>0907897468</t>
  </si>
  <si>
    <t>PT số 36 ngày 22/4/2025 - HĐ số 86 ngày 22/4/2025</t>
  </si>
  <si>
    <t>Nguyễn Hoàng Ân</t>
  </si>
  <si>
    <t>0918332968</t>
  </si>
  <si>
    <t>0901399874</t>
  </si>
  <si>
    <t>Lê Thị Ba</t>
  </si>
  <si>
    <t>0939844332</t>
  </si>
  <si>
    <t>Đặng Kim Phượng</t>
  </si>
  <si>
    <t>0932975256</t>
  </si>
  <si>
    <t>Võ Quốc Liệt</t>
  </si>
  <si>
    <t>19</t>
  </si>
  <si>
    <t>0986328847</t>
  </si>
  <si>
    <t>Lê Thành Thi</t>
  </si>
  <si>
    <t>Nguyễn Văn Tùng</t>
  </si>
  <si>
    <t>0907615316</t>
  </si>
  <si>
    <t>Lê Thị Bế</t>
  </si>
  <si>
    <t>0932811108</t>
  </si>
  <si>
    <t>Nguyễn Văn Khải</t>
  </si>
  <si>
    <t>0853719970</t>
  </si>
  <si>
    <t>Huỳnh Thị Ngọc Thảo</t>
  </si>
  <si>
    <t>0907641616</t>
  </si>
  <si>
    <t>Nguyễn Kim Út (chết) Nguyễn Thị Kim Chi</t>
  </si>
  <si>
    <t>0364331741</t>
  </si>
  <si>
    <t>Hồ Kim Phượng</t>
  </si>
  <si>
    <t>cmd-23/4/2025</t>
  </si>
  <si>
    <t xml:space="preserve">Giao Hạnh 23/4/2025 </t>
  </si>
  <si>
    <t>0966115176</t>
  </si>
  <si>
    <t xml:space="preserve">Giao hs gốc cho Bảo 23/4/2025 </t>
  </si>
  <si>
    <t>Phạm Thanh Thiện + Nguyễn Thị Thúy Loan</t>
  </si>
  <si>
    <t>238+203</t>
  </si>
  <si>
    <t>57.3+52.1</t>
  </si>
  <si>
    <t>Nguyễn Thị Phi Nga</t>
  </si>
  <si>
    <t xml:space="preserve">Vy ĐC P1 </t>
  </si>
  <si>
    <t>0913937783</t>
  </si>
  <si>
    <t>Cù Văn Mộng</t>
  </si>
  <si>
    <t>Trương Văn Mẹo  (chết) Trương Thị Thanh Thúy (thừa kế)</t>
  </si>
  <si>
    <t>0853012427</t>
  </si>
  <si>
    <t>Vũ Mạnh Hùng</t>
  </si>
  <si>
    <t>0936026562</t>
  </si>
  <si>
    <t>Phạm Thị Hồng Cúc</t>
  </si>
  <si>
    <t>HĐ số 87 ngày 23/4/2025</t>
  </si>
  <si>
    <t>CSD xin rút hs - N lưu kg thành 23/4/2025</t>
  </si>
  <si>
    <t>Hết thời hạn- N lưu kg thành 23/4/2025</t>
  </si>
  <si>
    <t>BÁO CÁO NGÀY 24/4/2025</t>
  </si>
  <si>
    <t xml:space="preserve">Giao hs gốc cho Bảo 24/4/2025 </t>
  </si>
  <si>
    <t>cmd-24/4/2025</t>
  </si>
  <si>
    <t>Giao Tiên 24/4/2025</t>
  </si>
  <si>
    <t>Thi Thị Ky</t>
  </si>
  <si>
    <t>0919018509</t>
  </si>
  <si>
    <t>HĐ số 88 ngày 25/4/2025 - PT số 37 ngày 25/4/2025</t>
  </si>
  <si>
    <t>Nguyễn Văn Mung</t>
  </si>
  <si>
    <t>0794921754</t>
  </si>
  <si>
    <t>Trần Minh Hữu</t>
  </si>
  <si>
    <t>0703087439</t>
  </si>
  <si>
    <t>0768879155</t>
  </si>
  <si>
    <t>Nguyễn Văn Thắng</t>
  </si>
  <si>
    <t>0937351066</t>
  </si>
  <si>
    <t>Huỳnh Thanh Tùng</t>
  </si>
  <si>
    <t>0946828486</t>
  </si>
  <si>
    <t>0367779205</t>
  </si>
  <si>
    <t>Nguyễn Thị Mộng Tuyền &gt;&lt; Võ Văn Trang + Nguyễn Thị Thủy + Hồ Nhựt Thông</t>
  </si>
  <si>
    <t>TM số 364/TM_CCTHADS ngày 18/4/2025 - HĐ số 89 ngày 07/5/2025</t>
  </si>
  <si>
    <t>Nguyễn Thanh Lam &gt;&lt; Nguyễn Thị Thu Thủy</t>
  </si>
  <si>
    <t>TM số 306/TM-CCTHA ngày 09/4/2025 - HĐ số 90 ngày 07/5/2025</t>
  </si>
  <si>
    <t>Lê Văn Toàn + Lê Thị Năm</t>
  </si>
  <si>
    <t xml:space="preserve">TM ngày 21/4/2025 - HĐ số 91 ngày </t>
  </si>
  <si>
    <t>A Thịnh THÁn báo thơ mời này chỉ để bổ sung để nhóm đo dạc trình ký hs</t>
  </si>
  <si>
    <t>Tổ Trung đo đạc</t>
  </si>
  <si>
    <t>Nguyễn Thị Bạch</t>
  </si>
  <si>
    <t>0907895477</t>
  </si>
  <si>
    <t xml:space="preserve">Giao hs gốc cho Bảo 25/4/2025 </t>
  </si>
  <si>
    <t>Nguyễn Thanh Triều</t>
  </si>
  <si>
    <t>0937563435</t>
  </si>
  <si>
    <t>Võ Thị Đẹp</t>
  </si>
  <si>
    <t>0336577787</t>
  </si>
  <si>
    <t>Đoàn Lư Thúy Nhi</t>
  </si>
  <si>
    <t>Đã kiểm kê kè P5 - N lưu hs kg thành 25/4/2025</t>
  </si>
  <si>
    <t>Huỳnh Phi Long</t>
  </si>
  <si>
    <t>0795427616</t>
  </si>
  <si>
    <t>CN-26/4/2025</t>
  </si>
  <si>
    <t xml:space="preserve">Giao A 26/4/2025 </t>
  </si>
  <si>
    <t>0702566363</t>
  </si>
  <si>
    <t xml:space="preserve">Giao hs gốc cho Bảo 26/4/2025 </t>
  </si>
  <si>
    <t>Hủy HĐ 60 ngày 22/4/2025 do sai địa chỉ</t>
  </si>
  <si>
    <t>Trịnh Thành Dũng (chết) Bùi Ngọc Phượng (thừa kế)</t>
  </si>
  <si>
    <t>0906794569</t>
  </si>
  <si>
    <t>Nguyễn Lý Minh Trí + Nguyễn Lê Triều</t>
  </si>
  <si>
    <t>0369927555</t>
  </si>
  <si>
    <t>Lê Thị Bông &gt;&lt; Lê Văn Hùng</t>
  </si>
  <si>
    <t>6 (38)</t>
  </si>
  <si>
    <t>390+268 (113)</t>
  </si>
  <si>
    <t>QĐ số 184/2025/QĐ-TCĐĐ ngày 24/4/2025 - HĐ số 92 ngày 22/5/2025</t>
  </si>
  <si>
    <t>cn-28/4/2025</t>
  </si>
  <si>
    <t xml:space="preserve">Giao Sơn 28/4/2025 </t>
  </si>
  <si>
    <t>cmd-28/4/2025</t>
  </si>
  <si>
    <t xml:space="preserve">Giao Tiên 28/4/2025 </t>
  </si>
  <si>
    <t>csd xin rút hs - N lưu kg thành 28/4/2025</t>
  </si>
  <si>
    <t>Lê Thị Huyền Nga</t>
  </si>
  <si>
    <t>0909902363</t>
  </si>
  <si>
    <t>BÁO CÁO NGÀY 28/4/2025</t>
  </si>
  <si>
    <t>Tòa hoãn + N lưu kg thành 28/4/2025</t>
  </si>
  <si>
    <t>Đã trả hs cho CSD 28/4/2025</t>
  </si>
  <si>
    <t>Tòa hoãn - N lưu kg thành 28/4/2025</t>
  </si>
  <si>
    <t xml:space="preserve">Giao hs gốc cho Tài 28/4/2025 </t>
  </si>
  <si>
    <t>Lâm Thục Quyên</t>
  </si>
  <si>
    <t>0988887288</t>
  </si>
  <si>
    <t>Lê Thị Lệ Huyền</t>
  </si>
  <si>
    <t>0918866366</t>
  </si>
  <si>
    <t>PT số 38 ngày 28/4/2025 - HĐ số 93 ngày 28/4/2025</t>
  </si>
  <si>
    <t xml:space="preserve">Giao hs gốc cho Bảo 29/4/2025 </t>
  </si>
  <si>
    <t>Khương Hữu Xuân + Khương Hữu Phi + Khương Hữu Thị Thanh Mai</t>
  </si>
  <si>
    <t>Danh Thị Đặng (chết) Phạm Danh Công Đức (thừa kế)</t>
  </si>
  <si>
    <t>0939664415</t>
  </si>
  <si>
    <t>90+88</t>
  </si>
  <si>
    <t>295.4+353.5</t>
  </si>
  <si>
    <t>Ngân hàng TMCP An Bình &gt;&lt; Nguyễn Thới Dũng + Đào Thị Phương Dung</t>
  </si>
  <si>
    <t>TM số 384/TM-CCTHA ngày 25/4/2025 - HĐ số 94 ngày 14/5/2025</t>
  </si>
  <si>
    <t>Nguyễn Thanh Nga</t>
  </si>
  <si>
    <t>0909962662</t>
  </si>
  <si>
    <t xml:space="preserve">PT số 39 ngày 05/5/2025 - HĐ số 95 ngày 05/5/2025 </t>
  </si>
  <si>
    <t>Lê Thị Ngọc Dịu</t>
  </si>
  <si>
    <t>HS ÂN</t>
  </si>
  <si>
    <t>Huỳnh Thị Kim Lan</t>
  </si>
  <si>
    <t>0908730666</t>
  </si>
  <si>
    <t>Lê Thị Hồng Vân</t>
  </si>
  <si>
    <t>Nguyễn Vĩnh Khang</t>
  </si>
  <si>
    <t>0989515887</t>
  </si>
  <si>
    <t>0967060737</t>
  </si>
  <si>
    <t>407+408</t>
  </si>
  <si>
    <t>112.3+112.3</t>
  </si>
  <si>
    <t>PT số 41 ngày 05/5/2025 - HĐ số 96 ngày 05/5/2025</t>
  </si>
  <si>
    <t>cmd-05/5/2025</t>
  </si>
  <si>
    <t xml:space="preserve">Giao Thư 05/5/2025 </t>
  </si>
  <si>
    <t>TT-05/5/2025</t>
  </si>
  <si>
    <t>Nguyễn Thị Diễm Thúy</t>
  </si>
  <si>
    <t>0931788138</t>
  </si>
  <si>
    <t>Lê Thanh Tươi</t>
  </si>
  <si>
    <t>0939077965</t>
  </si>
  <si>
    <t>0909192449</t>
  </si>
  <si>
    <t>19/03/2025 05/5/2025</t>
  </si>
  <si>
    <t>Nguyễn Duy Linh</t>
  </si>
  <si>
    <t>0826495919</t>
  </si>
  <si>
    <t>HĐ số 97 ngày 05/5/2025 - PT số 40 ngày 05/5/2025</t>
  </si>
  <si>
    <t>Trần Văn Điệp</t>
  </si>
  <si>
    <t>0384871749</t>
  </si>
  <si>
    <t>Có BB - N lưu kg thành 05/5/2025</t>
  </si>
  <si>
    <t>CSD xin rút hs - N lưu kg thành 05/5/2025</t>
  </si>
  <si>
    <t>Đã báo CSD đổi GPXD- N lưu kg thành 05/5/2025</t>
  </si>
  <si>
    <t>File excel có ngăn chặn - N lưu kg thành 05/5/2025</t>
  </si>
  <si>
    <t>Nguyễn Tuấn Cường (Nguyễn Văn Dóc (chết)</t>
  </si>
  <si>
    <t xml:space="preserve">Giao hs gốc cho Trí 06/5/2025 </t>
  </si>
  <si>
    <t>Phạm Thị Kim Lan &gt;, Võ Văn Bảnh</t>
  </si>
  <si>
    <t>201+65</t>
  </si>
  <si>
    <t>21+60</t>
  </si>
  <si>
    <t>CV số 214/2025/CV-TA ngày 24/4/2025 - HĐ số 98 ngày 08/5/2025</t>
  </si>
  <si>
    <t>Huỳnh Công Khanh + Trần Thị Thoa</t>
  </si>
  <si>
    <t>0913785343</t>
  </si>
  <si>
    <t>PT số 42 ngày 06/5/2025 - HĐ số 99 ngày 06/5/2025</t>
  </si>
  <si>
    <t>21/04/2025 06/5/2025</t>
  </si>
  <si>
    <t xml:space="preserve">Giao bảo hs gốc 07/5/2025 </t>
  </si>
  <si>
    <t>IG-06/5/2025</t>
  </si>
  <si>
    <t xml:space="preserve">Giao Lan 07/5//2025 </t>
  </si>
  <si>
    <t>cmd-06/5/2025</t>
  </si>
  <si>
    <t xml:space="preserve">Giao Tiên 07/5/2025 </t>
  </si>
  <si>
    <t xml:space="preserve">Giao Thư 07/5/2025 </t>
  </si>
  <si>
    <t>Hồ Thị Hoàng Oanh</t>
  </si>
  <si>
    <t>0983225589</t>
  </si>
  <si>
    <t xml:space="preserve">Giao Hạnh 07/5/2025 </t>
  </si>
  <si>
    <t>cN-06/5/2025</t>
  </si>
  <si>
    <t xml:space="preserve">Giao Sơn 07/5/2025 </t>
  </si>
  <si>
    <t>Võ Thị Phi Điểu</t>
  </si>
  <si>
    <t>ct-06/5/2025</t>
  </si>
  <si>
    <t xml:space="preserve"> Giao Sơn 07/5/2025</t>
  </si>
  <si>
    <t>cmd-07/5/2025</t>
  </si>
  <si>
    <t>08/04/2025 06/5/2025</t>
  </si>
  <si>
    <t>Nguyễn Thị Mỹ Ngọc</t>
  </si>
  <si>
    <t>0906464767</t>
  </si>
  <si>
    <t>cn-07/5/2025</t>
  </si>
  <si>
    <t>Nguyễn Văn Hiệp</t>
  </si>
  <si>
    <t>09148379006</t>
  </si>
  <si>
    <t>Võ Văn Lựu</t>
  </si>
  <si>
    <t>0376413289</t>
  </si>
  <si>
    <t>Trương Ngọc Vĩnh</t>
  </si>
  <si>
    <t>0767676771</t>
  </si>
  <si>
    <t>07836881279</t>
  </si>
  <si>
    <t>Võ Thành Tới</t>
  </si>
  <si>
    <t>Phong ĐC Tngai</t>
  </si>
  <si>
    <t>Đỗ Hoàng Nam</t>
  </si>
  <si>
    <t>0355882663</t>
  </si>
  <si>
    <t>ĐN số 200/2025/ĐN-TA ngày 28/4/2025 - HĐ số 100 ngày 13/5/2025</t>
  </si>
  <si>
    <t>CC Thuế ngăn chặn - N lưu kg thành 07/5/2025</t>
  </si>
  <si>
    <t>Lê Văn Tiếng</t>
  </si>
  <si>
    <t>0918074615</t>
  </si>
  <si>
    <t>Nguyễn Ngọc Thúy Trinh</t>
  </si>
  <si>
    <t>0938388767</t>
  </si>
  <si>
    <t>PT số 43 ngày 07/5/2025 - HĐ số 101 ngày 07/5/2025</t>
  </si>
  <si>
    <t>11/02/2025 07/5/2025</t>
  </si>
  <si>
    <t>Nguyễn Văn Đức</t>
  </si>
  <si>
    <t>0764382659</t>
  </si>
  <si>
    <t>Nguyễn Thọ Trường</t>
  </si>
  <si>
    <t>0989898957</t>
  </si>
  <si>
    <t>Phạm Thị Hồng Loan</t>
  </si>
  <si>
    <t>Lê Thị Chính</t>
  </si>
  <si>
    <t>Đào Thị Cẩm Châu</t>
  </si>
  <si>
    <t>0939454705</t>
  </si>
  <si>
    <t>CSD xin hủy KQ đo đạc 08/5/2025</t>
  </si>
  <si>
    <t>cn-08/5/2025</t>
  </si>
  <si>
    <t xml:space="preserve">Giao 08/5/2025 </t>
  </si>
  <si>
    <t>Võ Kim Oanh</t>
  </si>
  <si>
    <t>0902676684</t>
  </si>
  <si>
    <t>Đỗ Thành Tiến</t>
  </si>
  <si>
    <t>0972959644</t>
  </si>
  <si>
    <t xml:space="preserve">Giao hs gốc cho Bảo 08/5/2025 </t>
  </si>
  <si>
    <t>Phan Tấn Lợi + Nguyễn Thị Điệp</t>
  </si>
  <si>
    <t>cmd-08/5/2025</t>
  </si>
  <si>
    <t xml:space="preserve">Giao Lan /2025 </t>
  </si>
  <si>
    <t>Nguyễn Thị Thanh Nguyệt</t>
  </si>
  <si>
    <t>0901070309</t>
  </si>
  <si>
    <t xml:space="preserve">Ca </t>
  </si>
  <si>
    <t>CSD xin rút hs - N lưu kg thành 08/5/2025</t>
  </si>
  <si>
    <t>Hoàng Thị Thu Thủy</t>
  </si>
  <si>
    <t>0984860384</t>
  </si>
  <si>
    <t>PT số 44 ngày 08/5/2025 - HĐ 102 ngày 08/5/2025</t>
  </si>
  <si>
    <t>CSD rút hs - Đã trả 09/5/2025</t>
  </si>
  <si>
    <t>24</t>
  </si>
  <si>
    <t>0778109400</t>
  </si>
  <si>
    <t>Đã trả hs cho CSD 09/5/2025</t>
  </si>
  <si>
    <t>cn-09/5/2025</t>
  </si>
  <si>
    <t xml:space="preserve">Giao Sơn 09/5/2025 </t>
  </si>
  <si>
    <t>Nguyễn Văn Ngà</t>
  </si>
  <si>
    <t>0988469470</t>
  </si>
  <si>
    <t>cmd-09/5/2025</t>
  </si>
  <si>
    <t xml:space="preserve">Giao Thư 09/5/2025 </t>
  </si>
  <si>
    <t>Huỳnh Minh Thiện</t>
  </si>
  <si>
    <t>PT số 45 (09/5/2025 - HĐ số 103 (09/5/2025</t>
  </si>
  <si>
    <t xml:space="preserve">Trả 1 cửa - không cùng thời hạn 12/5/2025 </t>
  </si>
  <si>
    <t>BÁO CÁO NGÀY 12/5/2025</t>
  </si>
  <si>
    <t>21</t>
  </si>
  <si>
    <t>Nguyễn Thị Thanh Trúc</t>
  </si>
  <si>
    <t>Giao hs cho Ca xin ý kiến 12/9/2025</t>
  </si>
  <si>
    <t>0336928339</t>
  </si>
  <si>
    <t xml:space="preserve">Giao Trí hs gốc 12/5/2025 </t>
  </si>
  <si>
    <t>Trương Hải Đằng</t>
  </si>
  <si>
    <t>0913138391</t>
  </si>
  <si>
    <t>11/04/2025 12/5/2025</t>
  </si>
  <si>
    <t>Cao Thành Công</t>
  </si>
  <si>
    <t>0813417495</t>
  </si>
  <si>
    <t>PT số 46 (12/5/2025 - HĐ số 104 (09/5/2025</t>
  </si>
  <si>
    <t>0834255855</t>
  </si>
  <si>
    <t>347+349</t>
  </si>
  <si>
    <t>112.5+112.5</t>
  </si>
  <si>
    <t>PT số 47 ngày 12/5/2025 - HĐ số 105 ngày 12/5/2025</t>
  </si>
  <si>
    <t>Hồ Bích Liễu</t>
  </si>
  <si>
    <t>Bùi Anh Tuấn</t>
  </si>
  <si>
    <t>0913933436</t>
  </si>
  <si>
    <t>Trần Minh Đức</t>
  </si>
  <si>
    <t>0913138780</t>
  </si>
  <si>
    <t xml:space="preserve">Giao hs gốc cho Bảo 13/5/2025 </t>
  </si>
  <si>
    <t>Nguyễn Thị Kiều Hạnh</t>
  </si>
  <si>
    <t>0902942659</t>
  </si>
  <si>
    <t>Phạm Thị Hồng Lan</t>
  </si>
  <si>
    <t>HĐ số 106 ngày 12/5/2025 - PT số 48 (12/5/2025)</t>
  </si>
  <si>
    <t>Nguyễn Khánh Đỉnh + Nguyễn Thị Thùy Trang</t>
  </si>
  <si>
    <t>hs Bình</t>
  </si>
  <si>
    <t xml:space="preserve">05/05/2025 13/5/2025 </t>
  </si>
  <si>
    <t>Huỳnh Tấn Sửu</t>
  </si>
  <si>
    <t>Lê Thanh Hóa</t>
  </si>
  <si>
    <t>0919904902</t>
  </si>
  <si>
    <t>Lê Minh Việt</t>
  </si>
  <si>
    <t>0906861091</t>
  </si>
  <si>
    <t>Trần Văn Bịch</t>
  </si>
  <si>
    <t>0915988172</t>
  </si>
  <si>
    <t>Lâm Đại Lợi</t>
  </si>
  <si>
    <t>Nguyễn Văn Sang</t>
  </si>
  <si>
    <t>Thạch Ngọc Minh + Hà Thị Phượng</t>
  </si>
  <si>
    <t>Nguyễn Trung Trăm</t>
  </si>
  <si>
    <t>0919969343</t>
  </si>
  <si>
    <t>Nguyễn Thị Yến &gt;&lt; Lê Thị Hồng Trước</t>
  </si>
  <si>
    <t>ĐN số 208/2025/ĐN.TA ngày 05/5/2025 - HĐ số 107 ngày 22/5/2025</t>
  </si>
  <si>
    <t>Bùi Thị Hà</t>
  </si>
  <si>
    <t>ig-13/5/2025</t>
  </si>
  <si>
    <t xml:space="preserve">Giao Tiên 13/5/2025 </t>
  </si>
  <si>
    <t>cmd-13/5/2025</t>
  </si>
  <si>
    <t xml:space="preserve">Giao Hạnh 13/5/2025 </t>
  </si>
  <si>
    <t>CSD kg hợp thửa được -. Chuyển sang CMĐ - Giao lại P Vinh 13/5/2025</t>
  </si>
  <si>
    <t>Hủy HĐ 358 ngày 05/5/2025 thay thế 578 ngày 13/5/2025</t>
  </si>
  <si>
    <t>Tòa hoãn - N lưu kg thành 13/5/2025</t>
  </si>
  <si>
    <t>cn-14/5/2025</t>
  </si>
  <si>
    <t xml:space="preserve">Trả 1 cửa 14/5/2025 sai DT </t>
  </si>
  <si>
    <t xml:space="preserve">Giao hs gốc cho A Nhân 14/5/2025 </t>
  </si>
  <si>
    <t xml:space="preserve">Giao Bảo hs gốc 14/5/2025 </t>
  </si>
  <si>
    <t>Quách Văn Minh</t>
  </si>
  <si>
    <t>Kg thành - N lưu kg thành 14/5/2025</t>
  </si>
  <si>
    <t>0795913320</t>
  </si>
  <si>
    <t>Hồ Hữu Lộc</t>
  </si>
  <si>
    <t>0919373681</t>
  </si>
  <si>
    <t>Ao</t>
  </si>
  <si>
    <t xml:space="preserve">Giao Sơn 14/5/2025 </t>
  </si>
  <si>
    <t xml:space="preserve">Trả 1 cửa bổ sung hs đo đầy đủ 14/5/2025 </t>
  </si>
  <si>
    <t>cmd-14/5/2025</t>
  </si>
  <si>
    <t xml:space="preserve">Giao Hạnh 14/5/2025 </t>
  </si>
  <si>
    <t>Lương Thị Thu Thủy</t>
  </si>
  <si>
    <t>0987454578</t>
  </si>
  <si>
    <t>TTPTQĐ đo</t>
  </si>
  <si>
    <t xml:space="preserve">Giao Lan 14/5/2025 </t>
  </si>
  <si>
    <t>ct-14/5/2025</t>
  </si>
  <si>
    <t>Nguyễn Thị Thu Nguyệt</t>
  </si>
  <si>
    <t>0988413637</t>
  </si>
  <si>
    <t>0902000491</t>
  </si>
  <si>
    <t xml:space="preserve">Giao hs gốc cho Bảo 15/5/2025 </t>
  </si>
  <si>
    <t>Kg thành - N lưu kg thành 15/5/2025</t>
  </si>
  <si>
    <t>Bảo Trả lại hs gốc 15/5/2025 - Lý do trả hs xin tồn tại</t>
  </si>
  <si>
    <t>CSD xin rút hs - N lưu hs kg thành 15/5/2025</t>
  </si>
  <si>
    <t>CSD xin rút hs - Đã trả 15/5/2025</t>
  </si>
  <si>
    <t xml:space="preserve">Giao Thư 09/5/2025 - Giao Thư 15/5/2025 </t>
  </si>
  <si>
    <t>cmd-15/5/2025</t>
  </si>
  <si>
    <t xml:space="preserve">Giao Hjanh 15/5/2025 </t>
  </si>
  <si>
    <t xml:space="preserve">Giao Hạnh 15/5/2025 </t>
  </si>
  <si>
    <t>cn-15/5/2025</t>
  </si>
  <si>
    <t>Trần Hoàng Dũng</t>
  </si>
  <si>
    <t>0898819719</t>
  </si>
  <si>
    <t xml:space="preserve">Giao  Lan 15/5/2025 </t>
  </si>
  <si>
    <t>Nguyễn Thị Kim Chi</t>
  </si>
  <si>
    <t>Kg liên lạc được - N lưu kg thành 15/5/2025</t>
  </si>
  <si>
    <t>Nguyễn Thị Hồng Nhung</t>
  </si>
  <si>
    <t>0939808283</t>
  </si>
  <si>
    <t>Huỳnh Thị Bé</t>
  </si>
  <si>
    <t>0939398459</t>
  </si>
  <si>
    <t>413+414</t>
  </si>
  <si>
    <t>106.6+108.7</t>
  </si>
  <si>
    <t>PT số 50 ngày 14/5/2025 - HĐ số 108 ngày 14/5/2025</t>
  </si>
  <si>
    <t>Nguyễn Thị Linh</t>
  </si>
  <si>
    <t>0907466789</t>
  </si>
  <si>
    <t>276+268</t>
  </si>
  <si>
    <t>258.3+499.4</t>
  </si>
  <si>
    <t>PT số 01-Q4 ngày 14/5/2025 - HĐ số 109 ngày 14/5/2025</t>
  </si>
  <si>
    <t>Bạch Thị Kim Loan</t>
  </si>
  <si>
    <t>0908280566</t>
  </si>
  <si>
    <t>Đỗ Thái Ngọc Phúc</t>
  </si>
  <si>
    <t>hs Huy</t>
  </si>
  <si>
    <t>Hồ Văn Sáu</t>
  </si>
  <si>
    <t>Nguyễn Văn Sen + Hồ Thị Lựu</t>
  </si>
  <si>
    <t>hs Tiên CQ</t>
  </si>
  <si>
    <t>Ngân hàng TMCP Quân Đội &gt;&lt; Nguyễn Văn Bình + Nguyễn Thị Hồng Nhung</t>
  </si>
  <si>
    <t>TM số 420/TM-CCTHA ngày 08/5/2025 - HĐ số 110 ngày 21/5/2025</t>
  </si>
  <si>
    <t>TM số 420/TM-CCTHA ngày 08/5/2025 - HĐ số 111 ngày 21/5/2025</t>
  </si>
  <si>
    <t>30+27</t>
  </si>
  <si>
    <t>45+192</t>
  </si>
  <si>
    <t>786.5+111.1</t>
  </si>
  <si>
    <t>246+234</t>
  </si>
  <si>
    <t>900.4+240.5</t>
  </si>
  <si>
    <t>Ngô Thị Hạnh Chi</t>
  </si>
  <si>
    <t>0919599390</t>
  </si>
  <si>
    <t>0919333499</t>
  </si>
  <si>
    <t>Nguyễn Văn Quân</t>
  </si>
  <si>
    <t>0909278770</t>
  </si>
  <si>
    <t>Nguyễn Vũ Bình</t>
  </si>
  <si>
    <t>Võ Văn Mỹ</t>
  </si>
  <si>
    <t>0388141045</t>
  </si>
  <si>
    <t>9 (12)</t>
  </si>
  <si>
    <t>322 (182)</t>
  </si>
  <si>
    <t>Nguyễn Thị Việt</t>
  </si>
  <si>
    <t>0706631419</t>
  </si>
  <si>
    <t>Huỳnh Hữu Khải</t>
  </si>
  <si>
    <t>0918808050</t>
  </si>
  <si>
    <t>Lê Nhựt Quế</t>
  </si>
  <si>
    <t>0989942099</t>
  </si>
  <si>
    <t>Nguyễn Ngọc Thới</t>
  </si>
  <si>
    <t>0788959099</t>
  </si>
  <si>
    <t>Khưu Bảo Châu</t>
  </si>
  <si>
    <t>0939608008</t>
  </si>
  <si>
    <t>Trần Thị Tơ</t>
  </si>
  <si>
    <t>Đào Bạch Yến (chết) Huỳnh Anh Huy (thừa kế)</t>
  </si>
  <si>
    <t>0945369504</t>
  </si>
  <si>
    <t>Đoàn Việt Long</t>
  </si>
  <si>
    <t>0867138950</t>
  </si>
  <si>
    <t>Văn Hồng Trúc</t>
  </si>
  <si>
    <t>0985585779</t>
  </si>
  <si>
    <t xml:space="preserve">Giao hs gốc cho TRí 16/5/2025 </t>
  </si>
  <si>
    <t>Đinh Thị Kim Hà</t>
  </si>
  <si>
    <t>0367206767</t>
  </si>
  <si>
    <t>Lưu Văn Ẩn (chết) Cổ Thị Bé Lớn (tke)</t>
  </si>
  <si>
    <t>0348059869</t>
  </si>
  <si>
    <t>Lê Hồng Phúc</t>
  </si>
  <si>
    <t>0913889437</t>
  </si>
  <si>
    <t>tt-16/5/2025</t>
  </si>
  <si>
    <t xml:space="preserve">Giao Sơn 16/5/2025 </t>
  </si>
  <si>
    <t>IG-16/5/2025</t>
  </si>
  <si>
    <t xml:space="preserve">Giao Hạnh 16/5/2025 </t>
  </si>
  <si>
    <t>cmd-19/5/2025</t>
  </si>
  <si>
    <t xml:space="preserve">Giao Thư 19/5/2025 </t>
  </si>
  <si>
    <t xml:space="preserve">Giao Tiên 19/5/2025 </t>
  </si>
  <si>
    <t>0911517958</t>
  </si>
  <si>
    <t>cn-19/5/2025</t>
  </si>
  <si>
    <t xml:space="preserve">Giao Sơn 19/5/2025 </t>
  </si>
  <si>
    <t>0907333059</t>
  </si>
  <si>
    <t>ct-169/5/2025</t>
  </si>
  <si>
    <t>Lê Hải Thủ</t>
  </si>
  <si>
    <t>Nguyễn Văn Liệt</t>
  </si>
  <si>
    <t>188+190</t>
  </si>
  <si>
    <t>942.6+182.2</t>
  </si>
  <si>
    <t xml:space="preserve">Giao Trí hs gốc 19/5/2025 </t>
  </si>
  <si>
    <t>Phạm Đình Vĩnh</t>
  </si>
  <si>
    <t>0902315615</t>
  </si>
  <si>
    <t>ct-19/5/2025</t>
  </si>
  <si>
    <t xml:space="preserve">GiaoSơn 19/5/2025 </t>
  </si>
  <si>
    <t>tt-19/5/2025</t>
  </si>
  <si>
    <t>Nguyễn Vân Anh</t>
  </si>
  <si>
    <t>Đoàn Thanh Phương</t>
  </si>
  <si>
    <t>0385034589</t>
  </si>
  <si>
    <t>Nguyễn Thị Kiều Nga</t>
  </si>
  <si>
    <t>0763496851</t>
  </si>
  <si>
    <t>Phạm Văn Bình</t>
  </si>
  <si>
    <t>0913889284</t>
  </si>
  <si>
    <t>Bùi Thị Thoe</t>
  </si>
  <si>
    <t>0913889103</t>
  </si>
  <si>
    <t>BÁO CÁO NGÀY 19/5/2025</t>
  </si>
  <si>
    <t>Phạm Thị Phương Thảo</t>
  </si>
  <si>
    <t xml:space="preserve">Giao hs gốc cho Bảo 20/5/2025 </t>
  </si>
  <si>
    <t>Nguyễn Thị Thu Huyền</t>
  </si>
  <si>
    <t>Kg liên đc - N lưu kg thành 20/5/2025</t>
  </si>
  <si>
    <t>Nguyễn Thị Mai Hà</t>
  </si>
  <si>
    <t>0948866809</t>
  </si>
  <si>
    <t>680+1137</t>
  </si>
  <si>
    <t>23.4+42.7</t>
  </si>
  <si>
    <t>Lê Trúc Thảo</t>
  </si>
  <si>
    <t>Huỳnh Thị Mỹ Duyên</t>
  </si>
  <si>
    <t>0918668085</t>
  </si>
  <si>
    <t>Nguyễn Thành Nhơn</t>
  </si>
  <si>
    <t>0939759675</t>
  </si>
  <si>
    <t>Thay đổi ngày ký trích đo kg thu tiền</t>
  </si>
  <si>
    <t>Thử 276 kg làm được</t>
  </si>
  <si>
    <t>388+276</t>
  </si>
  <si>
    <t>216.3+268.2</t>
  </si>
  <si>
    <t>10/02/2025 21/5/2025</t>
  </si>
  <si>
    <t>Kg thành -N lưu kg thành 21/5/2025</t>
  </si>
  <si>
    <t>Lưu Thành Hưng</t>
  </si>
  <si>
    <t>IG -21/5/2025</t>
  </si>
  <si>
    <t xml:space="preserve">Giao Lan 21/5/2025 </t>
  </si>
  <si>
    <t>Nguyễn Thị Nhật Thùy</t>
  </si>
  <si>
    <t>0907210899</t>
  </si>
  <si>
    <t>cn-21/5/2025</t>
  </si>
  <si>
    <t xml:space="preserve">Giao Sơn 21/5/2025 </t>
  </si>
  <si>
    <t>cmd-21/5/2025</t>
  </si>
  <si>
    <t xml:space="preserve">Giao Tiên 21/5/2025 </t>
  </si>
  <si>
    <t xml:space="preserve">Giao Thư 21/5/2025 </t>
  </si>
  <si>
    <t>Lê Hữu Hiệp</t>
  </si>
  <si>
    <t>0986568186</t>
  </si>
  <si>
    <t>Đặng Thanh Phong + Nguyễn Thị Diễm</t>
  </si>
  <si>
    <t>Nguyễn Thị Hoa Lệ</t>
  </si>
  <si>
    <t>HĐ số 113 ngày 21/5/2025 - PT số 03 - Q4 ngày 21/5/2025</t>
  </si>
  <si>
    <t>Hoàng Anh Tuấn</t>
  </si>
  <si>
    <t>Tài CQ</t>
  </si>
  <si>
    <t>Phạm Thị Hương + Nguyễn Văn Minh</t>
  </si>
  <si>
    <t>0978228536</t>
  </si>
  <si>
    <t>Phạm Ngọc Kim Hồng</t>
  </si>
  <si>
    <t>Đỗ Thị Ngọc Phượng</t>
  </si>
  <si>
    <t>Vũ Voi CQ</t>
  </si>
  <si>
    <t>Võ Thị Hạnh</t>
  </si>
  <si>
    <t>Nguyễn Hữu Lễ</t>
  </si>
  <si>
    <t>0907765009</t>
  </si>
  <si>
    <t>10/01/2025 21/5/2025</t>
  </si>
  <si>
    <t>Tòa hoãn - N lưu kg thành 21/5/2025</t>
  </si>
  <si>
    <t>QĐ số 239/2025/QĐ-CCTLCC ngày 16/5/2025 - HĐ số 114 ngày 27/5/2025</t>
  </si>
  <si>
    <t>25/04/2025 21/5/2025</t>
  </si>
  <si>
    <t>BS CV số 160/ĐTVLO-QLDN  ngày 14/5/2025</t>
  </si>
  <si>
    <t>Nguyễn Thị Đỡ</t>
  </si>
  <si>
    <t>Nguyễn Văn Vang</t>
  </si>
  <si>
    <t>0977052326</t>
  </si>
  <si>
    <t>104+107</t>
  </si>
  <si>
    <t>347.0+196.6</t>
  </si>
  <si>
    <t>Võ Thị Tròn</t>
  </si>
  <si>
    <t>0378514210</t>
  </si>
  <si>
    <t xml:space="preserve"> </t>
  </si>
  <si>
    <t>Huỳnh Hữu Phúc</t>
  </si>
  <si>
    <t>0797603168</t>
  </si>
  <si>
    <t>26/02/2025 22/5/2025</t>
  </si>
  <si>
    <t>23/04/2025 22/5/2025</t>
  </si>
  <si>
    <t xml:space="preserve">Giao Trí hs gốc 22/5/2025 </t>
  </si>
  <si>
    <t>Lương Mạnh Tùng + Lương Huỳnh Mai</t>
  </si>
  <si>
    <t>0777757564</t>
  </si>
  <si>
    <t>cmd-22/5/2025</t>
  </si>
  <si>
    <t xml:space="preserve">Giao Thư 22/5/2025 </t>
  </si>
  <si>
    <t>22/04/2025 22/5/2025</t>
  </si>
  <si>
    <t>cmd - 22/5/2025</t>
  </si>
  <si>
    <t xml:space="preserve">Có thay đổi KQ ký lại 18/4/2025 - Giao Lan 22/5/2025 </t>
  </si>
  <si>
    <t>0901013039</t>
  </si>
  <si>
    <t>cmd-23/5/2025</t>
  </si>
  <si>
    <t xml:space="preserve">Giao Hạnh 23/5/2025 </t>
  </si>
  <si>
    <t>Phạm Thị Hồng Huế</t>
  </si>
  <si>
    <t>0913937738</t>
  </si>
  <si>
    <t xml:space="preserve">Giao Tiên 23/5/2025 </t>
  </si>
  <si>
    <t xml:space="preserve">Giao Thư 23/5/2025 </t>
  </si>
  <si>
    <t>cn-23/5/2025</t>
  </si>
  <si>
    <t xml:space="preserve">Giao Sơn 23/5/2025 </t>
  </si>
  <si>
    <t xml:space="preserve">Giao hs gốc cho Bảo 23/5/2025 </t>
  </si>
  <si>
    <t>Hồ Văn Tài</t>
  </si>
  <si>
    <t>0931062533</t>
  </si>
  <si>
    <t>Huỳnh Văn Bé Tư</t>
  </si>
  <si>
    <t>0931029241</t>
  </si>
  <si>
    <t>19+20</t>
  </si>
  <si>
    <t>71+113</t>
  </si>
  <si>
    <t>2426.6+248.3</t>
  </si>
  <si>
    <t>Trần Đặng Thanh</t>
  </si>
  <si>
    <t>0937286357</t>
  </si>
  <si>
    <t>Nguyễn Thị Ngọc Diễm</t>
  </si>
  <si>
    <t>Trà Ngọc Điệp</t>
  </si>
  <si>
    <t>0903978988</t>
  </si>
  <si>
    <t>Lê Thị Kim Vân</t>
  </si>
  <si>
    <t>Quách Thị Kim Huệ</t>
  </si>
  <si>
    <t>0906818891</t>
  </si>
  <si>
    <t>82+94</t>
  </si>
  <si>
    <t>81.1+22.1</t>
  </si>
  <si>
    <t>ODT+NPK</t>
  </si>
  <si>
    <t>Nguyễn Thanh Đức</t>
  </si>
  <si>
    <t>0919520919</t>
  </si>
  <si>
    <t>PT số 04-Q4 ngày 22/5/2025 - HĐ số 115 ngày 22/5/2025</t>
  </si>
  <si>
    <t>Hà Khánh Như</t>
  </si>
  <si>
    <t>0932833935</t>
  </si>
  <si>
    <t>Nguyễn Thị Bích Thảo</t>
  </si>
  <si>
    <t>PT số 05-Q4 ngày 22/5/2025 - HĐ số 116 ngày 22/5/2025</t>
  </si>
  <si>
    <t>PT số 06-Q4 ngày 22/5/2025 - HĐ số 117 ngày 22/5/2025</t>
  </si>
  <si>
    <t>747      748</t>
  </si>
  <si>
    <t>961.551    1.019.155</t>
  </si>
  <si>
    <t>22/05/20222</t>
  </si>
  <si>
    <t>BÁO CÁO NGÀY 26/5/2025</t>
  </si>
  <si>
    <t xml:space="preserve">Giao hs gốc cho Bảo 26/5/2025 </t>
  </si>
  <si>
    <t>cn-26/5/2025</t>
  </si>
  <si>
    <t xml:space="preserve">Giao Sơn 26/5/2025 </t>
  </si>
  <si>
    <t xml:space="preserve">Giao hs gốc cho Trí 26/5/2025 </t>
  </si>
  <si>
    <t>Đặng Thị Hoa</t>
  </si>
  <si>
    <t>0919255630</t>
  </si>
  <si>
    <t>Phạm Thanh Hiền</t>
  </si>
  <si>
    <t>0907962370</t>
  </si>
  <si>
    <t>HĐ số 118 ngày 26/5/2025- PT số 07-Q4-26/5/2025</t>
  </si>
  <si>
    <t>HĐ số 119 ngày 26/5/2025- PT số 08-Q4-26/5/2025</t>
  </si>
  <si>
    <t>Võ Quốc Việt</t>
  </si>
  <si>
    <t>0989055696</t>
  </si>
  <si>
    <t xml:space="preserve">Giao hs gốc cho Trí 27/5/2025 </t>
  </si>
  <si>
    <t>cmd-27/5/2025</t>
  </si>
  <si>
    <t xml:space="preserve">Giao Thư 27/5/2025 </t>
  </si>
  <si>
    <t>ct-27/5/2025</t>
  </si>
  <si>
    <t xml:space="preserve">Giao Sơn 27/5/2025 </t>
  </si>
  <si>
    <t>26/5/20255</t>
  </si>
  <si>
    <t>Trần Hồ Như Hạnh</t>
  </si>
  <si>
    <t>0908223033</t>
  </si>
  <si>
    <t>0977175039</t>
  </si>
  <si>
    <t>0708825676</t>
  </si>
  <si>
    <t>Nguyễn Hoàng Bảo Châu</t>
  </si>
  <si>
    <t>0906925667</t>
  </si>
  <si>
    <t>Đặng Đình Trung</t>
  </si>
  <si>
    <t>0355626651</t>
  </si>
  <si>
    <t>Hồ Lê Minh</t>
  </si>
  <si>
    <t>0986313128</t>
  </si>
  <si>
    <t>217+218</t>
  </si>
  <si>
    <t>37.1+36.1</t>
  </si>
  <si>
    <t>csd rút hs - N lưu kg thành 27/5/2025</t>
  </si>
  <si>
    <t>Nguyễn Văn Giàu</t>
  </si>
  <si>
    <t>Lê Văn Minh</t>
  </si>
  <si>
    <t>0941415991</t>
  </si>
  <si>
    <t>Huỳnh Phúc Vinh</t>
  </si>
  <si>
    <t>0377365366</t>
  </si>
  <si>
    <t>0945648229</t>
  </si>
  <si>
    <t>Nguyễn Thành Long</t>
  </si>
  <si>
    <t>0909564788</t>
  </si>
  <si>
    <t>Huỳnh Thị Tuyết Oanh</t>
  </si>
  <si>
    <t>0909088459</t>
  </si>
  <si>
    <t>Trần Thị Thùy Dương</t>
  </si>
  <si>
    <t>0939805318</t>
  </si>
  <si>
    <t>HĐ số 120 ngày 27/5/2025- PT số 09-Q4-26/5/2025</t>
  </si>
  <si>
    <t>Hứa Chơn Tỵ</t>
  </si>
  <si>
    <t>0919002923</t>
  </si>
  <si>
    <t xml:space="preserve">Giao hs gốc cho Bảo 27/5/2025 </t>
  </si>
  <si>
    <t>29/04/2025 27/5/2025</t>
  </si>
  <si>
    <t>17/03/2025 27/5/2025</t>
  </si>
  <si>
    <t>Nguyễn Quang Lộc</t>
  </si>
  <si>
    <t>0703398379</t>
  </si>
  <si>
    <t>Huỳnh Thị Hoàng Oanh</t>
  </si>
  <si>
    <t>Lê Ngọc Hết</t>
  </si>
  <si>
    <t>0522965201</t>
  </si>
  <si>
    <t>Huỳnh Thị Thúy Linh + Huỳnh Thị Út Xuyên</t>
  </si>
  <si>
    <t>0964363615</t>
  </si>
  <si>
    <t>Đỗ Văn Vĩnh</t>
  </si>
  <si>
    <t>0776587747</t>
  </si>
  <si>
    <t>Ngô Minh Trung</t>
  </si>
  <si>
    <t>0334228747</t>
  </si>
  <si>
    <t>Trần Văn Lộc</t>
  </si>
  <si>
    <t>0907220515</t>
  </si>
  <si>
    <t>10/03/2025 28/5/2025</t>
  </si>
  <si>
    <t>Nguyễn Văn Bền</t>
  </si>
  <si>
    <t xml:space="preserve">Đỗ Thị Thùy Trang </t>
  </si>
  <si>
    <t>Ngô Giang Phượng</t>
  </si>
  <si>
    <t>Nguyễn Hoàng Qui</t>
  </si>
  <si>
    <t>Huy CQ</t>
  </si>
  <si>
    <t>cmd-29/5/2025</t>
  </si>
  <si>
    <t xml:space="preserve">Giao Hạnh 29/5/2025 </t>
  </si>
  <si>
    <t>Trả hs CSD 29/5/2025</t>
  </si>
  <si>
    <t xml:space="preserve">Giao Tiên 29/5/2025 </t>
  </si>
  <si>
    <t>Tăng Mộng Trinh</t>
  </si>
  <si>
    <t>0934732549</t>
  </si>
  <si>
    <t>Lưu Tuyết Anh</t>
  </si>
  <si>
    <t>0909113400</t>
  </si>
  <si>
    <t xml:space="preserve">Giao  hs gốc cho Thư 29/5/2025 </t>
  </si>
  <si>
    <t xml:space="preserve">Giao hs gốc cho Bảo 29/5/2025 </t>
  </si>
  <si>
    <t>Trần Văn Đảm + Lê Thị Kim Loanh &gt;&lt; Lê Thị Mỹ Trinh</t>
  </si>
  <si>
    <t>474+214</t>
  </si>
  <si>
    <t>2082.6+216.3</t>
  </si>
  <si>
    <t>QĐ số 245/2025/QĐ-XXTĐTC ngày 22/5/2025 - HĐ số 121 ngày 13/6/2025</t>
  </si>
  <si>
    <t>PT số 10-Q4 ngày 29/5/2025 - HĐ số 122 ngày 29/5/2025</t>
  </si>
  <si>
    <t>CSD xin rút hs - N lưu kg thành 30/5/2025</t>
  </si>
  <si>
    <t>Lê Huỳnh Nhân</t>
  </si>
  <si>
    <t>0935114194</t>
  </si>
  <si>
    <t>Phạm Thị Tuyết</t>
  </si>
  <si>
    <t>Lâm Phi Yến</t>
  </si>
  <si>
    <t>Phạm Vinh Quang</t>
  </si>
  <si>
    <t>0909202182</t>
  </si>
  <si>
    <t>Khưu Thiện Phúc</t>
  </si>
  <si>
    <t>cmd-30/5/2025</t>
  </si>
  <si>
    <t>Trả 1 cửa bổ sung 30/5/2025 DT tách kg khớp GCN</t>
  </si>
  <si>
    <t>ct-30/5/2025</t>
  </si>
  <si>
    <t xml:space="preserve">Giao Sơn 30/5/2025 </t>
  </si>
  <si>
    <t>16/05/2025 30/5/2025</t>
  </si>
  <si>
    <t>ig-30/5/2025</t>
  </si>
  <si>
    <t xml:space="preserve">Giao Thư 30/5/2025 </t>
  </si>
  <si>
    <t>95+83</t>
  </si>
  <si>
    <t>22.0+80.8</t>
  </si>
  <si>
    <t>ODT-CDK</t>
  </si>
  <si>
    <t>Hà Thị Xuân</t>
  </si>
  <si>
    <t>0977063356</t>
  </si>
  <si>
    <t xml:space="preserve">Giao hs gốc cho Bảo 30/5/2025 </t>
  </si>
  <si>
    <t>cn-31/5/2025</t>
  </si>
  <si>
    <t xml:space="preserve">Giao Thư 31/5/2025 </t>
  </si>
  <si>
    <t>14/02/2025 02/6/2025</t>
  </si>
  <si>
    <t>CSD xin rút hs - N lưu kg thành 02/6/2025</t>
  </si>
  <si>
    <t>14/04/2025 02/6/2025</t>
  </si>
  <si>
    <t xml:space="preserve">Giao hs gốc cho Bảo 02/6/2025 </t>
  </si>
  <si>
    <t>Phan Ngọc Đào</t>
  </si>
  <si>
    <t>0918256950</t>
  </si>
  <si>
    <t>PT số 11_Q4_ngày 2/6/2025 - HĐ số ngày 02/6/2025</t>
  </si>
  <si>
    <t>Hoàng Thủy</t>
  </si>
  <si>
    <t>0908397989</t>
  </si>
  <si>
    <t>BÁO CÁO NGÀY 02/6/2025</t>
  </si>
  <si>
    <t xml:space="preserve">Giao Trí hs gốc 03/6/2025 </t>
  </si>
  <si>
    <t xml:space="preserve">Giao hs gốc cho Bảo 03/6/2025 </t>
  </si>
  <si>
    <t>Lê Thị Tỵ</t>
  </si>
  <si>
    <t>0913763696</t>
  </si>
  <si>
    <t>cmd-03/6/2025</t>
  </si>
  <si>
    <t xml:space="preserve">Giao Hạnh 03/6/2025 </t>
  </si>
  <si>
    <t>ig-03/6/2025</t>
  </si>
  <si>
    <t xml:space="preserve">Giao Thư 03/6/2025 </t>
  </si>
  <si>
    <t>Nguyễn Phù Dung</t>
  </si>
  <si>
    <t>0919592297</t>
  </si>
  <si>
    <t>Nguyễn Thị Yến Xuân</t>
  </si>
  <si>
    <t>0943889199</t>
  </si>
  <si>
    <t>Cấp sở hữu căn hộ chung  cư -&gt; kg xác định được tờ thửa</t>
  </si>
  <si>
    <t xml:space="preserve">Nguyễn Văn Đém + Cao Thị Cẩm Nhung + Bùi Thu Nguyệt + Phan Đức Di + Khúc Thị Tho </t>
  </si>
  <si>
    <t>Nguyễn Thanh Mỹ</t>
  </si>
  <si>
    <t>0919321836</t>
  </si>
  <si>
    <t>Lê Mỹ Lý</t>
  </si>
  <si>
    <t>0363732299</t>
  </si>
  <si>
    <t>0989175179</t>
  </si>
  <si>
    <t>31/03/2025 03/6/2025</t>
  </si>
  <si>
    <t>Chờ CSD bs VB vay vốn NH - N lưu kg thành 03/6/2025</t>
  </si>
  <si>
    <t>Huỳnh Tấn Lợi</t>
  </si>
  <si>
    <t>Lê Thị Hồng Mai</t>
  </si>
  <si>
    <t>0908656324</t>
  </si>
  <si>
    <t>Trần Xuân Nhị</t>
  </si>
  <si>
    <t>0981810520</t>
  </si>
  <si>
    <t>06/05/2025 02/6/2025</t>
  </si>
  <si>
    <t>020498879</t>
  </si>
  <si>
    <t>Nguyễn Văn Hiền</t>
  </si>
  <si>
    <t>0383636623</t>
  </si>
  <si>
    <t>Lữ Văn Lợi</t>
  </si>
  <si>
    <t>0398887492</t>
  </si>
  <si>
    <t>Giao Ca hs gốc 04/6/2025</t>
  </si>
  <si>
    <t>Kg thành - N lưu kg thành 04/6/2025</t>
  </si>
  <si>
    <t>Đặng Như Thế + Nguyễn Thị Tích</t>
  </si>
  <si>
    <t>Ca CQ</t>
  </si>
  <si>
    <t>22/04/2025 04/6/2025</t>
  </si>
  <si>
    <t>Lê Thị Thúy Hằng</t>
  </si>
  <si>
    <t>0839000087</t>
  </si>
  <si>
    <t>Trịnh Thị Phượng</t>
  </si>
  <si>
    <t>0822448489</t>
  </si>
  <si>
    <t>Hướng dẫn CSD cấp đổi do mở đường phát sinh 2 thửa - N lưu kg thành 04/6/2025</t>
  </si>
  <si>
    <t>Đã trả hs cho CSD kg thu hồi đc BN do báo mất 04/6/2025</t>
  </si>
  <si>
    <t>cmd-04/6/2025</t>
  </si>
  <si>
    <t xml:space="preserve">Giao Sơn 04/6/2025 </t>
  </si>
  <si>
    <t>ct-05/6/2025</t>
  </si>
  <si>
    <t>CSD xin rút hs-Đã trả 05/6/2025</t>
  </si>
  <si>
    <t xml:space="preserve">Giao hs gốc cho Bảo 05/6/2025 </t>
  </si>
  <si>
    <t xml:space="preserve">Giao hs gốc cho Bảo 09/6/2025 </t>
  </si>
  <si>
    <t xml:space="preserve">Giao hs gốc cho Lan 09/6/2025 </t>
  </si>
  <si>
    <t>Dương Văn Giàu</t>
  </si>
  <si>
    <t>0767997314</t>
  </si>
  <si>
    <t>BÁO CÁO NGÀY 09/6/2025</t>
  </si>
  <si>
    <t xml:space="preserve">Giao hs gốc cho Nhân 09/6/2025 </t>
  </si>
  <si>
    <t>cmd-09/6/2025</t>
  </si>
  <si>
    <t xml:space="preserve">Giao Thư 09/6/2025 </t>
  </si>
  <si>
    <t>Nguyễn Thu Thủy + Phạm Văn Lượng</t>
  </si>
  <si>
    <t xml:space="preserve">Giao Hạnh 09/6/2025 </t>
  </si>
  <si>
    <t xml:space="preserve">Giao Tiên 09/6/2025 </t>
  </si>
  <si>
    <t>Lê Tấn Đại</t>
  </si>
  <si>
    <t xml:space="preserve">Giao Lan 09/6/2025 </t>
  </si>
  <si>
    <t>Kg thành - N lưu kg thành 09/6/2025</t>
  </si>
  <si>
    <t xml:space="preserve">Giao hs gốc cho Trí 09/6/2025 </t>
  </si>
  <si>
    <t>CSD xin rút hs -Tổ đo trả hs cho CSD 10/6/2025</t>
  </si>
  <si>
    <t>ct-10/6/2025</t>
  </si>
  <si>
    <t xml:space="preserve">Giao Sơn 10/6/2025 </t>
  </si>
  <si>
    <t>cmd-10/6/2025</t>
  </si>
  <si>
    <t xml:space="preserve">Giao Thư 10/6/2025 </t>
  </si>
  <si>
    <t>Đỗ Thị Ngọc Thúy</t>
  </si>
  <si>
    <t>0909020294</t>
  </si>
  <si>
    <t xml:space="preserve">Giao Tiên 10/6/2025 </t>
  </si>
  <si>
    <t>0794300983</t>
  </si>
  <si>
    <t>Lê Hữu Tín + Lê Thanh Huy + Lê Hữu Quang + Lê Hữu Thành</t>
  </si>
  <si>
    <t xml:space="preserve">Trương Thị Thùy Linh </t>
  </si>
  <si>
    <t>Trần Thanh Liêm</t>
  </si>
  <si>
    <t>0939370210</t>
  </si>
  <si>
    <t>0989220552</t>
  </si>
  <si>
    <t>25/04/2025 16/5/2025 10/6/2025</t>
  </si>
  <si>
    <t>Trương Minh Trí</t>
  </si>
  <si>
    <t>0903138843</t>
  </si>
  <si>
    <t>Trần Ngọc Vui</t>
  </si>
  <si>
    <t>0375395939</t>
  </si>
  <si>
    <t>Trần Văn Nam</t>
  </si>
  <si>
    <t>0906938474</t>
  </si>
  <si>
    <t>Đinh Thị Tuyết</t>
  </si>
  <si>
    <t>0785709767</t>
  </si>
  <si>
    <t>82+127</t>
  </si>
  <si>
    <t>503.6+356.2</t>
  </si>
  <si>
    <t>Nguyễn Thành Cuộc</t>
  </si>
  <si>
    <t>0787917919</t>
  </si>
  <si>
    <t xml:space="preserve">Giao hs gốc cho Bảo 10/6/2025 </t>
  </si>
  <si>
    <t>Võ Thị Hồng Phượng + Hàng Thị Diễm My</t>
  </si>
  <si>
    <t>0939851398</t>
  </si>
  <si>
    <t>Trần Thành Phước</t>
  </si>
  <si>
    <t>0917208403</t>
  </si>
  <si>
    <t>Lê Thị Kim Tươi</t>
  </si>
  <si>
    <t>0939992959</t>
  </si>
  <si>
    <t>29/05/2025 09/6/2025</t>
  </si>
  <si>
    <t>Nguyễn Thanh Phương</t>
  </si>
  <si>
    <t>Nguyễn Thị Cẩm Vân</t>
  </si>
  <si>
    <t>0982574195</t>
  </si>
  <si>
    <t>IG-10/6/2025</t>
  </si>
  <si>
    <t>Lê Thị Trúc Trâm (thừa kế) Nguyễn Thị Ánh Phụng (Chết)</t>
  </si>
  <si>
    <t>0913785517</t>
  </si>
  <si>
    <t>ODT</t>
  </si>
  <si>
    <t xml:space="preserve">Giao Tiên 11/6/2025 </t>
  </si>
  <si>
    <t xml:space="preserve">Giao Tiên 09/5/2025 </t>
  </si>
  <si>
    <t>HĐ số 125 ngày 09/6/2025 - PT số Q4 ngày 09/6/2025</t>
  </si>
  <si>
    <t>0919500037</t>
  </si>
  <si>
    <t>CSD xin rút hs-Tổ đo đã trả hs cho CSD 11/6/2025</t>
  </si>
  <si>
    <t>Nguyễn Văn Được &gt;&lt; Mai Thị Hiền</t>
  </si>
  <si>
    <t>CV số 258/CV-TA ngày 22/5/2025 - HĐ số 126 ngày 17/6/2025</t>
  </si>
  <si>
    <t>CV số 269/CV-TA ngày 22/5/2025 - HĐ số 127 ngày 24/6/2025</t>
  </si>
  <si>
    <t>Phan Công Vủ &gt;&lt; Trần Thị Hoa</t>
  </si>
  <si>
    <t>CV số 283/2025/CV-TA ngày 22/5/2025 - HĐ số 128 ngày 17/6/2025</t>
  </si>
  <si>
    <t>Sơn Núi CQ</t>
  </si>
  <si>
    <t>Nguyễn Thị Thanh Tâm</t>
  </si>
  <si>
    <t>0983626549</t>
  </si>
  <si>
    <t>Lê Thị Giỏi</t>
  </si>
  <si>
    <t>0905252202</t>
  </si>
  <si>
    <t>Nguyễn Hoàng Mỹ Duyên &gt;&lt; Sơn Thị The</t>
  </si>
  <si>
    <t>675+810</t>
  </si>
  <si>
    <t>CV số 268/2025/CV-TA ngày 03/6/2025 - HĐ số 129 ngày 24/6/2025</t>
  </si>
  <si>
    <t>Lê Thị Bích Ngọc</t>
  </si>
  <si>
    <t>0975981088</t>
  </si>
  <si>
    <t>Trần Thị Bảy</t>
  </si>
  <si>
    <t>0939262589</t>
  </si>
  <si>
    <t>Nguyễn Thị Láng</t>
  </si>
  <si>
    <t>0909645533</t>
  </si>
  <si>
    <t>Võ Hồng Phong</t>
  </si>
  <si>
    <t>0902663756</t>
  </si>
  <si>
    <t>Lê Anh Mười Hai</t>
  </si>
  <si>
    <t>0977678088</t>
  </si>
  <si>
    <t>Nguyễn Văn Phương + Nguyễn Thị Em</t>
  </si>
  <si>
    <t xml:space="preserve">Thái Thị Hường (Chết) - Trần Quang Huy Phượng - Trần Quang Huy Hoàng - Trần Quang Huy Hùng - Trần Quang Huy Hằng - Trần Quang Huy Hiền - Trần Quang Huy Hạnh - Trần Quang Huy Huyền </t>
  </si>
  <si>
    <t>0854540090</t>
  </si>
  <si>
    <t>Kg thành - N lưu kg thành 11/6/2025</t>
  </si>
  <si>
    <t>0936737992</t>
  </si>
  <si>
    <t>Lê Văn Xá</t>
  </si>
  <si>
    <t>0918342946</t>
  </si>
  <si>
    <t>Duy cQ</t>
  </si>
  <si>
    <t>Đào Thị Ánh Thuận</t>
  </si>
  <si>
    <t>0976673000</t>
  </si>
  <si>
    <t>Ca cQ</t>
  </si>
  <si>
    <t>Lê Văn Chiến</t>
  </si>
  <si>
    <t>Trần Thị Kim Chi</t>
  </si>
  <si>
    <t>0813456769</t>
  </si>
  <si>
    <t>HĐ số 125 ngày 09/6/2025 - PT số 12 Q4 ngày 09/6/2025</t>
  </si>
  <si>
    <t>HĐ số 130 ngày 11/6/2025 - PT số 14 Q4 ngày 11/6/2025</t>
  </si>
  <si>
    <t>Lê Thị Hương</t>
  </si>
  <si>
    <t>0367443979</t>
  </si>
  <si>
    <t>Lê Trung Thành</t>
  </si>
  <si>
    <t>0978215595</t>
  </si>
  <si>
    <t>Trịnh Ngọc Mai</t>
  </si>
  <si>
    <t>Phạm Hữu Mười (chết) Phạm Hoàng Nam (thừa kế)</t>
  </si>
  <si>
    <t>091920212</t>
  </si>
  <si>
    <t>0918325303</t>
  </si>
  <si>
    <t>225+222+218</t>
  </si>
  <si>
    <t>234.6+1130.3+384.5</t>
  </si>
  <si>
    <t>08/05/2025 12/6/2025</t>
  </si>
  <si>
    <t>09/04/2025 12/6/2025</t>
  </si>
  <si>
    <t xml:space="preserve">Giao hs gốc cho Trí 12/6/2025 </t>
  </si>
  <si>
    <t>cn-12/5/2025</t>
  </si>
  <si>
    <t xml:space="preserve">Giao Sơn 12/6/2025 </t>
  </si>
  <si>
    <t>QĐ số 281/2025/QĐ-CCTLCC ngày 06/6/2025 - HĐ số 131 ngày 19/6/2025</t>
  </si>
  <si>
    <t>Trần Văn Ve + Nguyễn Thị Nhung (chết) Trần Thái Bình (thừa kế)</t>
  </si>
  <si>
    <t>0385528372</t>
  </si>
  <si>
    <t>117-2+117-1</t>
  </si>
  <si>
    <t>90.4+(83.5+23.6)</t>
  </si>
  <si>
    <t>Dang Thị Sang</t>
  </si>
  <si>
    <t>0916253716</t>
  </si>
  <si>
    <t xml:space="preserve">Giao hs gốc cho Bảo 12/6/2025 </t>
  </si>
  <si>
    <t>CSD xin rút hs - Đã trả hs 13/6/2025</t>
  </si>
  <si>
    <t>04/03/2025 13/6/2025</t>
  </si>
  <si>
    <t>Lê Minh Hoàng</t>
  </si>
  <si>
    <t>0939051588</t>
  </si>
  <si>
    <t>Mai Công Hậu</t>
  </si>
  <si>
    <t>Ra BN lần 2 - 13/6/2025</t>
  </si>
  <si>
    <t>05/05/2025 13/6/2025</t>
  </si>
  <si>
    <t>Nguyễn Thị Kim Kiều</t>
  </si>
  <si>
    <t>Dương Lý Kim Trúc</t>
  </si>
  <si>
    <t>14</t>
  </si>
  <si>
    <t xml:space="preserve">Hồ Thanh Diệp </t>
  </si>
  <si>
    <t>0937907997</t>
  </si>
  <si>
    <t xml:space="preserve">Giao hs gốc cho Bảo 13/6/2025 </t>
  </si>
  <si>
    <t>Lê Thị Thu Hồng + Lê Thị Út Thanh</t>
  </si>
  <si>
    <t>0706819031</t>
  </si>
  <si>
    <t>ct-14/6/2025</t>
  </si>
  <si>
    <t xml:space="preserve">Giao Sơn 14/6/2025 </t>
  </si>
  <si>
    <t>ct-14/+6/2025</t>
  </si>
  <si>
    <t>cmd-14/6/2025</t>
  </si>
  <si>
    <t xml:space="preserve">Giao Thư 14/6/2025 </t>
  </si>
  <si>
    <t>Chú ý hs năm 2022</t>
  </si>
  <si>
    <t>02/6/25025</t>
  </si>
  <si>
    <t>Võ Minh Hoàng Dũng</t>
  </si>
  <si>
    <t>0789848815</t>
  </si>
  <si>
    <t>Võ Thị Thu Thảo</t>
  </si>
  <si>
    <t>0938642136</t>
  </si>
  <si>
    <t>BÁO CÁO NGÀY 16/6/2025</t>
  </si>
  <si>
    <t>Lê Thị Hồng Loan</t>
  </si>
  <si>
    <t>038289933</t>
  </si>
  <si>
    <t xml:space="preserve">Giao hs gốc cho Bảo 16/6/2025 </t>
  </si>
  <si>
    <t>ct-16/6/2025</t>
  </si>
  <si>
    <t xml:space="preserve">Giao Sơn 16/6/2025 </t>
  </si>
  <si>
    <t>Nguyễn Văn Lê</t>
  </si>
  <si>
    <t>0972321751</t>
  </si>
  <si>
    <t>Ngân hàng TMCP Á Châu + Nguyễn Hoàng Linh &gt;&lt; Nguyễn Hữu Ân + Huỳnh Trung Lệ</t>
  </si>
  <si>
    <t>QĐ số 30/QĐCC-THADS ngày 06/6/2025 + TM số 580/TM-CC.THADS ngày 10/6/2025</t>
  </si>
  <si>
    <t>19/05/2025 16/6/2025</t>
  </si>
  <si>
    <t>Nguyễn Văn Nga</t>
  </si>
  <si>
    <t>Văn Cấp Trí</t>
  </si>
  <si>
    <t>0855586149</t>
  </si>
  <si>
    <t>Bình-Huy</t>
  </si>
  <si>
    <t xml:space="preserve">Giao Trí hs gốc 16/6/2025 </t>
  </si>
  <si>
    <t>Đã trả hs cho CSD 17/6/2025</t>
  </si>
  <si>
    <t>Nguyễn Huy Minh</t>
  </si>
  <si>
    <t>0932872932</t>
  </si>
  <si>
    <t xml:space="preserve">Giao hs gốc cho Bảo 17/6/2025 </t>
  </si>
  <si>
    <t>Lê Văn Tòng</t>
  </si>
  <si>
    <t>0385447992</t>
  </si>
  <si>
    <t>CDK</t>
  </si>
  <si>
    <t>Võ Thị Thanh Nga</t>
  </si>
  <si>
    <t>0907969197</t>
  </si>
  <si>
    <t>196-2+196-1</t>
  </si>
  <si>
    <t>1017.8+232.7</t>
  </si>
  <si>
    <t>Nguyễn Văn Lợi</t>
  </si>
  <si>
    <t>0907602517</t>
  </si>
  <si>
    <t>Nguyễn Thị Tới (chết) Võ Thị Kim Điệp (thừa kế)</t>
  </si>
  <si>
    <t>0705923578</t>
  </si>
  <si>
    <t>Trần Đắc Hiền</t>
  </si>
  <si>
    <t>0983823907</t>
  </si>
  <si>
    <t>1160 hủy thay thế 1604 ngày 17/6/2025</t>
  </si>
  <si>
    <t>Trần Bá Nguyện</t>
  </si>
  <si>
    <t>0794457648</t>
  </si>
  <si>
    <t>19/05/2025 17/6/2025</t>
  </si>
  <si>
    <t>ct-17/6/2025</t>
  </si>
  <si>
    <t xml:space="preserve">Giao Sơn 17/6/2025 </t>
  </si>
  <si>
    <t>Phạm Hoàng Minh &gt;&lt;  Ngô Thị Thanh Thúy</t>
  </si>
  <si>
    <t>CV số 293/2025/CV-TA ngày 12/6/2025 - HĐ số 134 ngày 26/6/2025</t>
  </si>
  <si>
    <t>396+397+737+738</t>
  </si>
  <si>
    <t>295.6+296.9+138.6+297.8</t>
  </si>
  <si>
    <t>TM số 593/TM-CCTHA ngày 12/6/2025 - HĐ số 135 ngày 25/6/2025</t>
  </si>
  <si>
    <t>cmd-17/6/2025</t>
  </si>
  <si>
    <t xml:space="preserve">Giao Thư  17/6/2025 </t>
  </si>
  <si>
    <t xml:space="preserve">Giao Thư 17/6/2025 </t>
  </si>
  <si>
    <t>Đặng Hữu Hiền</t>
  </si>
  <si>
    <t>Vinh</t>
  </si>
  <si>
    <t xml:space="preserve">Giao Tiên 17/6/2025 </t>
  </si>
  <si>
    <t>HS năm 2022</t>
  </si>
  <si>
    <t xml:space="preserve">Giao Lan 17/6/2025 </t>
  </si>
  <si>
    <t>Trịnh Văn Triệu</t>
  </si>
  <si>
    <t xml:space="preserve">Trả 1 cửa bổ sung 17/6/2025 </t>
  </si>
  <si>
    <t>0794204561</t>
  </si>
  <si>
    <t>38+31</t>
  </si>
  <si>
    <t>485+155</t>
  </si>
  <si>
    <t>120.1+45.5</t>
  </si>
  <si>
    <t>ODT-LUC</t>
  </si>
  <si>
    <t>Trần Thị Tuyết Lan</t>
  </si>
  <si>
    <t>PT số 16-Q4-17/6/2025 - HĐ số 135 ngày 17/6/2025</t>
  </si>
  <si>
    <t>HĐ ghi nhầm tên Lê Vũ Trường</t>
  </si>
  <si>
    <t xml:space="preserve">Giao hs gốc 18/6/2025 </t>
  </si>
  <si>
    <t xml:space="preserve">Giao hs gốc cho Bảo 18/6/2025 </t>
  </si>
  <si>
    <t xml:space="preserve">Giao hs gốc cho Nhân 18/6/2025 </t>
  </si>
  <si>
    <t>Lưu Hoàng Cường</t>
  </si>
  <si>
    <t>0788068134</t>
  </si>
  <si>
    <t>Đinh Ngọc Tiếp</t>
  </si>
  <si>
    <t>Lâm Thị Huyền Trân</t>
  </si>
  <si>
    <t>cn-18/6/2025</t>
  </si>
  <si>
    <t xml:space="preserve">Giao Sơn 18/6/2025 </t>
  </si>
  <si>
    <t xml:space="preserve">                                                                                          </t>
  </si>
  <si>
    <t>Văn Mỹ Du</t>
  </si>
  <si>
    <t>11/06/2025 17/6/2025</t>
  </si>
  <si>
    <t>0939928869</t>
  </si>
  <si>
    <t>Nguyễn Văn Thăng</t>
  </si>
  <si>
    <t>0834001074</t>
  </si>
  <si>
    <t>108+84</t>
  </si>
  <si>
    <t>1028.3+1700.7</t>
  </si>
  <si>
    <t>CLN - LUC</t>
  </si>
  <si>
    <t>Đã trả hs + Hoàn tiền 19/6/2025</t>
  </si>
  <si>
    <t xml:space="preserve">Giao hs gốc cho Bảo 19/6/2025 </t>
  </si>
  <si>
    <t>kg thành - Đã trả hs cho CSD 19/6/2025</t>
  </si>
  <si>
    <t>Hồ Thị Cẩm Thủy</t>
  </si>
  <si>
    <t>0907648996</t>
  </si>
  <si>
    <t>Nguyễn Văn Hải + Phạm Thị Yến Nhi</t>
  </si>
  <si>
    <t>cn-19/6/2025</t>
  </si>
  <si>
    <t xml:space="preserve">Giao Sơn 19/6/2025 </t>
  </si>
  <si>
    <t>Lâm Thị Thể Hà (chết) Trần Thị Tú Hồng</t>
  </si>
  <si>
    <t>Có thay đổi mục đích sử dụng</t>
  </si>
  <si>
    <t>25/04/2025 19/6/2025</t>
  </si>
  <si>
    <t>Thái Văn Được</t>
  </si>
  <si>
    <t>0778161663</t>
  </si>
  <si>
    <t>PT số 17-Q4-18/6/2025- HĐ số 137 ngày 18/6/2025</t>
  </si>
  <si>
    <t>Có BB kg thành _ N lưu hs kg thành 19/6/2025</t>
  </si>
  <si>
    <t>Có BB kg thành - N lưu kg thành 19/6/2025</t>
  </si>
  <si>
    <t>cmd-19/6/2025</t>
  </si>
  <si>
    <t xml:space="preserve">Giao Thư 19/6/2025 </t>
  </si>
  <si>
    <t>03/06/2025 20/6/2025</t>
  </si>
  <si>
    <t>CSD đổi từ CT sang IG</t>
  </si>
  <si>
    <t xml:space="preserve">Giao hs gốc cho Bảo 20/6/2025 </t>
  </si>
  <si>
    <t>cmd-20/6/2025</t>
  </si>
  <si>
    <t xml:space="preserve">Giao Tiên 20/6/2025 </t>
  </si>
  <si>
    <t>ct-20/6/2025</t>
  </si>
  <si>
    <t xml:space="preserve">Giao Sơn 20/6/2025 </t>
  </si>
  <si>
    <t>Kg thống nhất ranh - N lưu kg thành 20/5/2025</t>
  </si>
  <si>
    <t>CSD xin rút HS - N lưu kg thành - Đã  hoàn tiền 17/6/2025</t>
  </si>
  <si>
    <t>Nguyễn Thị Thu Thủy</t>
  </si>
  <si>
    <t>0913137181</t>
  </si>
  <si>
    <t>Huỳnh Thị Tuyết Mai</t>
  </si>
  <si>
    <t>0338111748</t>
  </si>
  <si>
    <t>0939793539</t>
  </si>
  <si>
    <t xml:space="preserve">Giao Bảo hs gốc 20/6/2025 </t>
  </si>
  <si>
    <t>Trần Ngọc Quý</t>
  </si>
  <si>
    <t>Huỳnh Văn Mẹo (Chết) Huỳnh Thị Hồng Sương (thừa kế)</t>
  </si>
  <si>
    <t>0932987886</t>
  </si>
  <si>
    <t>Lê Văn Biết</t>
  </si>
  <si>
    <t>0988358639</t>
  </si>
  <si>
    <t>Mạc Văn Minh</t>
  </si>
  <si>
    <t>0947495063</t>
  </si>
  <si>
    <t>Võ Xuân Lộc</t>
  </si>
  <si>
    <t>0898571216</t>
  </si>
  <si>
    <t>IG-20/6/2025</t>
  </si>
  <si>
    <t xml:space="preserve">Giao Thư 20/6/2025 </t>
  </si>
  <si>
    <t>cn-20/6/2025</t>
  </si>
  <si>
    <t xml:space="preserve">Giao hs gốc cho Bảo 21/6/2025 </t>
  </si>
  <si>
    <t>Hủy HĐ số 1728 ngày 20/6/2025</t>
  </si>
  <si>
    <t>Trần Anh Tôn + Lê Thị Hương</t>
  </si>
  <si>
    <t>0919255956</t>
  </si>
  <si>
    <t xml:space="preserve">Huy </t>
  </si>
  <si>
    <t>HS cũ năm 2024 - Xin ý kiến</t>
  </si>
  <si>
    <t xml:space="preserve">Giao Bảo hs gốc 24/6/2025 </t>
  </si>
  <si>
    <t>BÁO CÁO NGÀY 24/6/2025</t>
  </si>
  <si>
    <t>Đã trả hs cho CSD 24/6/2025</t>
  </si>
  <si>
    <t>Huỳnh Thanh Tân</t>
  </si>
  <si>
    <t>0932876923</t>
  </si>
  <si>
    <t>Lê Thị Lan Thanh</t>
  </si>
  <si>
    <t>0938365157</t>
  </si>
  <si>
    <t>Nguyễn Huy Bình</t>
  </si>
  <si>
    <t>0969716671</t>
  </si>
  <si>
    <t>Nguyễn Thị Tuyết</t>
  </si>
  <si>
    <t>0937541345</t>
  </si>
  <si>
    <t>Nguyễn Văn Khanh</t>
  </si>
  <si>
    <t>0835084611</t>
  </si>
  <si>
    <t>Vũ Voi CQs</t>
  </si>
  <si>
    <t>cmd-24/6/2025</t>
  </si>
  <si>
    <t xml:space="preserve">Giao Thư 24/6/2025 </t>
  </si>
  <si>
    <t>cmd-24/6/2026</t>
  </si>
  <si>
    <t xml:space="preserve">Giao Lan 24/6/2025 </t>
  </si>
  <si>
    <t>Kg thành - N lưu kg thành 24/6/2025</t>
  </si>
  <si>
    <t xml:space="preserve">Giao hs gốc cho Trí 24/6/2025 </t>
  </si>
  <si>
    <t>cn-</t>
  </si>
  <si>
    <t>cn-241/6/2025</t>
  </si>
  <si>
    <t xml:space="preserve">Giao Sơn 24/6/2025 </t>
  </si>
  <si>
    <t>ct-24/6/2025</t>
  </si>
  <si>
    <t>Trả 1 cửa xem lại ủy quyền + đơn tách thửa 24/6/2025</t>
  </si>
  <si>
    <t>Nguyễn Thị Ngọc Nhi</t>
  </si>
  <si>
    <t>0909965554</t>
  </si>
  <si>
    <t>Trả 1 cửa bổ sung 24/6/2025 sai HĐ</t>
  </si>
  <si>
    <t xml:space="preserve">Đặng Thị Liên + Đặng Hoán Lộc </t>
  </si>
  <si>
    <t>0918081238</t>
  </si>
  <si>
    <t>Nguyễn Thị Xuân Trúc</t>
  </si>
  <si>
    <t>0918513456</t>
  </si>
  <si>
    <t>Phạm Hải Đăng</t>
  </si>
  <si>
    <t>0907960151</t>
  </si>
  <si>
    <t>Nguyễn Ngọc Nữ</t>
  </si>
  <si>
    <t>0813933639</t>
  </si>
  <si>
    <t>Nguyễn Thị Kiều + Trương Thúy Vân</t>
  </si>
  <si>
    <t>0975022297</t>
  </si>
  <si>
    <t>499+500</t>
  </si>
  <si>
    <t>186.6+118.9</t>
  </si>
  <si>
    <t>12+16</t>
  </si>
  <si>
    <t>2939.6+2611.9</t>
  </si>
  <si>
    <t>Thửa 16 có kết quả 24/6/2025 - Thửa 12 xin ý kiến</t>
  </si>
  <si>
    <t>0833338309</t>
  </si>
  <si>
    <t>Võ Thành Phước</t>
  </si>
  <si>
    <t>CSD rút hs - Tổ đo đã trả hs</t>
  </si>
  <si>
    <t>cn-25/6/2025</t>
  </si>
  <si>
    <t xml:space="preserve">Giao Sơn 25/6/2025 </t>
  </si>
  <si>
    <t>PT số 18-Q4 ngày 25/6/2025 - HĐ số 138 ngày 25/6/2025</t>
  </si>
  <si>
    <t>Trả HS CSD 25/6/2025</t>
  </si>
  <si>
    <t>Đã xin ý kiến A Vinh kg thu tiền do đã có SHN cũ</t>
  </si>
  <si>
    <t xml:space="preserve">Giao hs gốc cho Bảo 25/6/2025 </t>
  </si>
  <si>
    <t>tt-25/6/2025</t>
  </si>
  <si>
    <t xml:space="preserve">Giao Sơn 26/6/2025 </t>
  </si>
  <si>
    <t>PT số 17-Q4-18/6/2025- HĐ số 139 ngày 25/6/2025</t>
  </si>
  <si>
    <t xml:space="preserve">Giao hs gốc cho Ca 25/6/2025 </t>
  </si>
  <si>
    <t>Có VB hướng dẫn 22/01/2025 25/6/2025</t>
  </si>
  <si>
    <t>Hồ Bình Thế</t>
  </si>
  <si>
    <t>0976344299</t>
  </si>
  <si>
    <t xml:space="preserve">Tổ đo Bình - Duy trả hs cho CSD 25/5/2025 </t>
  </si>
  <si>
    <t xml:space="preserve">Giao Bảo hs gốc 25/6/2025 </t>
  </si>
  <si>
    <t xml:space="preserve">Giao Bảo hs gốc 26/6/2025 </t>
  </si>
  <si>
    <t>Giao Bảo hs gốc 26/6/2025</t>
  </si>
  <si>
    <t>cmd-26/6/2025</t>
  </si>
  <si>
    <t xml:space="preserve">Giao Hạnh 26/6/2025 </t>
  </si>
  <si>
    <t>12/06/2025 26/6/2025 (thửa 222)</t>
  </si>
  <si>
    <t>cn-26/6/2025</t>
  </si>
  <si>
    <t>24/69/2025</t>
  </si>
  <si>
    <t>CSD xin rút hs - N lưu kg thành 26/6/2025</t>
  </si>
  <si>
    <t>Đã trả hs cho CSD 26/6/2025 - lý do tạm ngưng thủ tục có BB lưu kg thành</t>
  </si>
  <si>
    <t xml:space="preserve">Giao hs gốc cho Bảo 26/6/2025 </t>
  </si>
  <si>
    <t>hủy 1923 thay thế 1957 tiếp tục hủy 1957 thay thế 1967</t>
  </si>
  <si>
    <t xml:space="preserve">hủy 2.125.468  thay thế 2.391.151 </t>
  </si>
  <si>
    <t xml:space="preserve">Lưu kg thành 28/3/2025 - Giao hs gốc cho Duy 27/6/2025 </t>
  </si>
  <si>
    <t>Hồ Ngọc Phượng (thừa kế) Văn Thị Hai (chết)</t>
  </si>
  <si>
    <t>09633379457</t>
  </si>
  <si>
    <t>0796426158</t>
  </si>
  <si>
    <t>Dương Quốc Thanh Tuyền</t>
  </si>
  <si>
    <t>0918670220</t>
  </si>
  <si>
    <t>IG-27/6/2025</t>
  </si>
  <si>
    <t xml:space="preserve">Giao Thư 27/6/2025 </t>
  </si>
  <si>
    <t xml:space="preserve">Phạm Thị Lem </t>
  </si>
  <si>
    <t>27/69/2025</t>
  </si>
  <si>
    <t xml:space="preserve">Giao hs gốc cho Bảo 27/6/2025 </t>
  </si>
  <si>
    <t>Dương Thành Tâm</t>
  </si>
  <si>
    <t>Nguyễn Thị Kim Hằng</t>
  </si>
  <si>
    <t>cn-27/6/2025</t>
  </si>
  <si>
    <t xml:space="preserve">Giao Sưn 27/6/2025 </t>
  </si>
  <si>
    <t>Nguyễn Văn Lộc</t>
  </si>
  <si>
    <t>0706521826</t>
  </si>
  <si>
    <t>Đến ngày trả kết quả</t>
  </si>
  <si>
    <t>Dđoàn Thị Thanh Trúc</t>
  </si>
  <si>
    <t>0939944447</t>
  </si>
  <si>
    <t>Đến hẹn trả kết quả</t>
  </si>
  <si>
    <t>LOẠI HS</t>
  </si>
  <si>
    <t>GHI CHÚ</t>
  </si>
  <si>
    <t>THO</t>
  </si>
  <si>
    <t>TN</t>
  </si>
  <si>
    <t>Đoàn Thị Thanh Trúc</t>
  </si>
  <si>
    <t>ODT + CLN</t>
  </si>
  <si>
    <t>Huy - Tài</t>
  </si>
  <si>
    <t>Số HĐ</t>
  </si>
  <si>
    <t>Mạc Thị Thu Nga</t>
  </si>
  <si>
    <t>0396238672</t>
  </si>
  <si>
    <t>XMM(3M)</t>
  </si>
  <si>
    <t>LĐ</t>
  </si>
  <si>
    <t>PT: 19/ Q04</t>
  </si>
  <si>
    <t>ODT+CLN</t>
  </si>
  <si>
    <t>Bình</t>
  </si>
  <si>
    <t>798+150</t>
  </si>
  <si>
    <t>72.3+1315</t>
  </si>
  <si>
    <t>22+80.8</t>
  </si>
  <si>
    <t>PNK+ODT</t>
  </si>
  <si>
    <t>AO</t>
  </si>
  <si>
    <t>30/06/225</t>
  </si>
  <si>
    <t>Trịnh Nguyễn Phong Duy Phúc`</t>
  </si>
  <si>
    <t>231.6+243.6</t>
  </si>
  <si>
    <t>TA</t>
  </si>
  <si>
    <t>GIAO CHỊ KHÁNH</t>
  </si>
  <si>
    <t>x</t>
  </si>
  <si>
    <t>TH</t>
  </si>
  <si>
    <t>11/06/2025, nhận lại 01/07/2025</t>
  </si>
  <si>
    <t>Giao A Ca</t>
  </si>
  <si>
    <t>XMN (4 mốc)</t>
  </si>
  <si>
    <t>XMN (2 mốc)</t>
  </si>
  <si>
    <t>Nguyễn Thị Mười</t>
  </si>
  <si>
    <t>Châu Thị Sáu + Nguyễn Văn Hải</t>
  </si>
  <si>
    <t>Phạm Thị Kẹo</t>
  </si>
  <si>
    <t>Tân Hạnh</t>
  </si>
  <si>
    <t>Trần Thị Thu Hương</t>
  </si>
  <si>
    <t>Phạm Kim Vui</t>
  </si>
  <si>
    <t>Trần Thị Sơn</t>
  </si>
  <si>
    <t>BĐ</t>
  </si>
  <si>
    <t>01/07/2025 + 02/07/2025</t>
  </si>
  <si>
    <t>2103 + 2138</t>
  </si>
  <si>
    <t>Đoỗ Quốc Khánh</t>
  </si>
  <si>
    <t>Trương Văn Tấn</t>
  </si>
  <si>
    <t>Sơn - Duy</t>
  </si>
  <si>
    <t>Long Châu</t>
  </si>
  <si>
    <t>Nguyễn Thanh Sơn</t>
  </si>
  <si>
    <t>Phước Hậu</t>
  </si>
  <si>
    <t>Nguyễn Hoàng Ba</t>
  </si>
  <si>
    <t>Long - Ca</t>
  </si>
  <si>
    <t>Vinh-Công-Bình</t>
  </si>
  <si>
    <t>Tân Ngãi</t>
  </si>
  <si>
    <t>Huỳnh Thị Hiền</t>
  </si>
  <si>
    <t>R</t>
  </si>
  <si>
    <t>Thanh Đức</t>
  </si>
  <si>
    <t>Ngô Thị Ánh Tuyết</t>
  </si>
  <si>
    <t>Trần Thị N hư Mai</t>
  </si>
  <si>
    <t>193-1</t>
  </si>
  <si>
    <t>Vinh - Công - Bình</t>
  </si>
  <si>
    <t>Trần Quốc Sơn</t>
  </si>
  <si>
    <t>193-2</t>
  </si>
  <si>
    <t>Trần Quốc Lâm</t>
  </si>
  <si>
    <t>193-3</t>
  </si>
  <si>
    <t>NGÀY GIAO</t>
  </si>
  <si>
    <t>Phạm Văn Năm</t>
  </si>
  <si>
    <t>Hồ Văn Hiệp</t>
  </si>
  <si>
    <t>MỚI ĐO</t>
  </si>
  <si>
    <t>X</t>
  </si>
  <si>
    <t>csd RÚT HS</t>
  </si>
  <si>
    <t xml:space="preserve">GIAO </t>
  </si>
  <si>
    <t>Phạm Thị Huỳnh Mai</t>
  </si>
  <si>
    <t>Nguyễn Hòa Ân</t>
  </si>
  <si>
    <t>CMĐ (SKC-&gt;T)</t>
  </si>
  <si>
    <t>trả CSD</t>
  </si>
  <si>
    <t>Tài</t>
  </si>
  <si>
    <t>Lê Thị Hậu</t>
  </si>
  <si>
    <t>Trần Thiên Ký</t>
  </si>
  <si>
    <t>Nguyễn Khánh Đỉnh + Trang</t>
  </si>
  <si>
    <t>Chị Duyên</t>
  </si>
  <si>
    <t>Võ Gia Linh</t>
  </si>
  <si>
    <t>Nguyễn Văn Tiến + Nhung</t>
  </si>
  <si>
    <t>Trịnh Đức</t>
  </si>
  <si>
    <t>Trần Văn Út Một</t>
  </si>
  <si>
    <t>46+47</t>
  </si>
  <si>
    <t>106.2+104.8</t>
  </si>
  <si>
    <t>XM Vị trí</t>
  </si>
  <si>
    <t>Nguyễn Văn Bé năm</t>
  </si>
  <si>
    <t>Cao Văn Thọ</t>
  </si>
  <si>
    <t>Nguyễn Minh Tiến</t>
  </si>
  <si>
    <t>Phạm Thị Kim Ba</t>
  </si>
  <si>
    <t>Trang Thị Lắm</t>
  </si>
  <si>
    <t>62+63+64</t>
  </si>
  <si>
    <t>188+48+17</t>
  </si>
  <si>
    <t>CLN+Ao+ ODT</t>
  </si>
  <si>
    <t>52-1</t>
  </si>
  <si>
    <t>Bình - Duy</t>
  </si>
  <si>
    <t>Huỳnh Cẩm Nga</t>
  </si>
  <si>
    <t>Huy - Bình</t>
  </si>
  <si>
    <t>Tách CN</t>
  </si>
  <si>
    <t>Tách CMĐ</t>
  </si>
  <si>
    <t>Thư</t>
  </si>
  <si>
    <t>Hủy Kết Quả đo nộp lại ngày 03/07/2025</t>
  </si>
  <si>
    <t>30/36/2025</t>
  </si>
  <si>
    <t>Nguyễn Hữu Tân</t>
  </si>
  <si>
    <t>Lê Huỳnh Kim Dung</t>
  </si>
  <si>
    <t>35 (30 củ)</t>
  </si>
  <si>
    <t>173 (191)</t>
  </si>
  <si>
    <t>0909175335</t>
  </si>
  <si>
    <t>0975817819</t>
  </si>
  <si>
    <t>0916404017</t>
  </si>
  <si>
    <t>0779179849</t>
  </si>
  <si>
    <t>0913843488</t>
  </si>
  <si>
    <t>0393051789</t>
  </si>
  <si>
    <t>0936343460</t>
  </si>
  <si>
    <t>0907681209</t>
  </si>
  <si>
    <t>0763891262</t>
  </si>
  <si>
    <t>0338916117</t>
  </si>
  <si>
    <t>0335511072</t>
  </si>
  <si>
    <t>0939500025</t>
  </si>
  <si>
    <t>0774597559</t>
  </si>
  <si>
    <t>0706817401</t>
  </si>
  <si>
    <t>0964141439</t>
  </si>
  <si>
    <t>0902661215</t>
  </si>
  <si>
    <t>0944911919</t>
  </si>
  <si>
    <t>0776587757</t>
  </si>
  <si>
    <t>0913705434</t>
  </si>
  <si>
    <t>0909429093</t>
  </si>
  <si>
    <t>0987516782</t>
  </si>
  <si>
    <t>0372484626</t>
  </si>
  <si>
    <t>03828344928</t>
  </si>
  <si>
    <t>0366477589</t>
  </si>
  <si>
    <t>0916822954</t>
  </si>
  <si>
    <t>0986859712</t>
  </si>
  <si>
    <t>0914790995</t>
  </si>
  <si>
    <t>0339704927</t>
  </si>
  <si>
    <t>Vinh - Bình</t>
  </si>
  <si>
    <t>04/072025</t>
  </si>
  <si>
    <t>Lê Thị Lệ Thủy</t>
  </si>
  <si>
    <t>Cao Thanh Nghị</t>
  </si>
  <si>
    <t>0359870679</t>
  </si>
  <si>
    <t>Đỗ Kim Phụng</t>
  </si>
  <si>
    <t>Vinh - Công</t>
  </si>
  <si>
    <t>Lương Lam Anh</t>
  </si>
  <si>
    <t>0919331488</t>
  </si>
  <si>
    <t>Nguyễn Thị Kim Hương</t>
  </si>
  <si>
    <t>0775825947</t>
  </si>
  <si>
    <t>0388111748</t>
  </si>
  <si>
    <t>Huỳnh Trọng Nghĩa</t>
  </si>
  <si>
    <t>0908317666</t>
  </si>
  <si>
    <t>0919594259</t>
  </si>
  <si>
    <t>Trần Phương Vân</t>
  </si>
  <si>
    <t>Lê Thị Tước</t>
  </si>
  <si>
    <t>0942744226</t>
  </si>
  <si>
    <t>Trả CSD, 05/07/2025</t>
  </si>
  <si>
    <t>Phạm Văn Hoàng</t>
  </si>
  <si>
    <t>102+104+106</t>
  </si>
  <si>
    <t>2070.9+891.3+961.6</t>
  </si>
  <si>
    <t>0782279149</t>
  </si>
  <si>
    <t>XMM(2M)</t>
  </si>
  <si>
    <t>Tạ Thị Mỹ</t>
  </si>
  <si>
    <t>0939091913</t>
  </si>
  <si>
    <t>Huy -Hà</t>
  </si>
  <si>
    <t>150+798</t>
  </si>
  <si>
    <t>Hồ sơ gốc giao a Trí</t>
  </si>
  <si>
    <t>Nguyễn Thị Phương Dung</t>
  </si>
  <si>
    <t>0933983609</t>
  </si>
  <si>
    <t>Nguyễn Thị Thạnh</t>
  </si>
  <si>
    <t>0919088797</t>
  </si>
  <si>
    <t>Lê Văn Sáu + Lê Thị Tám</t>
  </si>
  <si>
    <t>0946464489</t>
  </si>
  <si>
    <t>Nguyễn Thị Huỳnh Mai</t>
  </si>
  <si>
    <t>0907730859</t>
  </si>
  <si>
    <t>Lê Thị Lệ Nguyên</t>
  </si>
  <si>
    <t>0387703313</t>
  </si>
  <si>
    <t>Huỳnh Hữu Nghĩa</t>
  </si>
  <si>
    <t>0328844359</t>
  </si>
  <si>
    <t>0799528453</t>
  </si>
  <si>
    <t>Nguyễn Hoàng Phương</t>
  </si>
  <si>
    <t>Nguyễn Hoàng Hùng</t>
  </si>
  <si>
    <t>Nguyễn Ngọc</t>
  </si>
  <si>
    <t>0919281818</t>
  </si>
  <si>
    <t>Lâm Tuấn Kiệt</t>
  </si>
  <si>
    <t>0909515867</t>
  </si>
  <si>
    <t>Nguyễn Thị Bé Sáu</t>
  </si>
  <si>
    <t>0362646625</t>
  </si>
  <si>
    <t>Nguyễn Văn Biển</t>
  </si>
  <si>
    <t>Diệp Văn Minh</t>
  </si>
  <si>
    <t>0948287819</t>
  </si>
  <si>
    <t>Mai Thúy Oanh</t>
  </si>
  <si>
    <t>0377772109</t>
  </si>
  <si>
    <t>0706990920</t>
  </si>
  <si>
    <t>0918541015</t>
  </si>
  <si>
    <t>Hồ sơ gốc giao Chị Minh</t>
  </si>
  <si>
    <t>Tân Hội</t>
  </si>
  <si>
    <t>Trần Văn Bé Tư</t>
  </si>
  <si>
    <t>Nguyễn Văn Hăng</t>
  </si>
  <si>
    <t>0907415559</t>
  </si>
  <si>
    <t>Thái Thị hường</t>
  </si>
  <si>
    <t>Giao công</t>
  </si>
  <si>
    <t>Bình - Huy</t>
  </si>
  <si>
    <t>Nguyễn Thị Bích Hoa</t>
  </si>
  <si>
    <t>0947816996</t>
  </si>
  <si>
    <t>Vinh -  Bình</t>
  </si>
  <si>
    <t>Lê Thị Thu Ba + Đặng Định Quốc</t>
  </si>
  <si>
    <t>Nguyễn Thị Xuân Hà</t>
  </si>
  <si>
    <t>0829955969</t>
  </si>
  <si>
    <t>XMM</t>
  </si>
  <si>
    <t>Võ Thị Mỹ Loan + Khanh</t>
  </si>
  <si>
    <t>Phan Thị Anh</t>
  </si>
  <si>
    <t>Giao A Bình. 08/07/2025</t>
  </si>
  <si>
    <t>Bình - DUy</t>
  </si>
  <si>
    <t>Dương Văn Mai (TK: Dương Thị Thư</t>
  </si>
  <si>
    <t>NTD</t>
  </si>
  <si>
    <t>Traần Tiến Sỹ &lt;&gt; Hồ Kim Hoàng</t>
  </si>
  <si>
    <t>0989054399</t>
  </si>
  <si>
    <t>THA</t>
  </si>
  <si>
    <t>Nguyễn Thị Hồng Điệp + Lê Thị Kim Loanh</t>
  </si>
  <si>
    <t>Duy - Sơn</t>
  </si>
  <si>
    <t>Nguyễn Hiếu Thảo</t>
  </si>
  <si>
    <t>0767639749</t>
  </si>
  <si>
    <t>Nguyễn Ngọc Thuận</t>
  </si>
  <si>
    <t>0938467860</t>
  </si>
  <si>
    <t>Hồng Thị Thanh Hương</t>
  </si>
  <si>
    <t>0788772278</t>
  </si>
  <si>
    <t>Huỳnh Ngọc Phú</t>
  </si>
  <si>
    <t>Đặng Thị Xuân Tiên + Thuận</t>
  </si>
  <si>
    <t>0815205299</t>
  </si>
  <si>
    <t>Tân Ngãi (THO củ)</t>
  </si>
  <si>
    <t>Phạm Kim Lan (Phạm Văn Răng)</t>
  </si>
  <si>
    <t>Hồ sơ gốc giao Anh Thư</t>
  </si>
  <si>
    <t>Đỗ Kim Hoa</t>
  </si>
  <si>
    <t>0793916667</t>
  </si>
  <si>
    <t>Đinh Nguyễn Hồng Phúc</t>
  </si>
  <si>
    <t>0706400119</t>
  </si>
  <si>
    <t>Traần Thị Thu Thủy</t>
  </si>
  <si>
    <t>0854663435</t>
  </si>
  <si>
    <t>Huỳnh Tuấn Cường</t>
  </si>
  <si>
    <t>Lâm Quốc Việt</t>
  </si>
  <si>
    <t>0793853539</t>
  </si>
  <si>
    <t>1805+1420</t>
  </si>
  <si>
    <t>40.0+49</t>
  </si>
  <si>
    <t>Nguyễn Thành Khá</t>
  </si>
  <si>
    <t>0968311826</t>
  </si>
  <si>
    <t>Nguyễn Lý Minh Trí + Triều</t>
  </si>
  <si>
    <t>Nguyễn Văn Rong</t>
  </si>
  <si>
    <t xml:space="preserve">Tân Ngãi </t>
  </si>
  <si>
    <t>Ngô Nguyễn Phương Anh</t>
  </si>
  <si>
    <t>79-1</t>
  </si>
  <si>
    <t>Ngô Thị Hồng Phượng</t>
  </si>
  <si>
    <t>79-2</t>
  </si>
  <si>
    <t>Giao A Ca. 08/07/2025</t>
  </si>
  <si>
    <t>Giao A Duy. 08/07/2025</t>
  </si>
  <si>
    <t>GIAO DIỄM + CHỊ MINH</t>
  </si>
  <si>
    <t>119(14)</t>
  </si>
  <si>
    <t>0379062186</t>
  </si>
  <si>
    <t>Trần Thị Ngọc Xinh</t>
  </si>
  <si>
    <t>Nguyễn Thị Ánh Tuyết</t>
  </si>
  <si>
    <t>0707859739</t>
  </si>
  <si>
    <t>CSD rút hso. 09/07</t>
  </si>
  <si>
    <t>Phạm Văn Hợp</t>
  </si>
  <si>
    <t>0907682435</t>
  </si>
  <si>
    <t>Nguyễn Thị Hồng Mơ</t>
  </si>
  <si>
    <t>0934714688</t>
  </si>
  <si>
    <t>XMM (4 mốc)</t>
  </si>
  <si>
    <t>Phạm văn Lâm + Phạm Văn Sơn</t>
  </si>
  <si>
    <t>0909171767</t>
  </si>
  <si>
    <t>Trả CSD. 09/07</t>
  </si>
  <si>
    <t>Trịnh Hữu Do</t>
  </si>
  <si>
    <t>Trịnh Thị Tố Nga</t>
  </si>
  <si>
    <t>76 (củ 3)</t>
  </si>
  <si>
    <t>Phạm Văn Xem</t>
  </si>
  <si>
    <t>0386108145</t>
  </si>
  <si>
    <t>Trương Hoàng Nam + Nguyễn Tuyết Đan</t>
  </si>
  <si>
    <t>Đỗ Minh Nhựt</t>
  </si>
  <si>
    <t>0936022548</t>
  </si>
  <si>
    <t>22+64</t>
  </si>
  <si>
    <t>715.3+88.0</t>
  </si>
  <si>
    <t>Tạ Minh Tâm</t>
  </si>
  <si>
    <t>0338720628</t>
  </si>
  <si>
    <t>Võ Thanh Hằng + Hường… (Võ Văn Ngẩu chết)</t>
  </si>
  <si>
    <t>0939859680</t>
  </si>
  <si>
    <t>0396435659</t>
  </si>
  <si>
    <t>Lê Hữu Tính</t>
  </si>
  <si>
    <t>Phạm Như Lâm</t>
  </si>
  <si>
    <t>0936195521</t>
  </si>
  <si>
    <t>Trả Trang, trả CSD, hồ sơ xin ý kiến kg tiếp giáp.</t>
  </si>
  <si>
    <t>giao A Ca, xin ý kiến. Ngày 09/07</t>
  </si>
  <si>
    <t>Nguyễn Minh Trí</t>
  </si>
  <si>
    <t>Phạm Thị Lem</t>
  </si>
  <si>
    <t>Giao Duy. 09/07/2025</t>
  </si>
  <si>
    <t>Nguyễn Thị Xuyến (Nguyễn Thị Liên chết)</t>
  </si>
  <si>
    <t>12 (9)</t>
  </si>
  <si>
    <t>244 (12)</t>
  </si>
  <si>
    <t>hẹn đo tách IG</t>
  </si>
  <si>
    <t>Hẹn lại đo tách thửa IG</t>
  </si>
  <si>
    <t>Trần Minh Trí</t>
  </si>
  <si>
    <t>Huỳnh Hoàng Phước</t>
  </si>
  <si>
    <t>0936264359</t>
  </si>
  <si>
    <t>Hồ Hoàng Khải</t>
  </si>
  <si>
    <t>0387685551</t>
  </si>
  <si>
    <t>0903383348</t>
  </si>
  <si>
    <t>20+21 (60/CP)</t>
  </si>
  <si>
    <t>54+55+56+86+87</t>
  </si>
  <si>
    <t>Huỳnh Văn Hai</t>
  </si>
  <si>
    <t>0939779463</t>
  </si>
  <si>
    <t>Nguyễn Ngọc Ngân</t>
  </si>
  <si>
    <t>0778.138.887</t>
  </si>
  <si>
    <t>Nguyễn Minh Tài</t>
  </si>
  <si>
    <t>Châu THị Hường</t>
  </si>
  <si>
    <t>Nguyễn Kỳ Tánh</t>
  </si>
  <si>
    <t>Lê Trần Ngọc Trầm</t>
  </si>
  <si>
    <t>0899.508.638</t>
  </si>
  <si>
    <t>XMM (7 mốc)</t>
  </si>
  <si>
    <t>Dương Trí Quá</t>
  </si>
  <si>
    <t>0938940151</t>
  </si>
  <si>
    <t>Huỳnh Vũ Linh</t>
  </si>
  <si>
    <t>0984339649</t>
  </si>
  <si>
    <t>1(60/cp)</t>
  </si>
  <si>
    <t>Huỳnh Văn yêm + Bạch Huệ</t>
  </si>
  <si>
    <t>0934682529</t>
  </si>
  <si>
    <t>Nguyễn Thị Thum</t>
  </si>
  <si>
    <t>Phan Thị Ba</t>
  </si>
  <si>
    <t>0983946206</t>
  </si>
  <si>
    <t>1 (60/cp)</t>
  </si>
  <si>
    <t>1199+1200</t>
  </si>
  <si>
    <t>374+6862</t>
  </si>
  <si>
    <t>Huỳnh Thị Phương Chi</t>
  </si>
  <si>
    <t>22 (24)</t>
  </si>
  <si>
    <t>196 (225)</t>
  </si>
  <si>
    <t>Thái Hiếu Nghĩa + Thái Ngọc Trang</t>
  </si>
  <si>
    <t>0702.4483.100</t>
  </si>
  <si>
    <t>Nguyễn Cao Bảo Nguyên</t>
  </si>
  <si>
    <t>0908.484.038</t>
  </si>
  <si>
    <t>XMM (2 mốc)</t>
  </si>
  <si>
    <t>Trần Việt Vũ</t>
  </si>
  <si>
    <t>0906.411.514</t>
  </si>
  <si>
    <t>0907.210.899</t>
  </si>
  <si>
    <t>2108+2301</t>
  </si>
  <si>
    <t>Trả HS CSD. 11/07/2025</t>
  </si>
  <si>
    <t>Trần Tấn Đạt</t>
  </si>
  <si>
    <t>Hồ sơ gốc giao A Ca. xin ý kiến Ủy Ban.</t>
  </si>
  <si>
    <t>Hồ sơ gốc giao chi minh</t>
  </si>
  <si>
    <t>Nguyễn Nhật Minh</t>
  </si>
  <si>
    <t>0702.566.363</t>
  </si>
  <si>
    <t>Nguyễn Thành Đỉnh</t>
  </si>
  <si>
    <t>0862.785.654</t>
  </si>
  <si>
    <t>Nguyễn Văn Sáu</t>
  </si>
  <si>
    <t>0764.465.990</t>
  </si>
  <si>
    <t>Trả CSD,  nhận lại 11/07/2025 (XMM)</t>
  </si>
  <si>
    <t>XMM (5 mốc)</t>
  </si>
  <si>
    <t>Phạm Thị Cẩm Hằng</t>
  </si>
  <si>
    <t>0768.426.668</t>
  </si>
  <si>
    <t>Lê Thị Kim Hoàng</t>
  </si>
  <si>
    <t>0907.621.129</t>
  </si>
  <si>
    <t>Đặng Hoàng Duy</t>
  </si>
  <si>
    <t>0909.278.770</t>
  </si>
  <si>
    <t>Đỗ Thị Ba</t>
  </si>
  <si>
    <t>0942.704.263</t>
  </si>
  <si>
    <t>Trương Hữu Tâm</t>
  </si>
  <si>
    <t>49+56</t>
  </si>
  <si>
    <t>199+3886</t>
  </si>
  <si>
    <t>Đặng Thị Thủy</t>
  </si>
  <si>
    <t>Trần Thiị Trang</t>
  </si>
  <si>
    <t>Lê Thị Phượng</t>
  </si>
  <si>
    <t>Tách 80</t>
  </si>
  <si>
    <t xml:space="preserve">Hồ sơ gốc giao Công. </t>
  </si>
  <si>
    <t>0939.296.962</t>
  </si>
  <si>
    <t>Duy -  Bình</t>
  </si>
  <si>
    <t>077.813.7840</t>
  </si>
  <si>
    <t>Đặng Ngọc Đạt</t>
  </si>
  <si>
    <t>Đặng Thị Tuyết Nhi</t>
  </si>
  <si>
    <t>73-1</t>
  </si>
  <si>
    <t>Giao A Ca. 14/07/2025</t>
  </si>
  <si>
    <t>Đặng Thị Kiều Trinh + Trâm + Nhi</t>
  </si>
  <si>
    <t>73-2</t>
  </si>
  <si>
    <t>Đặng Thị Bích Trâm</t>
  </si>
  <si>
    <t>73-3</t>
  </si>
  <si>
    <t>Nguyễn Khắc Điền</t>
  </si>
  <si>
    <t>0394.240.984</t>
  </si>
  <si>
    <t>Phan Văn Vinh</t>
  </si>
  <si>
    <t>0918.332.988</t>
  </si>
  <si>
    <t>Huỳnh Thị Xem</t>
  </si>
  <si>
    <t>0939.779.463</t>
  </si>
  <si>
    <t>Đinh Văn Vĩnh</t>
  </si>
  <si>
    <t>0365.294.504</t>
  </si>
  <si>
    <t>Ngô Thị Bốn + Phấn</t>
  </si>
  <si>
    <t>0939.774.589</t>
  </si>
  <si>
    <t>27+22 (60/cp)</t>
  </si>
  <si>
    <t>271+593</t>
  </si>
  <si>
    <t>Nguyễn Thanh Tân</t>
  </si>
  <si>
    <t>A Mỹ</t>
  </si>
  <si>
    <t>Hồ Thanh Diệp</t>
  </si>
  <si>
    <t>0978.219.964</t>
  </si>
  <si>
    <t>Nguyễn Ngọc Thúy</t>
  </si>
  <si>
    <t>0399.079.036</t>
  </si>
  <si>
    <t>Nguyễn Thị Trương</t>
  </si>
  <si>
    <t>0779.822.845</t>
  </si>
  <si>
    <t>Lý Kim Dung</t>
  </si>
  <si>
    <t>0948.306.762</t>
  </si>
  <si>
    <t>Trần Văn Hoành</t>
  </si>
  <si>
    <t>0904.310.839</t>
  </si>
  <si>
    <t>Hồ Thị Anh</t>
  </si>
  <si>
    <t>0908.656.192</t>
  </si>
  <si>
    <t>Lê Thành Lâm</t>
  </si>
  <si>
    <t>0969.838.510</t>
  </si>
  <si>
    <t>Nguyễn Hữu Tâm</t>
  </si>
  <si>
    <t>0946.666.665</t>
  </si>
  <si>
    <t>0933.108.320</t>
  </si>
  <si>
    <t>Tân hạnh</t>
  </si>
  <si>
    <t>Phan Thị Ngọc Duyên</t>
  </si>
  <si>
    <t>0932.926.288</t>
  </si>
  <si>
    <t>Nguyễn Duy Phong</t>
  </si>
  <si>
    <t>0939.708.999</t>
  </si>
  <si>
    <t>Nguyễn Thị Hai (chết) Nguyễn Thị Kiều Nga</t>
  </si>
  <si>
    <t>0774.028.999</t>
  </si>
  <si>
    <t>795+796+797</t>
  </si>
  <si>
    <t>Nguyễn Việt Băng Châu</t>
  </si>
  <si>
    <t>077.469.5561</t>
  </si>
  <si>
    <t>Trần Minh Thông</t>
  </si>
  <si>
    <t>0975.184.835</t>
  </si>
  <si>
    <t xml:space="preserve">      </t>
  </si>
  <si>
    <t>Lê Thành Long</t>
  </si>
  <si>
    <t>Giao A Sơn. 16/07/2025</t>
  </si>
  <si>
    <t>Hà Trọng Nghĩa + Hà</t>
  </si>
  <si>
    <t>827-1+827-2</t>
  </si>
  <si>
    <t>Hồ sơ gốc giao Công. 16/07</t>
  </si>
  <si>
    <t>Hà Thị Ngọc Hà</t>
  </si>
  <si>
    <t>Trần Trí Thái</t>
  </si>
  <si>
    <t>451-1+451-2</t>
  </si>
  <si>
    <t>Hồ sơ gốc giao Huy. 16/07</t>
  </si>
  <si>
    <t>Trần Văn Tuấn</t>
  </si>
  <si>
    <t>457-3</t>
  </si>
  <si>
    <t>Giao A Ca. 16/07/2025</t>
  </si>
  <si>
    <t>Trần Thị Nhung</t>
  </si>
  <si>
    <t>457-2</t>
  </si>
  <si>
    <t>Trần Văn Tới</t>
  </si>
  <si>
    <t>457-1</t>
  </si>
  <si>
    <t>Nguyễn Thị Thảo</t>
  </si>
  <si>
    <t>5-1</t>
  </si>
  <si>
    <t>5-2</t>
  </si>
  <si>
    <t>Nguyễn Thị Thanh</t>
  </si>
  <si>
    <t>Nguyễn Kim Ngọc</t>
  </si>
  <si>
    <t>5-3</t>
  </si>
  <si>
    <t>Nguyễn Văn Thuận</t>
  </si>
  <si>
    <t>5-4</t>
  </si>
  <si>
    <t>Nguyễn Minh Sang</t>
  </si>
  <si>
    <t>5-5</t>
  </si>
  <si>
    <t>Lê Thị Thua Ba</t>
  </si>
  <si>
    <t>54 (4)</t>
  </si>
  <si>
    <t>40</t>
  </si>
  <si>
    <t>Nguyễn Thị Bảy</t>
  </si>
  <si>
    <t>1209</t>
  </si>
  <si>
    <t>Kiểm Tra Nhà</t>
  </si>
  <si>
    <t>0903.785.364</t>
  </si>
  <si>
    <t>0355.331.245</t>
  </si>
  <si>
    <t>133+143</t>
  </si>
  <si>
    <t>1011+913</t>
  </si>
  <si>
    <t>Đỗ Thị Hương Lan</t>
  </si>
  <si>
    <t>Bùi Văn Bảy</t>
  </si>
  <si>
    <t>0387.675.422</t>
  </si>
  <si>
    <t>9 (82)</t>
  </si>
  <si>
    <t>Đỗ Thành Lập</t>
  </si>
  <si>
    <t>0354.391.123</t>
  </si>
  <si>
    <t>0327.949.138</t>
  </si>
  <si>
    <t>Nguyễn Ngọc Quang</t>
  </si>
  <si>
    <t>0888.063.558</t>
  </si>
  <si>
    <t>Lê Thành Tam</t>
  </si>
  <si>
    <t>0976.526.619</t>
  </si>
  <si>
    <t>0939.412.949</t>
  </si>
  <si>
    <t>25(116)</t>
  </si>
  <si>
    <t>Nguyễn Hữu Cường</t>
  </si>
  <si>
    <t>0783.257.137</t>
  </si>
  <si>
    <t>Dương ngọc Phòng</t>
  </si>
  <si>
    <t>0903.033.064</t>
  </si>
  <si>
    <t>0706.400.119</t>
  </si>
  <si>
    <t>Trả hồ sơ CSD. Kg làm dc</t>
  </si>
  <si>
    <t>Mai Thanh Tùng</t>
  </si>
  <si>
    <t>0334.166.377</t>
  </si>
  <si>
    <t>743+742+741</t>
  </si>
  <si>
    <t>1150+85+64</t>
  </si>
  <si>
    <t>Nguyễn Thị Bạch Huệ</t>
  </si>
  <si>
    <t>0939.289.864</t>
  </si>
  <si>
    <t>255+256</t>
  </si>
  <si>
    <t>Lê Thị Thu</t>
  </si>
  <si>
    <t>0388.566.221</t>
  </si>
  <si>
    <t>0795.980.254</t>
  </si>
  <si>
    <t>Nguyễn Hữu Danh</t>
  </si>
  <si>
    <t>0979.126.766</t>
  </si>
  <si>
    <t>Nguyễn Hoàng Hải</t>
  </si>
  <si>
    <t>A Ca</t>
  </si>
  <si>
    <t>Huỳnh Vũ Hiền</t>
  </si>
  <si>
    <t>0382.886.633</t>
  </si>
  <si>
    <t>Nguyễn Ngọc Hưởng</t>
  </si>
  <si>
    <t>0367.307.067</t>
  </si>
  <si>
    <t>Trần Thanh Lạt</t>
  </si>
  <si>
    <t>0398.283.396</t>
  </si>
  <si>
    <t>246+247+248</t>
  </si>
  <si>
    <t>Hồ Thị Đậm</t>
  </si>
  <si>
    <t>0345.281.180</t>
  </si>
  <si>
    <t>Trần Văn Mười Một</t>
  </si>
  <si>
    <t>0906.420.175</t>
  </si>
  <si>
    <t>Nguyễn Thị Ngọc Gấm</t>
  </si>
  <si>
    <t>0827.136.519</t>
  </si>
  <si>
    <t>Lê Văn Được</t>
  </si>
  <si>
    <t>0706.765.070</t>
  </si>
  <si>
    <t>Tặng Văn Khánh</t>
  </si>
  <si>
    <t>0767.885.616</t>
  </si>
  <si>
    <t>Nguyễn Bá Thiện</t>
  </si>
  <si>
    <t>0915.577.459</t>
  </si>
  <si>
    <t>Lê Thị Tuyết Liễu</t>
  </si>
  <si>
    <t>0977.137.690</t>
  </si>
  <si>
    <t>Nhận lại 16/07/2025</t>
  </si>
  <si>
    <t>0385.153.324</t>
  </si>
  <si>
    <t>Đặng Hồng Triệu</t>
  </si>
  <si>
    <t>Tạ Thị Cúc Hương</t>
  </si>
  <si>
    <t>0949.565.189</t>
  </si>
  <si>
    <t>Phùng Ngọc Toàn</t>
  </si>
  <si>
    <t>0939.492.272</t>
  </si>
  <si>
    <t>Phan Phước Lợi</t>
  </si>
  <si>
    <t>0939.095.310</t>
  </si>
  <si>
    <t>Mai Văn Long</t>
  </si>
  <si>
    <t>0919.281.828</t>
  </si>
  <si>
    <t>Cao Văn Bảnh</t>
  </si>
  <si>
    <t>0896.714.451</t>
  </si>
  <si>
    <t>Tách 34</t>
  </si>
  <si>
    <t>Dương Thị Thanh Hương</t>
  </si>
  <si>
    <t>0909.054.466</t>
  </si>
  <si>
    <t>559+560+171+172+558</t>
  </si>
  <si>
    <t>Lê Thị Trúc Uyên</t>
  </si>
  <si>
    <t>0906.262.085</t>
  </si>
  <si>
    <t>Giao Diềm. 16/07</t>
  </si>
  <si>
    <t>Giao Minh. 16/07</t>
  </si>
  <si>
    <t>Mai Quan Mỹ</t>
  </si>
  <si>
    <t>1432</t>
  </si>
  <si>
    <t>Trang Ngọc Thiên An</t>
  </si>
  <si>
    <t>702</t>
  </si>
  <si>
    <t>Không thành, trả HS</t>
  </si>
  <si>
    <t>Lê Thị Hồng Giảng</t>
  </si>
  <si>
    <t>0965.054.089</t>
  </si>
  <si>
    <t>Lê Ngọc Vinh</t>
  </si>
  <si>
    <t>0979.346.328</t>
  </si>
  <si>
    <t>Võ Văn Chồng</t>
  </si>
  <si>
    <t>0972.895.466</t>
  </si>
  <si>
    <t>1109+1113+1116+1109+1111+1112+1114+1116</t>
  </si>
  <si>
    <t>Quan Hữu Thọ</t>
  </si>
  <si>
    <t>0837.272.316</t>
  </si>
  <si>
    <t>0937.953.959</t>
  </si>
  <si>
    <t>0943.331.116</t>
  </si>
  <si>
    <t>Đặng Văn Bé Ba</t>
  </si>
  <si>
    <t>0388.515.656</t>
  </si>
  <si>
    <t>Đinh Thị Huệ + Hồ Kim Thương</t>
  </si>
  <si>
    <t>0907.172.091</t>
  </si>
  <si>
    <t>Nguyễn Văn Rọt</t>
  </si>
  <si>
    <t>0902.811.589</t>
  </si>
  <si>
    <t>Nguyễn Thu Hài + Trần Vũ Thiện</t>
  </si>
  <si>
    <t>0939.609.145</t>
  </si>
  <si>
    <t>Lê Anh Tuyền</t>
  </si>
  <si>
    <t>113</t>
  </si>
  <si>
    <t>Giao Chị Tâm gốc. 17/07/2025</t>
  </si>
  <si>
    <t>Hồ sơ gốc giao Lan. 17/07</t>
  </si>
  <si>
    <t>Hồ sơ gốc giao Diễm. 17/07</t>
  </si>
  <si>
    <t>Giao Diễm. 17/7</t>
  </si>
  <si>
    <t>GIAO Tổ IN</t>
  </si>
  <si>
    <t>Kg biên nhận</t>
  </si>
  <si>
    <t>Công</t>
  </si>
  <si>
    <t>Trần Trung Thắng</t>
  </si>
  <si>
    <t>Hồ Văn Mén</t>
  </si>
  <si>
    <t>0939.117.166</t>
  </si>
  <si>
    <t>Võ Thanh Trúc</t>
  </si>
  <si>
    <t>0939.266.869</t>
  </si>
  <si>
    <t>Lê Thị Thanh Thúy</t>
  </si>
  <si>
    <t>Chị Minh. 17/07</t>
  </si>
  <si>
    <t>0377.365.366</t>
  </si>
  <si>
    <t>Nguyễn Thị Huệ</t>
  </si>
  <si>
    <t>0932.824.887</t>
  </si>
  <si>
    <t>319</t>
  </si>
  <si>
    <t>Giao Diễm HS gốc đo xác minh. 17/7</t>
  </si>
  <si>
    <t>Lê Mỹ Linh</t>
  </si>
  <si>
    <t>390</t>
  </si>
  <si>
    <t>Giao cho số thửa. Huy. 17/7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</si>
</sst>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  <font>
      <sz val="12"/>
      <name val="Calibri"/>
      <family val="2"/>
      <scheme val="minor"/>
    </font>
    <font>
      <b/>
      <sz val="14"/>
      <color rgb="FFFF0000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7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0" xfId="0" applyFont="1"/>
    <xf numFmtId="0" fontId="8" fillId="0" borderId="0" xfId="0" applyFont="1"/>
    <xf numFmtId="164" fontId="5" fillId="0" borderId="1" xfId="1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3" fillId="2" borderId="1" xfId="0" applyFont="1" applyFill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5" fillId="0" borderId="1" xfId="0" quotePrefix="1" applyFont="1" applyBorder="1" applyAlignment="1">
      <alignment horizontal="center" wrapText="1"/>
    </xf>
    <xf numFmtId="0" fontId="14" fillId="0" borderId="1" xfId="0" applyFont="1" applyBorder="1" applyAlignment="1">
      <alignment horizontal="left" wrapText="1"/>
    </xf>
    <xf numFmtId="49" fontId="5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wrapText="1"/>
    </xf>
    <xf numFmtId="14" fontId="6" fillId="2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wrapText="1"/>
    </xf>
    <xf numFmtId="49" fontId="14" fillId="3" borderId="1" xfId="0" applyNumberFormat="1" applyFont="1" applyFill="1" applyBorder="1" applyAlignment="1">
      <alignment horizontal="left"/>
    </xf>
    <xf numFmtId="0" fontId="14" fillId="3" borderId="1" xfId="0" applyFont="1" applyFill="1" applyBorder="1" applyAlignment="1">
      <alignment horizontal="center" wrapText="1"/>
    </xf>
    <xf numFmtId="14" fontId="14" fillId="3" borderId="1" xfId="0" applyNumberFormat="1" applyFont="1" applyFill="1" applyBorder="1" applyAlignment="1">
      <alignment horizontal="center" wrapText="1"/>
    </xf>
    <xf numFmtId="164" fontId="14" fillId="3" borderId="1" xfId="1" applyNumberFormat="1" applyFont="1" applyFill="1" applyBorder="1" applyAlignment="1">
      <alignment horizontal="center" wrapText="1"/>
    </xf>
    <xf numFmtId="0" fontId="15" fillId="3" borderId="0" xfId="0" applyFont="1" applyFill="1"/>
    <xf numFmtId="0" fontId="5" fillId="0" borderId="1" xfId="0" applyFont="1" applyBorder="1"/>
    <xf numFmtId="0" fontId="0" fillId="0" borderId="1" xfId="0" applyBorder="1"/>
    <xf numFmtId="14" fontId="0" fillId="0" borderId="1" xfId="0" applyNumberFormat="1" applyBorder="1"/>
    <xf numFmtId="16" fontId="0" fillId="0" borderId="1" xfId="0" applyNumberFormat="1" applyBorder="1"/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0" fillId="0" borderId="7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9" fontId="16" fillId="2" borderId="8" xfId="0" applyNumberFormat="1" applyFont="1" applyFill="1" applyBorder="1" applyAlignment="1">
      <alignment horizontal="center" vertical="center" wrapText="1"/>
    </xf>
    <xf numFmtId="49" fontId="17" fillId="0" borderId="0" xfId="0" applyNumberFormat="1" applyFont="1"/>
    <xf numFmtId="0" fontId="8" fillId="0" borderId="1" xfId="0" applyFont="1" applyBorder="1"/>
    <xf numFmtId="49" fontId="8" fillId="0" borderId="1" xfId="0" applyNumberFormat="1" applyFont="1" applyBorder="1"/>
    <xf numFmtId="14" fontId="8" fillId="0" borderId="1" xfId="0" applyNumberFormat="1" applyFont="1" applyBorder="1"/>
    <xf numFmtId="16" fontId="8" fillId="0" borderId="1" xfId="0" applyNumberFormat="1" applyFont="1" applyBorder="1"/>
    <xf numFmtId="0" fontId="7" fillId="0" borderId="1" xfId="0" applyFont="1" applyBorder="1"/>
    <xf numFmtId="0" fontId="8" fillId="0" borderId="1" xfId="0" applyFont="1" applyFill="1" applyBorder="1"/>
    <xf numFmtId="49" fontId="8" fillId="0" borderId="1" xfId="0" applyNumberFormat="1" applyFont="1" applyFill="1" applyBorder="1"/>
    <xf numFmtId="0" fontId="8" fillId="0" borderId="7" xfId="0" applyFont="1" applyFill="1" applyBorder="1"/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5" fillId="0" borderId="7" xfId="0" applyFont="1" applyFill="1" applyBorder="1" applyAlignment="1">
      <alignment horizontal="left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5" fillId="2" borderId="1" xfId="0" applyFont="1" applyFill="1" applyBorder="1" applyAlignment="1">
      <alignment horizontal="left" wrapText="1"/>
    </xf>
    <xf numFmtId="49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wrapText="1"/>
    </xf>
    <xf numFmtId="14" fontId="8" fillId="2" borderId="1" xfId="0" applyNumberFormat="1" applyFont="1" applyFill="1" applyBorder="1"/>
    <xf numFmtId="0" fontId="7" fillId="2" borderId="1" xfId="0" applyFont="1" applyFill="1" applyBorder="1"/>
    <xf numFmtId="0" fontId="0" fillId="2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wrapText="1"/>
    </xf>
    <xf numFmtId="49" fontId="0" fillId="0" borderId="1" xfId="0" applyNumberFormat="1" applyBorder="1"/>
    <xf numFmtId="49" fontId="5" fillId="0" borderId="1" xfId="0" applyNumberFormat="1" applyFont="1" applyFill="1" applyBorder="1" applyAlignment="1">
      <alignment horizontal="center" wrapText="1"/>
    </xf>
    <xf numFmtId="49" fontId="0" fillId="0" borderId="0" xfId="0" applyNumberFormat="1"/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31"/>
  <sheetViews>
    <sheetView zoomScale="80" zoomScaleNormal="80" workbookViewId="0">
      <pane ySplit="2" topLeftCell="A98" activePane="bottomLeft" state="frozen"/>
      <selection pane="bottomLeft" activeCell="C110" sqref="C110:G110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9" width="12" customWidth="1"/>
    <col min="10" max="10" width="8.42578125" customWidth="1"/>
    <col min="11" max="11" width="7.28515625" customWidth="1"/>
    <col min="12" max="12" width="8.28515625" customWidth="1"/>
    <col min="13" max="13" width="7.5703125" customWidth="1"/>
    <col min="14" max="14" width="5.5703125" customWidth="1"/>
    <col min="15" max="16" width="9.42578125" customWidth="1"/>
    <col min="17" max="17" width="14.5703125" customWidth="1"/>
    <col min="18" max="20" width="12.140625" customWidth="1"/>
    <col min="21" max="21" width="10.7109375" customWidth="1"/>
    <col min="22" max="22" width="13.28515625" customWidth="1"/>
    <col min="23" max="24" width="9" customWidth="1"/>
    <col min="25" max="25" width="10.28515625" customWidth="1"/>
    <col min="26" max="26" width="15.140625" customWidth="1"/>
    <col min="27" max="27" width="16.85546875" customWidth="1"/>
    <col min="28" max="28" width="20.7109375" customWidth="1"/>
    <col min="29" max="30" width="18.5703125" customWidth="1"/>
    <col min="31" max="31" width="9.140625" style="2"/>
  </cols>
  <sheetData>
    <row r="1" spans="1:31" ht="25.5" customHeight="1" x14ac:dyDescent="0.35">
      <c r="A1" s="76" t="s">
        <v>39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2"/>
    </row>
    <row r="2" spans="1:31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4</v>
      </c>
      <c r="K2" s="1" t="s">
        <v>3</v>
      </c>
      <c r="L2" s="1" t="s">
        <v>1</v>
      </c>
      <c r="M2" s="1" t="s">
        <v>19</v>
      </c>
      <c r="N2" s="1" t="s">
        <v>11</v>
      </c>
      <c r="O2" s="1" t="s">
        <v>12</v>
      </c>
      <c r="P2" s="1" t="s">
        <v>52</v>
      </c>
      <c r="Q2" s="1" t="s">
        <v>2</v>
      </c>
      <c r="R2" s="1" t="s">
        <v>20</v>
      </c>
      <c r="S2" s="1" t="s">
        <v>29</v>
      </c>
      <c r="T2" s="1" t="s">
        <v>30</v>
      </c>
      <c r="U2" s="1" t="s">
        <v>31</v>
      </c>
      <c r="V2" s="1" t="s">
        <v>22</v>
      </c>
      <c r="W2" s="1" t="s">
        <v>21</v>
      </c>
      <c r="X2" s="1" t="s">
        <v>23</v>
      </c>
      <c r="Y2" s="1" t="s">
        <v>24</v>
      </c>
      <c r="Z2" s="1" t="s">
        <v>14</v>
      </c>
      <c r="AA2" s="1" t="s">
        <v>13</v>
      </c>
      <c r="AB2" s="1" t="s">
        <v>18</v>
      </c>
      <c r="AC2" s="1" t="s">
        <v>8</v>
      </c>
      <c r="AD2" s="1" t="s">
        <v>35</v>
      </c>
    </row>
    <row r="3" spans="1:31" s="10" customFormat="1" ht="94.5" x14ac:dyDescent="0.25">
      <c r="A3" s="3">
        <v>1</v>
      </c>
      <c r="B3" s="3" t="s">
        <v>34</v>
      </c>
      <c r="C3" s="5" t="s">
        <v>53</v>
      </c>
      <c r="D3" s="4" t="s">
        <v>54</v>
      </c>
      <c r="E3" s="6">
        <v>18</v>
      </c>
      <c r="F3" s="6">
        <v>164</v>
      </c>
      <c r="G3" s="3">
        <v>168.4</v>
      </c>
      <c r="H3" s="3" t="s">
        <v>55</v>
      </c>
      <c r="I3" s="7">
        <v>45659</v>
      </c>
      <c r="J3" s="3"/>
      <c r="K3" s="3"/>
      <c r="L3" s="3"/>
      <c r="M3" s="3"/>
      <c r="N3" s="3" t="s">
        <v>56</v>
      </c>
      <c r="O3" s="3"/>
      <c r="P3" s="3"/>
      <c r="Q3" s="6" t="s">
        <v>82</v>
      </c>
      <c r="R3" s="7">
        <v>45771</v>
      </c>
      <c r="S3" s="7">
        <v>45810</v>
      </c>
      <c r="T3" s="7">
        <v>45810</v>
      </c>
      <c r="U3" s="6" t="s">
        <v>2556</v>
      </c>
      <c r="V3" s="11">
        <v>12297726</v>
      </c>
      <c r="W3" s="6"/>
      <c r="X3" s="6"/>
      <c r="Y3" s="8"/>
      <c r="Z3" s="8"/>
      <c r="AA3" s="8"/>
      <c r="AB3" s="6"/>
      <c r="AC3" s="8" t="s">
        <v>57</v>
      </c>
      <c r="AD3" s="6"/>
      <c r="AE3" s="9"/>
    </row>
    <row r="4" spans="1:31" s="10" customFormat="1" ht="31.5" x14ac:dyDescent="0.25">
      <c r="A4" s="3">
        <v>2</v>
      </c>
      <c r="B4" s="3" t="s">
        <v>34</v>
      </c>
      <c r="C4" s="5" t="s">
        <v>83</v>
      </c>
      <c r="D4" s="4" t="s">
        <v>84</v>
      </c>
      <c r="E4" s="6" t="s">
        <v>85</v>
      </c>
      <c r="F4" s="6">
        <v>267</v>
      </c>
      <c r="G4" s="3">
        <v>29.3</v>
      </c>
      <c r="H4" s="3" t="s">
        <v>55</v>
      </c>
      <c r="I4" s="7">
        <v>45663</v>
      </c>
      <c r="J4" s="3"/>
      <c r="K4" s="3"/>
      <c r="L4" s="3"/>
      <c r="M4" s="3"/>
      <c r="N4" s="3"/>
      <c r="O4" s="3"/>
      <c r="P4" s="3" t="s">
        <v>52</v>
      </c>
      <c r="Q4" s="6" t="s">
        <v>82</v>
      </c>
      <c r="R4" s="7">
        <v>45677</v>
      </c>
      <c r="S4" s="7">
        <v>45677</v>
      </c>
      <c r="T4" s="7">
        <v>45677</v>
      </c>
      <c r="U4" s="6">
        <v>402</v>
      </c>
      <c r="V4" s="11">
        <v>2833958</v>
      </c>
      <c r="W4" s="6"/>
      <c r="X4" s="6"/>
      <c r="Y4" s="6"/>
      <c r="Z4" s="6"/>
      <c r="AA4" s="8"/>
      <c r="AB4" s="8"/>
      <c r="AC4" s="6" t="s">
        <v>334</v>
      </c>
      <c r="AD4" s="6"/>
      <c r="AE4" s="9"/>
    </row>
    <row r="5" spans="1:31" s="10" customFormat="1" ht="63" x14ac:dyDescent="0.25">
      <c r="A5" s="3">
        <v>3</v>
      </c>
      <c r="B5" s="3" t="s">
        <v>34</v>
      </c>
      <c r="C5" s="5" t="s">
        <v>86</v>
      </c>
      <c r="D5" s="4" t="s">
        <v>87</v>
      </c>
      <c r="E5" s="6">
        <v>16</v>
      </c>
      <c r="F5" s="6">
        <v>158</v>
      </c>
      <c r="G5" s="3">
        <v>57.2</v>
      </c>
      <c r="H5" s="3" t="s">
        <v>55</v>
      </c>
      <c r="I5" s="7" t="s">
        <v>88</v>
      </c>
      <c r="J5" s="7"/>
      <c r="K5" s="7"/>
      <c r="L5" s="3"/>
      <c r="M5" s="3"/>
      <c r="N5" s="3"/>
      <c r="O5" s="3"/>
      <c r="P5" s="3"/>
      <c r="Q5" s="6" t="s">
        <v>82</v>
      </c>
      <c r="R5" s="7">
        <v>45758</v>
      </c>
      <c r="S5" s="7">
        <v>45761</v>
      </c>
      <c r="T5" s="7">
        <v>45761</v>
      </c>
      <c r="U5" s="6">
        <v>2243</v>
      </c>
      <c r="V5" s="11">
        <v>2125468</v>
      </c>
      <c r="W5" s="6"/>
      <c r="X5" s="6"/>
      <c r="Y5" s="6"/>
      <c r="Z5" s="6"/>
      <c r="AA5" s="8"/>
      <c r="AB5" s="6" t="s">
        <v>2724</v>
      </c>
      <c r="AC5" s="6" t="s">
        <v>302</v>
      </c>
      <c r="AD5" s="6"/>
      <c r="AE5" s="9"/>
    </row>
    <row r="6" spans="1:31" s="10" customFormat="1" ht="31.5" x14ac:dyDescent="0.25">
      <c r="A6" s="3">
        <v>4</v>
      </c>
      <c r="B6" s="3" t="s">
        <v>34</v>
      </c>
      <c r="C6" s="5" t="s">
        <v>89</v>
      </c>
      <c r="D6" s="4" t="s">
        <v>90</v>
      </c>
      <c r="E6" s="6">
        <v>48</v>
      </c>
      <c r="F6" s="6">
        <v>310</v>
      </c>
      <c r="G6" s="3">
        <v>39.5</v>
      </c>
      <c r="H6" s="3" t="s">
        <v>55</v>
      </c>
      <c r="I6" s="7" t="s">
        <v>91</v>
      </c>
      <c r="J6" s="3"/>
      <c r="K6" s="3"/>
      <c r="L6" s="3"/>
      <c r="M6" s="3"/>
      <c r="N6" s="3"/>
      <c r="O6" s="3" t="s">
        <v>81</v>
      </c>
      <c r="P6" s="3"/>
      <c r="Q6" s="6" t="s">
        <v>82</v>
      </c>
      <c r="R6" s="7">
        <v>45728</v>
      </c>
      <c r="S6" s="7">
        <v>45729</v>
      </c>
      <c r="T6" s="7">
        <v>45729</v>
      </c>
      <c r="U6" s="6">
        <v>1435</v>
      </c>
      <c r="V6" s="11">
        <v>809727</v>
      </c>
      <c r="W6" s="6"/>
      <c r="X6" s="6"/>
      <c r="Y6" s="6"/>
      <c r="Z6" s="6"/>
      <c r="AA6" s="8"/>
      <c r="AB6" s="8" t="s">
        <v>2378</v>
      </c>
      <c r="AC6" s="6" t="s">
        <v>1786</v>
      </c>
      <c r="AD6" s="6"/>
      <c r="AE6" s="9"/>
    </row>
    <row r="7" spans="1:31" s="10" customFormat="1" ht="31.5" x14ac:dyDescent="0.25">
      <c r="A7" s="3">
        <v>5</v>
      </c>
      <c r="B7" s="18" t="s">
        <v>93</v>
      </c>
      <c r="C7" s="19" t="s">
        <v>92</v>
      </c>
      <c r="D7" s="5" t="s">
        <v>313</v>
      </c>
      <c r="E7" s="6">
        <v>9</v>
      </c>
      <c r="F7" s="6">
        <v>440</v>
      </c>
      <c r="G7" s="6">
        <v>106.3</v>
      </c>
      <c r="H7" s="3" t="s">
        <v>75</v>
      </c>
      <c r="I7" s="7" t="s">
        <v>94</v>
      </c>
      <c r="J7" s="3"/>
      <c r="K7" s="3"/>
      <c r="L7" s="3"/>
      <c r="M7" s="3"/>
      <c r="N7" s="3"/>
      <c r="O7" s="3"/>
      <c r="P7" s="3" t="s">
        <v>52</v>
      </c>
      <c r="Q7" s="6" t="s">
        <v>82</v>
      </c>
      <c r="R7" s="7">
        <v>45765</v>
      </c>
      <c r="S7" s="7">
        <v>45768</v>
      </c>
      <c r="T7" s="7">
        <v>45768</v>
      </c>
      <c r="U7" s="6">
        <v>19</v>
      </c>
      <c r="V7" s="11">
        <v>2125468</v>
      </c>
      <c r="W7" s="6"/>
      <c r="X7" s="6"/>
      <c r="Y7" s="6"/>
      <c r="Z7" s="6"/>
      <c r="AA7" s="8"/>
      <c r="AB7" s="8"/>
      <c r="AC7" s="6" t="s">
        <v>1973</v>
      </c>
      <c r="AD7" s="6"/>
      <c r="AE7" s="9"/>
    </row>
    <row r="8" spans="1:31" s="10" customFormat="1" ht="31.5" x14ac:dyDescent="0.25">
      <c r="A8" s="3">
        <v>6</v>
      </c>
      <c r="B8" s="18" t="s">
        <v>93</v>
      </c>
      <c r="C8" s="5" t="s">
        <v>95</v>
      </c>
      <c r="D8" s="4" t="s">
        <v>96</v>
      </c>
      <c r="E8" s="6">
        <v>8</v>
      </c>
      <c r="F8" s="6">
        <v>0</v>
      </c>
      <c r="G8" s="6">
        <v>167.6</v>
      </c>
      <c r="H8" s="6" t="s">
        <v>55</v>
      </c>
      <c r="I8" s="7" t="s">
        <v>97</v>
      </c>
      <c r="J8" s="3"/>
      <c r="K8" s="3"/>
      <c r="L8" s="3" t="s">
        <v>98</v>
      </c>
      <c r="M8" s="3"/>
      <c r="N8" s="3"/>
      <c r="O8" s="3"/>
      <c r="P8" s="3"/>
      <c r="Q8" s="6" t="s">
        <v>82</v>
      </c>
      <c r="R8" s="7">
        <v>45670</v>
      </c>
      <c r="S8" s="7">
        <v>45674</v>
      </c>
      <c r="T8" s="7">
        <v>45674</v>
      </c>
      <c r="U8" s="6">
        <v>362</v>
      </c>
      <c r="V8" s="11">
        <v>2235043</v>
      </c>
      <c r="W8" s="6"/>
      <c r="X8" s="6"/>
      <c r="Y8" s="6"/>
      <c r="Z8" s="6"/>
      <c r="AA8" s="8"/>
      <c r="AB8" s="8"/>
      <c r="AC8" s="6"/>
      <c r="AD8" s="6"/>
      <c r="AE8" s="9"/>
    </row>
    <row r="9" spans="1:31" ht="16.5" x14ac:dyDescent="0.25">
      <c r="A9" s="12"/>
      <c r="B9" s="73" t="s">
        <v>37</v>
      </c>
      <c r="C9" s="74"/>
      <c r="D9" s="74"/>
      <c r="E9" s="74"/>
      <c r="F9" s="74"/>
      <c r="G9" s="74"/>
      <c r="H9" s="75"/>
      <c r="I9" s="13"/>
      <c r="J9" s="14">
        <f>COUNTIF(J3:J8,"CQ")+COUNTIF(J8,"CN")+COUNTIF(J8,"TK")</f>
        <v>0</v>
      </c>
      <c r="K9" s="14">
        <f>COUNTIF(K3:K8,"CMĐ")</f>
        <v>0</v>
      </c>
      <c r="L9" s="14">
        <f>COUNTIF(L8,"XMDT")+COUNTIF(L8,"Mốc")</f>
        <v>1</v>
      </c>
      <c r="M9" s="14">
        <f>COUNTIF(M8,"THÁn")</f>
        <v>0</v>
      </c>
      <c r="N9" s="14">
        <f>COUNTIF(N8,"TÒA")</f>
        <v>0</v>
      </c>
      <c r="O9" s="14">
        <f>COUNTIF(O3:O8,"Cấp GCN")</f>
        <v>1</v>
      </c>
      <c r="P9" s="14">
        <f>COUNTIF(P3:P8,"SHN")</f>
        <v>2</v>
      </c>
      <c r="Q9" s="15"/>
      <c r="R9" s="13"/>
      <c r="S9" s="15"/>
      <c r="T9" s="15"/>
      <c r="U9" s="16"/>
      <c r="V9" s="11"/>
      <c r="W9" s="17"/>
      <c r="X9" s="2"/>
      <c r="AD9" s="14">
        <f>COUNTIF(AD8,"kt")</f>
        <v>0</v>
      </c>
    </row>
    <row r="10" spans="1:31" s="10" customFormat="1" ht="31.5" x14ac:dyDescent="0.25">
      <c r="A10" s="3">
        <v>7</v>
      </c>
      <c r="B10" s="18" t="s">
        <v>34</v>
      </c>
      <c r="C10" s="5" t="s">
        <v>200</v>
      </c>
      <c r="D10" s="4" t="s">
        <v>201</v>
      </c>
      <c r="E10" s="6">
        <v>28</v>
      </c>
      <c r="F10" s="6">
        <v>121</v>
      </c>
      <c r="G10" s="6">
        <v>49.3</v>
      </c>
      <c r="H10" s="6" t="s">
        <v>51</v>
      </c>
      <c r="I10" s="7">
        <v>45664</v>
      </c>
      <c r="J10" s="3"/>
      <c r="K10" s="3" t="s">
        <v>62</v>
      </c>
      <c r="L10" s="3"/>
      <c r="M10" s="3"/>
      <c r="N10" s="3"/>
      <c r="O10" s="3"/>
      <c r="P10" s="3"/>
      <c r="Q10" s="15" t="s">
        <v>82</v>
      </c>
      <c r="R10" s="7">
        <v>45743</v>
      </c>
      <c r="S10" s="6"/>
      <c r="T10" s="6"/>
      <c r="U10" s="6"/>
      <c r="V10" s="11"/>
      <c r="W10" s="6"/>
      <c r="X10" s="6"/>
      <c r="Y10" s="6"/>
      <c r="Z10" s="6"/>
      <c r="AA10" s="8"/>
      <c r="AB10" s="8"/>
      <c r="AC10" s="6"/>
      <c r="AD10" s="6"/>
      <c r="AE10" s="9"/>
    </row>
    <row r="11" spans="1:31" s="10" customFormat="1" ht="16.5" x14ac:dyDescent="0.25">
      <c r="A11" s="3">
        <v>8</v>
      </c>
      <c r="B11" s="18" t="s">
        <v>34</v>
      </c>
      <c r="C11" s="5" t="s">
        <v>251</v>
      </c>
      <c r="D11" s="4" t="s">
        <v>252</v>
      </c>
      <c r="E11" s="6">
        <v>26</v>
      </c>
      <c r="F11" s="6">
        <v>327</v>
      </c>
      <c r="G11" s="6">
        <v>160.5</v>
      </c>
      <c r="H11" s="6" t="s">
        <v>75</v>
      </c>
      <c r="I11" s="7">
        <v>45667</v>
      </c>
      <c r="J11" s="3"/>
      <c r="K11" s="3" t="s">
        <v>62</v>
      </c>
      <c r="L11" s="3"/>
      <c r="M11" s="3"/>
      <c r="N11" s="3"/>
      <c r="O11" s="3"/>
      <c r="P11" s="3"/>
      <c r="Q11" s="15" t="s">
        <v>82</v>
      </c>
      <c r="R11" s="7">
        <v>45742</v>
      </c>
      <c r="S11" s="7">
        <v>45742</v>
      </c>
      <c r="T11" s="7">
        <v>45742</v>
      </c>
      <c r="U11" s="6">
        <v>1738</v>
      </c>
      <c r="V11" s="11">
        <v>809727</v>
      </c>
      <c r="W11" s="6"/>
      <c r="X11" s="6"/>
      <c r="Y11" s="6"/>
      <c r="Z11" s="6"/>
      <c r="AA11" s="8"/>
      <c r="AB11" s="8"/>
      <c r="AC11" s="6"/>
      <c r="AD11" s="6"/>
      <c r="AE11" s="9"/>
    </row>
    <row r="12" spans="1:31" s="10" customFormat="1" ht="31.5" x14ac:dyDescent="0.25">
      <c r="A12" s="3">
        <v>9</v>
      </c>
      <c r="B12" s="18" t="s">
        <v>34</v>
      </c>
      <c r="C12" s="5" t="s">
        <v>270</v>
      </c>
      <c r="D12" s="4" t="s">
        <v>271</v>
      </c>
      <c r="E12" s="6">
        <v>17</v>
      </c>
      <c r="F12" s="6">
        <v>147</v>
      </c>
      <c r="G12" s="6">
        <v>44.2</v>
      </c>
      <c r="H12" s="6" t="s">
        <v>55</v>
      </c>
      <c r="I12" s="7">
        <v>45670</v>
      </c>
      <c r="J12" s="3"/>
      <c r="K12" s="3"/>
      <c r="L12" s="3"/>
      <c r="M12" s="3"/>
      <c r="N12" s="3"/>
      <c r="O12" s="3"/>
      <c r="P12" s="3" t="s">
        <v>52</v>
      </c>
      <c r="Q12" s="15" t="s">
        <v>82</v>
      </c>
      <c r="R12" s="7">
        <v>45677</v>
      </c>
      <c r="S12" s="7">
        <v>45677</v>
      </c>
      <c r="T12" s="7">
        <v>45677</v>
      </c>
      <c r="U12" s="6">
        <v>405</v>
      </c>
      <c r="V12" s="11">
        <v>2125468</v>
      </c>
      <c r="W12" s="6"/>
      <c r="X12" s="6"/>
      <c r="Y12" s="6"/>
      <c r="Z12" s="6"/>
      <c r="AA12" s="8"/>
      <c r="AB12" s="8"/>
      <c r="AC12" s="6" t="s">
        <v>334</v>
      </c>
      <c r="AD12" s="6"/>
      <c r="AE12" s="9" t="s">
        <v>272</v>
      </c>
    </row>
    <row r="13" spans="1:31" s="10" customFormat="1" ht="16.5" x14ac:dyDescent="0.25">
      <c r="A13" s="3">
        <v>10</v>
      </c>
      <c r="B13" s="18" t="s">
        <v>34</v>
      </c>
      <c r="C13" s="5" t="s">
        <v>293</v>
      </c>
      <c r="D13" s="4" t="s">
        <v>294</v>
      </c>
      <c r="E13" s="6">
        <v>32</v>
      </c>
      <c r="F13" s="6">
        <v>210</v>
      </c>
      <c r="G13" s="6">
        <v>97.3</v>
      </c>
      <c r="H13" s="6" t="s">
        <v>51</v>
      </c>
      <c r="I13" s="7">
        <v>45671</v>
      </c>
      <c r="J13" s="3"/>
      <c r="K13" s="3" t="s">
        <v>62</v>
      </c>
      <c r="L13" s="3"/>
      <c r="M13" s="3"/>
      <c r="N13" s="3"/>
      <c r="O13" s="3"/>
      <c r="P13" s="3"/>
      <c r="Q13" s="15" t="s">
        <v>82</v>
      </c>
      <c r="R13" s="7">
        <v>45743</v>
      </c>
      <c r="S13" s="6"/>
      <c r="T13" s="6"/>
      <c r="U13" s="6"/>
      <c r="V13" s="11"/>
      <c r="W13" s="6"/>
      <c r="X13" s="6"/>
      <c r="Y13" s="6"/>
      <c r="Z13" s="6"/>
      <c r="AA13" s="8"/>
      <c r="AB13" s="8"/>
      <c r="AC13" s="6"/>
      <c r="AD13" s="6"/>
      <c r="AE13" s="9"/>
    </row>
    <row r="14" spans="1:31" s="10" customFormat="1" ht="47.25" x14ac:dyDescent="0.25">
      <c r="A14" s="3">
        <v>11</v>
      </c>
      <c r="B14" s="18" t="s">
        <v>34</v>
      </c>
      <c r="C14" s="5" t="s">
        <v>336</v>
      </c>
      <c r="D14" s="4" t="s">
        <v>337</v>
      </c>
      <c r="E14" s="6">
        <v>9</v>
      </c>
      <c r="F14" s="6">
        <v>354</v>
      </c>
      <c r="G14" s="6">
        <v>54.1</v>
      </c>
      <c r="H14" s="6" t="s">
        <v>55</v>
      </c>
      <c r="I14" s="7">
        <v>45679</v>
      </c>
      <c r="J14" s="3"/>
      <c r="K14" s="3"/>
      <c r="L14" s="3" t="s">
        <v>98</v>
      </c>
      <c r="M14" s="3"/>
      <c r="N14" s="3"/>
      <c r="O14" s="3"/>
      <c r="P14" s="3"/>
      <c r="Q14" s="15" t="s">
        <v>82</v>
      </c>
      <c r="R14" s="6"/>
      <c r="S14" s="6"/>
      <c r="T14" s="6"/>
      <c r="U14" s="6"/>
      <c r="V14" s="11"/>
      <c r="W14" s="6"/>
      <c r="X14" s="6"/>
      <c r="Y14" s="6"/>
      <c r="Z14" s="6"/>
      <c r="AA14" s="8"/>
      <c r="AB14" s="8" t="s">
        <v>410</v>
      </c>
      <c r="AC14" s="6" t="s">
        <v>338</v>
      </c>
      <c r="AD14" s="6"/>
      <c r="AE14" s="9"/>
    </row>
    <row r="15" spans="1:31" ht="16.5" x14ac:dyDescent="0.25">
      <c r="A15" s="12"/>
      <c r="B15" s="73" t="s">
        <v>365</v>
      </c>
      <c r="C15" s="74"/>
      <c r="D15" s="74"/>
      <c r="E15" s="74"/>
      <c r="F15" s="74"/>
      <c r="G15" s="74"/>
      <c r="H15" s="75"/>
      <c r="I15" s="13"/>
      <c r="J15" s="14">
        <f>COUNTIF(J9:J14,"CQ")+COUNTIF(J14,"CN")+COUNTIF(J14,"TK")</f>
        <v>0</v>
      </c>
      <c r="K15" s="14">
        <f>COUNTIF(K9:K14,"CMĐ")</f>
        <v>3</v>
      </c>
      <c r="L15" s="14">
        <f>COUNTIF(L14,"XMDT")+COUNTIF(L14,"Mốc")</f>
        <v>1</v>
      </c>
      <c r="M15" s="14">
        <f>COUNTIF(M14,"THÁn")</f>
        <v>0</v>
      </c>
      <c r="N15" s="14">
        <f>COUNTIF(N14,"TÒA")</f>
        <v>0</v>
      </c>
      <c r="O15" s="14">
        <f>COUNTIF(O9:O14,"Cấp GCN")</f>
        <v>0</v>
      </c>
      <c r="P15" s="14">
        <f>COUNTIF(P9:P14,"SHN")</f>
        <v>1</v>
      </c>
      <c r="Q15" s="15"/>
      <c r="R15" s="13"/>
      <c r="S15" s="15"/>
      <c r="T15" s="15"/>
      <c r="U15" s="16"/>
      <c r="V15" s="11"/>
      <c r="W15" s="17"/>
      <c r="X15" s="2"/>
      <c r="AD15" s="14">
        <f>COUNTIF(AD14,"kt")</f>
        <v>0</v>
      </c>
    </row>
    <row r="16" spans="1:31" s="10" customFormat="1" ht="47.25" x14ac:dyDescent="0.25">
      <c r="A16" s="3">
        <v>12</v>
      </c>
      <c r="B16" s="18" t="s">
        <v>34</v>
      </c>
      <c r="C16" s="5" t="s">
        <v>447</v>
      </c>
      <c r="D16" s="4" t="s">
        <v>448</v>
      </c>
      <c r="E16" s="6" t="s">
        <v>449</v>
      </c>
      <c r="F16" s="6">
        <v>389</v>
      </c>
      <c r="G16" s="6">
        <v>65.900000000000006</v>
      </c>
      <c r="H16" s="6" t="s">
        <v>55</v>
      </c>
      <c r="I16" s="7">
        <v>45698</v>
      </c>
      <c r="J16" s="3"/>
      <c r="K16" s="3"/>
      <c r="L16" s="3"/>
      <c r="M16" s="3"/>
      <c r="N16" s="3"/>
      <c r="O16" s="3"/>
      <c r="P16" s="3" t="s">
        <v>52</v>
      </c>
      <c r="Q16" s="15" t="s">
        <v>82</v>
      </c>
      <c r="R16" s="6"/>
      <c r="S16" s="6"/>
      <c r="T16" s="6"/>
      <c r="U16" s="6"/>
      <c r="V16" s="11"/>
      <c r="W16" s="6"/>
      <c r="X16" s="6"/>
      <c r="Y16" s="6"/>
      <c r="Z16" s="6"/>
      <c r="AA16" s="8"/>
      <c r="AB16" s="8"/>
      <c r="AC16" s="6" t="s">
        <v>500</v>
      </c>
      <c r="AD16" s="6"/>
      <c r="AE16" s="9"/>
    </row>
    <row r="17" spans="1:31" s="10" customFormat="1" ht="47.25" x14ac:dyDescent="0.25">
      <c r="A17" s="3">
        <v>13</v>
      </c>
      <c r="B17" s="18" t="s">
        <v>34</v>
      </c>
      <c r="C17" s="5" t="s">
        <v>470</v>
      </c>
      <c r="D17" s="4" t="s">
        <v>471</v>
      </c>
      <c r="E17" s="6" t="s">
        <v>472</v>
      </c>
      <c r="F17" s="6">
        <v>13</v>
      </c>
      <c r="G17" s="6">
        <v>34</v>
      </c>
      <c r="H17" s="6" t="s">
        <v>55</v>
      </c>
      <c r="I17" s="7">
        <v>45699</v>
      </c>
      <c r="J17" s="3"/>
      <c r="K17" s="3"/>
      <c r="L17" s="3"/>
      <c r="M17" s="3"/>
      <c r="N17" s="3"/>
      <c r="O17" s="3"/>
      <c r="P17" s="3" t="s">
        <v>52</v>
      </c>
      <c r="Q17" s="15" t="s">
        <v>82</v>
      </c>
      <c r="R17" s="6"/>
      <c r="S17" s="6"/>
      <c r="T17" s="6"/>
      <c r="U17" s="6"/>
      <c r="V17" s="11"/>
      <c r="W17" s="6"/>
      <c r="X17" s="6"/>
      <c r="Y17" s="6"/>
      <c r="Z17" s="6"/>
      <c r="AA17" s="8"/>
      <c r="AB17" s="8"/>
      <c r="AC17" s="6" t="s">
        <v>615</v>
      </c>
      <c r="AD17" s="6"/>
      <c r="AE17" s="9"/>
    </row>
    <row r="18" spans="1:31" s="10" customFormat="1" ht="31.5" x14ac:dyDescent="0.25">
      <c r="A18" s="3">
        <v>14</v>
      </c>
      <c r="B18" s="18" t="s">
        <v>34</v>
      </c>
      <c r="C18" s="5" t="s">
        <v>478</v>
      </c>
      <c r="D18" s="4" t="s">
        <v>479</v>
      </c>
      <c r="E18" s="6">
        <v>15</v>
      </c>
      <c r="F18" s="6">
        <v>151</v>
      </c>
      <c r="G18" s="6">
        <v>103.5</v>
      </c>
      <c r="H18" s="6" t="s">
        <v>55</v>
      </c>
      <c r="I18" s="7">
        <v>45699</v>
      </c>
      <c r="J18" s="3"/>
      <c r="K18" s="3"/>
      <c r="L18" s="3" t="s">
        <v>98</v>
      </c>
      <c r="M18" s="3"/>
      <c r="N18" s="3"/>
      <c r="O18" s="3"/>
      <c r="P18" s="3"/>
      <c r="Q18" s="15" t="s">
        <v>82</v>
      </c>
      <c r="R18" s="7">
        <v>45702</v>
      </c>
      <c r="S18" s="7">
        <v>45706</v>
      </c>
      <c r="T18" s="7">
        <v>45706</v>
      </c>
      <c r="U18" s="6">
        <v>854</v>
      </c>
      <c r="V18" s="11">
        <v>2583973</v>
      </c>
      <c r="W18" s="6"/>
      <c r="X18" s="6"/>
      <c r="Y18" s="6"/>
      <c r="Z18" s="6"/>
      <c r="AA18" s="8"/>
      <c r="AB18" s="8"/>
      <c r="AC18" s="6" t="s">
        <v>480</v>
      </c>
      <c r="AD18" s="6"/>
      <c r="AE18" s="9"/>
    </row>
    <row r="19" spans="1:31" s="10" customFormat="1" ht="31.5" x14ac:dyDescent="0.25">
      <c r="A19" s="3">
        <v>15</v>
      </c>
      <c r="B19" s="18" t="s">
        <v>34</v>
      </c>
      <c r="C19" s="5" t="s">
        <v>515</v>
      </c>
      <c r="D19" s="4" t="s">
        <v>516</v>
      </c>
      <c r="E19" s="6">
        <v>22</v>
      </c>
      <c r="F19" s="6">
        <v>415</v>
      </c>
      <c r="G19" s="6">
        <v>110.3</v>
      </c>
      <c r="H19" s="6" t="s">
        <v>51</v>
      </c>
      <c r="I19" s="7">
        <v>45701</v>
      </c>
      <c r="J19" s="3"/>
      <c r="K19" s="3"/>
      <c r="L19" s="3" t="s">
        <v>98</v>
      </c>
      <c r="M19" s="3"/>
      <c r="N19" s="3"/>
      <c r="O19" s="3"/>
      <c r="P19" s="3"/>
      <c r="Q19" s="15" t="s">
        <v>82</v>
      </c>
      <c r="R19" s="7">
        <v>45705</v>
      </c>
      <c r="S19" s="7">
        <v>45706</v>
      </c>
      <c r="T19" s="7">
        <v>45706</v>
      </c>
      <c r="U19" s="6">
        <v>856</v>
      </c>
      <c r="V19" s="11">
        <v>2583973</v>
      </c>
      <c r="W19" s="6"/>
      <c r="X19" s="6"/>
      <c r="Y19" s="6"/>
      <c r="Z19" s="6"/>
      <c r="AA19" s="8"/>
      <c r="AB19" s="8"/>
      <c r="AC19" s="6" t="s">
        <v>517</v>
      </c>
      <c r="AD19" s="6"/>
      <c r="AE19" s="9"/>
    </row>
    <row r="20" spans="1:31" s="10" customFormat="1" ht="31.5" x14ac:dyDescent="0.25">
      <c r="A20" s="3">
        <v>16</v>
      </c>
      <c r="B20" s="18" t="s">
        <v>34</v>
      </c>
      <c r="C20" s="5" t="s">
        <v>95</v>
      </c>
      <c r="D20" s="4" t="s">
        <v>96</v>
      </c>
      <c r="E20" s="6">
        <v>22</v>
      </c>
      <c r="F20" s="6" t="s">
        <v>558</v>
      </c>
      <c r="G20" s="6" t="s">
        <v>559</v>
      </c>
      <c r="H20" s="6" t="s">
        <v>51</v>
      </c>
      <c r="I20" s="7">
        <v>45705</v>
      </c>
      <c r="J20" s="3"/>
      <c r="K20" s="3"/>
      <c r="L20" s="3" t="s">
        <v>98</v>
      </c>
      <c r="M20" s="3"/>
      <c r="N20" s="3"/>
      <c r="O20" s="3"/>
      <c r="P20" s="3"/>
      <c r="Q20" s="15" t="s">
        <v>82</v>
      </c>
      <c r="R20" s="7">
        <v>45708</v>
      </c>
      <c r="S20" s="7">
        <v>45712</v>
      </c>
      <c r="T20" s="7">
        <v>45712</v>
      </c>
      <c r="U20" s="20">
        <v>1010</v>
      </c>
      <c r="V20" s="11">
        <v>4121155</v>
      </c>
      <c r="W20" s="6"/>
      <c r="X20" s="6"/>
      <c r="Y20" s="6"/>
      <c r="Z20" s="6"/>
      <c r="AA20" s="8"/>
      <c r="AB20" s="8"/>
      <c r="AC20" s="6" t="s">
        <v>560</v>
      </c>
      <c r="AD20" s="6"/>
      <c r="AE20" s="9"/>
    </row>
    <row r="21" spans="1:31" s="10" customFormat="1" ht="16.5" x14ac:dyDescent="0.25">
      <c r="A21" s="3">
        <v>17</v>
      </c>
      <c r="B21" s="18" t="s">
        <v>34</v>
      </c>
      <c r="C21" s="5" t="s">
        <v>587</v>
      </c>
      <c r="D21" s="4" t="s">
        <v>588</v>
      </c>
      <c r="E21" s="6">
        <v>21</v>
      </c>
      <c r="F21" s="6">
        <v>225</v>
      </c>
      <c r="G21" s="6">
        <v>1178.7</v>
      </c>
      <c r="H21" s="6" t="s">
        <v>75</v>
      </c>
      <c r="I21" s="7">
        <v>45706</v>
      </c>
      <c r="J21" s="3"/>
      <c r="K21" s="3" t="s">
        <v>62</v>
      </c>
      <c r="L21" s="3"/>
      <c r="M21" s="3"/>
      <c r="N21" s="3"/>
      <c r="O21" s="3"/>
      <c r="P21" s="3"/>
      <c r="Q21" s="15" t="s">
        <v>82</v>
      </c>
      <c r="R21" s="7">
        <v>45772</v>
      </c>
      <c r="S21" s="7">
        <v>45773</v>
      </c>
      <c r="T21" s="7">
        <v>45773</v>
      </c>
      <c r="U21" s="6">
        <v>219</v>
      </c>
      <c r="V21" s="11">
        <v>961551</v>
      </c>
      <c r="W21" s="6"/>
      <c r="X21" s="6"/>
      <c r="Y21" s="6"/>
      <c r="Z21" s="6"/>
      <c r="AA21" s="8"/>
      <c r="AB21" s="8"/>
      <c r="AC21" s="6"/>
      <c r="AD21" s="6"/>
      <c r="AE21" s="9"/>
    </row>
    <row r="22" spans="1:31" s="10" customFormat="1" ht="31.5" x14ac:dyDescent="0.25">
      <c r="A22" s="3">
        <v>18</v>
      </c>
      <c r="B22" s="18" t="s">
        <v>34</v>
      </c>
      <c r="C22" s="5" t="s">
        <v>617</v>
      </c>
      <c r="D22" s="4" t="s">
        <v>618</v>
      </c>
      <c r="E22" s="6" t="s">
        <v>449</v>
      </c>
      <c r="F22" s="6">
        <v>30</v>
      </c>
      <c r="G22" s="6">
        <v>79.900000000000006</v>
      </c>
      <c r="H22" s="6" t="s">
        <v>55</v>
      </c>
      <c r="I22" s="7">
        <v>45707</v>
      </c>
      <c r="J22" s="3"/>
      <c r="K22" s="3"/>
      <c r="L22" s="3"/>
      <c r="M22" s="3"/>
      <c r="N22" s="3"/>
      <c r="O22" s="3"/>
      <c r="P22" s="3" t="s">
        <v>52</v>
      </c>
      <c r="Q22" s="15" t="s">
        <v>82</v>
      </c>
      <c r="R22" s="7">
        <v>45716</v>
      </c>
      <c r="S22" s="7">
        <v>45720</v>
      </c>
      <c r="T22" s="7">
        <v>45720</v>
      </c>
      <c r="U22" s="6">
        <v>1221</v>
      </c>
      <c r="V22" s="11">
        <v>2125468</v>
      </c>
      <c r="W22" s="6"/>
      <c r="X22" s="6"/>
      <c r="Y22" s="6"/>
      <c r="Z22" s="6"/>
      <c r="AA22" s="8"/>
      <c r="AB22" s="8"/>
      <c r="AC22" s="6" t="s">
        <v>853</v>
      </c>
      <c r="AD22" s="6"/>
      <c r="AE22" s="9"/>
    </row>
    <row r="23" spans="1:31" s="10" customFormat="1" ht="31.5" x14ac:dyDescent="0.25">
      <c r="A23" s="3">
        <v>19</v>
      </c>
      <c r="B23" s="18" t="s">
        <v>34</v>
      </c>
      <c r="C23" s="5" t="s">
        <v>665</v>
      </c>
      <c r="D23" s="4" t="s">
        <v>666</v>
      </c>
      <c r="E23" s="6">
        <v>28</v>
      </c>
      <c r="F23" s="6">
        <v>84</v>
      </c>
      <c r="G23" s="6">
        <v>87.9</v>
      </c>
      <c r="H23" s="6" t="s">
        <v>55</v>
      </c>
      <c r="I23" s="7">
        <v>45709</v>
      </c>
      <c r="J23" s="3"/>
      <c r="K23" s="3"/>
      <c r="L23" s="3" t="s">
        <v>98</v>
      </c>
      <c r="M23" s="3"/>
      <c r="N23" s="3"/>
      <c r="O23" s="3"/>
      <c r="P23" s="3"/>
      <c r="Q23" s="15" t="s">
        <v>82</v>
      </c>
      <c r="R23" s="7">
        <v>45713</v>
      </c>
      <c r="S23" s="7">
        <v>45720</v>
      </c>
      <c r="T23" s="7">
        <v>45720</v>
      </c>
      <c r="U23" s="6">
        <v>1224</v>
      </c>
      <c r="V23" s="11">
        <v>3281835</v>
      </c>
      <c r="W23" s="6"/>
      <c r="X23" s="6"/>
      <c r="Y23" s="6"/>
      <c r="Z23" s="6"/>
      <c r="AA23" s="8"/>
      <c r="AB23" s="8"/>
      <c r="AC23" s="6" t="s">
        <v>667</v>
      </c>
      <c r="AD23" s="6" t="s">
        <v>720</v>
      </c>
      <c r="AE23" s="9"/>
    </row>
    <row r="24" spans="1:31" s="10" customFormat="1" ht="31.5" x14ac:dyDescent="0.25">
      <c r="A24" s="3">
        <v>20</v>
      </c>
      <c r="B24" s="18" t="s">
        <v>34</v>
      </c>
      <c r="C24" s="5" t="s">
        <v>682</v>
      </c>
      <c r="D24" s="4" t="s">
        <v>683</v>
      </c>
      <c r="E24" s="6" t="s">
        <v>684</v>
      </c>
      <c r="F24" s="6">
        <v>117</v>
      </c>
      <c r="G24" s="6">
        <v>70.7</v>
      </c>
      <c r="H24" s="6" t="s">
        <v>55</v>
      </c>
      <c r="I24" s="7">
        <v>45712</v>
      </c>
      <c r="J24" s="3"/>
      <c r="K24" s="3"/>
      <c r="L24" s="3"/>
      <c r="M24" s="3"/>
      <c r="N24" s="3"/>
      <c r="O24" s="3"/>
      <c r="P24" s="3" t="s">
        <v>52</v>
      </c>
      <c r="Q24" s="15" t="s">
        <v>82</v>
      </c>
      <c r="R24" s="7">
        <v>45715</v>
      </c>
      <c r="S24" s="7">
        <v>45720</v>
      </c>
      <c r="T24" s="7">
        <v>45720</v>
      </c>
      <c r="U24" s="6">
        <v>1227</v>
      </c>
      <c r="V24" s="11">
        <v>2125468</v>
      </c>
      <c r="W24" s="6"/>
      <c r="X24" s="6"/>
      <c r="Y24" s="6"/>
      <c r="Z24" s="6"/>
      <c r="AA24" s="8"/>
      <c r="AB24" s="8"/>
      <c r="AC24" s="6" t="s">
        <v>1765</v>
      </c>
      <c r="AD24" s="6"/>
      <c r="AE24" s="9"/>
    </row>
    <row r="25" spans="1:31" ht="16.5" x14ac:dyDescent="0.25">
      <c r="A25" s="12"/>
      <c r="B25" s="73" t="s">
        <v>706</v>
      </c>
      <c r="C25" s="74"/>
      <c r="D25" s="74"/>
      <c r="E25" s="74"/>
      <c r="F25" s="74"/>
      <c r="G25" s="74"/>
      <c r="H25" s="75"/>
      <c r="I25" s="13"/>
      <c r="J25" s="14">
        <f>COUNTIF(J19:J24,"CQ")+COUNTIF(J24,"CN")+COUNTIF(J24,"TK")</f>
        <v>0</v>
      </c>
      <c r="K25" s="14">
        <f>COUNTIF(K19:K24,"CMĐ")</f>
        <v>1</v>
      </c>
      <c r="L25" s="14">
        <f>COUNTIF(L16:L24,"XMDT")+COUNTIF(L16:L24,"Mốc")</f>
        <v>4</v>
      </c>
      <c r="M25" s="14">
        <f>COUNTIF(M24,"THÁn")</f>
        <v>0</v>
      </c>
      <c r="N25" s="14">
        <f>COUNTIF(N24,"TÒA")</f>
        <v>0</v>
      </c>
      <c r="O25" s="14">
        <f>COUNTIF(O19:O24,"Cấp GCN")</f>
        <v>0</v>
      </c>
      <c r="P25" s="14">
        <f>COUNTIF(P16:P24,"SHN")</f>
        <v>4</v>
      </c>
      <c r="Q25" s="15"/>
      <c r="R25" s="13"/>
      <c r="S25" s="15"/>
      <c r="T25" s="15"/>
      <c r="U25" s="16"/>
      <c r="V25" s="11"/>
      <c r="W25" s="17"/>
      <c r="X25" s="2"/>
      <c r="AD25" s="14">
        <f>COUNTIF(AD24,"kt")</f>
        <v>0</v>
      </c>
    </row>
    <row r="26" spans="1:31" s="10" customFormat="1" ht="31.5" x14ac:dyDescent="0.25">
      <c r="A26" s="3">
        <v>21</v>
      </c>
      <c r="B26" s="18" t="s">
        <v>34</v>
      </c>
      <c r="C26" s="5" t="s">
        <v>690</v>
      </c>
      <c r="D26" s="4" t="s">
        <v>691</v>
      </c>
      <c r="E26" s="6">
        <v>8</v>
      </c>
      <c r="F26" s="6">
        <v>276</v>
      </c>
      <c r="G26" s="6">
        <v>22.8</v>
      </c>
      <c r="H26" s="6" t="s">
        <v>51</v>
      </c>
      <c r="I26" s="7">
        <v>45712</v>
      </c>
      <c r="J26" s="3"/>
      <c r="K26" s="3"/>
      <c r="L26" s="3" t="s">
        <v>98</v>
      </c>
      <c r="M26" s="3"/>
      <c r="N26" s="3"/>
      <c r="O26" s="3"/>
      <c r="P26" s="3"/>
      <c r="Q26" s="15" t="s">
        <v>82</v>
      </c>
      <c r="R26" s="7">
        <v>45721</v>
      </c>
      <c r="S26" s="7">
        <v>45727</v>
      </c>
      <c r="T26" s="7">
        <v>45727</v>
      </c>
      <c r="U26" s="6">
        <v>1374</v>
      </c>
      <c r="V26" s="11">
        <v>3107370</v>
      </c>
      <c r="W26" s="6"/>
      <c r="X26" s="6"/>
      <c r="Y26" s="6"/>
      <c r="Z26" s="6"/>
      <c r="AA26" s="8"/>
      <c r="AB26" s="8"/>
      <c r="AC26" s="6" t="s">
        <v>692</v>
      </c>
      <c r="AD26" s="6" t="s">
        <v>722</v>
      </c>
      <c r="AE26" s="9"/>
    </row>
    <row r="27" spans="1:31" s="10" customFormat="1" ht="52.5" customHeight="1" x14ac:dyDescent="0.25">
      <c r="A27" s="3">
        <v>22</v>
      </c>
      <c r="B27" s="18" t="s">
        <v>34</v>
      </c>
      <c r="C27" s="5" t="s">
        <v>695</v>
      </c>
      <c r="D27" s="4" t="s">
        <v>696</v>
      </c>
      <c r="E27" s="6" t="s">
        <v>697</v>
      </c>
      <c r="F27" s="6">
        <v>100</v>
      </c>
      <c r="G27" s="6">
        <v>35.6</v>
      </c>
      <c r="H27" s="6" t="s">
        <v>55</v>
      </c>
      <c r="I27" s="7">
        <v>45713</v>
      </c>
      <c r="J27" s="3"/>
      <c r="K27" s="3"/>
      <c r="L27" s="3" t="s">
        <v>1</v>
      </c>
      <c r="M27" s="3"/>
      <c r="N27" s="3"/>
      <c r="O27" s="3"/>
      <c r="P27" s="3"/>
      <c r="Q27" s="15" t="s">
        <v>82</v>
      </c>
      <c r="R27" s="6"/>
      <c r="S27" s="6"/>
      <c r="T27" s="6"/>
      <c r="U27" s="6"/>
      <c r="V27" s="11"/>
      <c r="W27" s="6"/>
      <c r="X27" s="6"/>
      <c r="Y27" s="6"/>
      <c r="Z27" s="6"/>
      <c r="AA27" s="8"/>
      <c r="AB27" s="8"/>
      <c r="AC27" s="6" t="s">
        <v>1005</v>
      </c>
      <c r="AD27" s="6"/>
      <c r="AE27" s="9"/>
    </row>
    <row r="28" spans="1:31" s="10" customFormat="1" ht="31.5" x14ac:dyDescent="0.25">
      <c r="A28" s="3">
        <v>23</v>
      </c>
      <c r="B28" s="18" t="s">
        <v>34</v>
      </c>
      <c r="C28" s="5" t="s">
        <v>712</v>
      </c>
      <c r="D28" s="4" t="s">
        <v>713</v>
      </c>
      <c r="E28" s="6" t="s">
        <v>684</v>
      </c>
      <c r="F28" s="6">
        <v>123</v>
      </c>
      <c r="G28" s="6">
        <v>44</v>
      </c>
      <c r="H28" s="6" t="s">
        <v>55</v>
      </c>
      <c r="I28" s="7" t="s">
        <v>803</v>
      </c>
      <c r="J28" s="3"/>
      <c r="K28" s="3"/>
      <c r="L28" s="3" t="s">
        <v>98</v>
      </c>
      <c r="M28" s="3"/>
      <c r="N28" s="3"/>
      <c r="O28" s="3"/>
      <c r="P28" s="3"/>
      <c r="Q28" s="15" t="s">
        <v>82</v>
      </c>
      <c r="R28" s="7">
        <v>45743</v>
      </c>
      <c r="S28" s="7">
        <v>45751</v>
      </c>
      <c r="T28" s="7">
        <v>45751</v>
      </c>
      <c r="U28" s="6">
        <v>2018</v>
      </c>
      <c r="V28" s="11">
        <v>2758439</v>
      </c>
      <c r="W28" s="6"/>
      <c r="X28" s="6"/>
      <c r="Y28" s="6"/>
      <c r="Z28" s="6"/>
      <c r="AA28" s="8"/>
      <c r="AB28" s="8"/>
      <c r="AC28" s="6" t="s">
        <v>714</v>
      </c>
      <c r="AD28" s="6" t="s">
        <v>724</v>
      </c>
      <c r="AE28" s="9"/>
    </row>
    <row r="29" spans="1:31" s="10" customFormat="1" ht="47.25" x14ac:dyDescent="0.25">
      <c r="A29" s="3">
        <v>24</v>
      </c>
      <c r="B29" s="18" t="s">
        <v>34</v>
      </c>
      <c r="C29" s="5" t="s">
        <v>730</v>
      </c>
      <c r="D29" s="4" t="s">
        <v>731</v>
      </c>
      <c r="E29" s="6">
        <v>26</v>
      </c>
      <c r="F29" s="6">
        <v>329</v>
      </c>
      <c r="G29" s="6">
        <v>819</v>
      </c>
      <c r="H29" s="6" t="s">
        <v>75</v>
      </c>
      <c r="I29" s="7"/>
      <c r="J29" s="3"/>
      <c r="K29" s="3"/>
      <c r="L29" s="3"/>
      <c r="M29" s="3"/>
      <c r="N29" s="3"/>
      <c r="O29" s="3"/>
      <c r="P29" s="3"/>
      <c r="Q29" s="15" t="s">
        <v>190</v>
      </c>
      <c r="R29" s="7">
        <v>45663</v>
      </c>
      <c r="S29" s="6"/>
      <c r="T29" s="6"/>
      <c r="U29" s="6"/>
      <c r="V29" s="11"/>
      <c r="W29" s="6"/>
      <c r="X29" s="6"/>
      <c r="Y29" s="6"/>
      <c r="Z29" s="6" t="s">
        <v>732</v>
      </c>
      <c r="AA29" s="8" t="s">
        <v>729</v>
      </c>
      <c r="AB29" s="8"/>
      <c r="AC29" s="6"/>
      <c r="AD29" s="6"/>
      <c r="AE29" s="9"/>
    </row>
    <row r="30" spans="1:31" s="10" customFormat="1" ht="47.25" x14ac:dyDescent="0.25">
      <c r="A30" s="3">
        <v>25</v>
      </c>
      <c r="B30" s="18" t="s">
        <v>34</v>
      </c>
      <c r="C30" s="5" t="s">
        <v>734</v>
      </c>
      <c r="D30" s="4" t="s">
        <v>735</v>
      </c>
      <c r="E30" s="6">
        <v>21</v>
      </c>
      <c r="F30" s="6">
        <v>8</v>
      </c>
      <c r="G30" s="6">
        <v>306.7</v>
      </c>
      <c r="H30" s="6" t="s">
        <v>75</v>
      </c>
      <c r="I30" s="7">
        <v>45714</v>
      </c>
      <c r="J30" s="3"/>
      <c r="K30" s="3"/>
      <c r="L30" s="3" t="s">
        <v>1</v>
      </c>
      <c r="M30" s="3"/>
      <c r="N30" s="3"/>
      <c r="O30" s="3"/>
      <c r="P30" s="3"/>
      <c r="Q30" s="15" t="s">
        <v>82</v>
      </c>
      <c r="R30" s="6"/>
      <c r="S30" s="6"/>
      <c r="T30" s="6"/>
      <c r="U30" s="6"/>
      <c r="V30" s="11"/>
      <c r="W30" s="6"/>
      <c r="X30" s="6"/>
      <c r="Y30" s="6"/>
      <c r="Z30" s="6"/>
      <c r="AA30" s="8"/>
      <c r="AB30" s="8" t="s">
        <v>1490</v>
      </c>
      <c r="AC30" s="6" t="s">
        <v>1158</v>
      </c>
      <c r="AD30" s="6"/>
      <c r="AE30" s="9"/>
    </row>
    <row r="31" spans="1:31" s="10" customFormat="1" ht="16.5" x14ac:dyDescent="0.25">
      <c r="A31" s="3">
        <v>26</v>
      </c>
      <c r="B31" s="18" t="s">
        <v>34</v>
      </c>
      <c r="C31" s="5" t="s">
        <v>73</v>
      </c>
      <c r="D31" s="4" t="s">
        <v>607</v>
      </c>
      <c r="E31" s="6">
        <v>29</v>
      </c>
      <c r="F31" s="6">
        <v>128</v>
      </c>
      <c r="G31" s="6">
        <v>816</v>
      </c>
      <c r="H31" s="6" t="s">
        <v>51</v>
      </c>
      <c r="I31" s="7">
        <v>45715</v>
      </c>
      <c r="J31" s="3"/>
      <c r="K31" s="3" t="s">
        <v>62</v>
      </c>
      <c r="L31" s="3"/>
      <c r="M31" s="3"/>
      <c r="N31" s="3"/>
      <c r="O31" s="3"/>
      <c r="P31" s="3"/>
      <c r="Q31" s="15" t="s">
        <v>82</v>
      </c>
      <c r="R31" s="6"/>
      <c r="S31" s="6"/>
      <c r="T31" s="6"/>
      <c r="U31" s="6"/>
      <c r="V31" s="11"/>
      <c r="W31" s="6"/>
      <c r="X31" s="6"/>
      <c r="Y31" s="6"/>
      <c r="Z31" s="6"/>
      <c r="AA31" s="8"/>
      <c r="AB31" s="8"/>
      <c r="AC31" s="6"/>
      <c r="AD31" s="6"/>
      <c r="AE31" s="9"/>
    </row>
    <row r="32" spans="1:31" s="10" customFormat="1" ht="47.25" x14ac:dyDescent="0.25">
      <c r="A32" s="3">
        <v>27</v>
      </c>
      <c r="B32" s="18" t="s">
        <v>34</v>
      </c>
      <c r="C32" s="5" t="s">
        <v>815</v>
      </c>
      <c r="D32" s="4" t="s">
        <v>816</v>
      </c>
      <c r="E32" s="6">
        <v>15</v>
      </c>
      <c r="F32" s="6">
        <v>80</v>
      </c>
      <c r="G32" s="6">
        <v>89.2</v>
      </c>
      <c r="H32" s="6" t="s">
        <v>55</v>
      </c>
      <c r="I32" s="7" t="s">
        <v>1411</v>
      </c>
      <c r="J32" s="3"/>
      <c r="K32" s="3"/>
      <c r="L32" s="3"/>
      <c r="M32" s="3"/>
      <c r="N32" s="3"/>
      <c r="O32" s="3" t="s">
        <v>81</v>
      </c>
      <c r="P32" s="3"/>
      <c r="Q32" s="15" t="s">
        <v>82</v>
      </c>
      <c r="R32" s="7">
        <v>45811</v>
      </c>
      <c r="S32" s="7">
        <v>45812</v>
      </c>
      <c r="T32" s="7">
        <v>45812</v>
      </c>
      <c r="U32" s="20">
        <v>1238</v>
      </c>
      <c r="V32" s="11">
        <v>809727</v>
      </c>
      <c r="W32" s="6"/>
      <c r="X32" s="6"/>
      <c r="Y32" s="6"/>
      <c r="Z32" s="6"/>
      <c r="AA32" s="8"/>
      <c r="AB32" s="8"/>
      <c r="AC32" s="6" t="s">
        <v>1005</v>
      </c>
      <c r="AD32" s="6" t="s">
        <v>1006</v>
      </c>
      <c r="AE32" s="9"/>
    </row>
    <row r="33" spans="1:31" s="10" customFormat="1" ht="31.5" x14ac:dyDescent="0.25">
      <c r="A33" s="3">
        <v>28</v>
      </c>
      <c r="B33" s="18" t="s">
        <v>34</v>
      </c>
      <c r="C33" s="5" t="s">
        <v>833</v>
      </c>
      <c r="D33" s="4"/>
      <c r="E33" s="6">
        <v>19</v>
      </c>
      <c r="F33" s="6">
        <v>3</v>
      </c>
      <c r="G33" s="6">
        <v>78.8</v>
      </c>
      <c r="H33" s="6" t="s">
        <v>55</v>
      </c>
      <c r="I33" s="7">
        <v>45720</v>
      </c>
      <c r="J33" s="3"/>
      <c r="K33" s="3"/>
      <c r="L33" s="3"/>
      <c r="M33" s="3"/>
      <c r="N33" s="3"/>
      <c r="O33" s="3"/>
      <c r="P33" s="3" t="s">
        <v>52</v>
      </c>
      <c r="Q33" s="15" t="s">
        <v>82</v>
      </c>
      <c r="R33" s="7">
        <v>45761</v>
      </c>
      <c r="S33" s="7">
        <v>45762</v>
      </c>
      <c r="T33" s="7">
        <v>45762</v>
      </c>
      <c r="U33" s="6">
        <v>2271</v>
      </c>
      <c r="V33" s="11">
        <v>2125468</v>
      </c>
      <c r="W33" s="6"/>
      <c r="X33" s="6"/>
      <c r="Y33" s="6"/>
      <c r="Z33" s="6"/>
      <c r="AA33" s="8"/>
      <c r="AB33" s="8"/>
      <c r="AC33" s="6" t="s">
        <v>1562</v>
      </c>
      <c r="AD33" s="6"/>
      <c r="AE33" s="9"/>
    </row>
    <row r="34" spans="1:31" s="10" customFormat="1" ht="16.5" x14ac:dyDescent="0.25">
      <c r="A34" s="3">
        <v>29</v>
      </c>
      <c r="B34" s="18" t="s">
        <v>34</v>
      </c>
      <c r="C34" s="5" t="s">
        <v>840</v>
      </c>
      <c r="D34" s="4" t="s">
        <v>841</v>
      </c>
      <c r="E34" s="6">
        <v>25</v>
      </c>
      <c r="F34" s="6">
        <v>27</v>
      </c>
      <c r="G34" s="6">
        <v>211.3</v>
      </c>
      <c r="H34" s="6" t="s">
        <v>75</v>
      </c>
      <c r="I34" s="7">
        <v>45720</v>
      </c>
      <c r="J34" s="3"/>
      <c r="K34" s="3" t="s">
        <v>62</v>
      </c>
      <c r="L34" s="3"/>
      <c r="M34" s="3"/>
      <c r="N34" s="3"/>
      <c r="O34" s="3"/>
      <c r="P34" s="3"/>
      <c r="Q34" s="15" t="s">
        <v>82</v>
      </c>
      <c r="R34" s="6"/>
      <c r="S34" s="6"/>
      <c r="T34" s="6"/>
      <c r="U34" s="6"/>
      <c r="V34" s="11"/>
      <c r="W34" s="6"/>
      <c r="X34" s="6"/>
      <c r="Y34" s="6"/>
      <c r="Z34" s="6"/>
      <c r="AA34" s="8"/>
      <c r="AB34" s="8"/>
      <c r="AC34" s="6"/>
      <c r="AD34" s="6"/>
      <c r="AE34" s="9"/>
    </row>
    <row r="35" spans="1:31" s="10" customFormat="1" ht="31.5" x14ac:dyDescent="0.25">
      <c r="A35" s="3">
        <v>30</v>
      </c>
      <c r="B35" s="18" t="s">
        <v>34</v>
      </c>
      <c r="C35" s="5" t="s">
        <v>854</v>
      </c>
      <c r="D35" s="4" t="s">
        <v>855</v>
      </c>
      <c r="E35" s="3">
        <v>14</v>
      </c>
      <c r="F35" s="3">
        <v>220</v>
      </c>
      <c r="G35" s="3">
        <v>52</v>
      </c>
      <c r="H35" s="3" t="s">
        <v>55</v>
      </c>
      <c r="I35" s="7">
        <v>45721</v>
      </c>
      <c r="J35" s="3"/>
      <c r="K35" s="3"/>
      <c r="L35" s="3"/>
      <c r="M35" s="3"/>
      <c r="N35" s="3"/>
      <c r="O35" s="3"/>
      <c r="P35" s="3" t="s">
        <v>52</v>
      </c>
      <c r="Q35" s="15" t="s">
        <v>82</v>
      </c>
      <c r="R35" s="7">
        <v>45765</v>
      </c>
      <c r="S35" s="7">
        <v>45768</v>
      </c>
      <c r="T35" s="7">
        <v>45768</v>
      </c>
      <c r="U35" s="6">
        <v>10</v>
      </c>
      <c r="V35" s="11">
        <v>2125468</v>
      </c>
      <c r="W35" s="6"/>
      <c r="X35" s="6"/>
      <c r="Y35" s="6"/>
      <c r="Z35" s="6"/>
      <c r="AA35" s="8"/>
      <c r="AB35" s="8"/>
      <c r="AC35" s="6" t="s">
        <v>1668</v>
      </c>
      <c r="AD35" s="6"/>
      <c r="AE35" s="9"/>
    </row>
    <row r="36" spans="1:31" s="10" customFormat="1" ht="31.5" x14ac:dyDescent="0.25">
      <c r="A36" s="3">
        <v>31</v>
      </c>
      <c r="B36" s="18" t="s">
        <v>34</v>
      </c>
      <c r="C36" s="5" t="s">
        <v>934</v>
      </c>
      <c r="D36" s="4" t="s">
        <v>935</v>
      </c>
      <c r="E36" s="6" t="s">
        <v>936</v>
      </c>
      <c r="F36" s="6">
        <v>53</v>
      </c>
      <c r="G36" s="6">
        <v>61.4</v>
      </c>
      <c r="H36" s="6" t="s">
        <v>55</v>
      </c>
      <c r="I36" s="7">
        <v>45726</v>
      </c>
      <c r="J36" s="3"/>
      <c r="K36" s="3"/>
      <c r="L36" s="3"/>
      <c r="M36" s="3"/>
      <c r="N36" s="3"/>
      <c r="O36" s="3"/>
      <c r="P36" s="3" t="s">
        <v>52</v>
      </c>
      <c r="Q36" s="15" t="s">
        <v>82</v>
      </c>
      <c r="R36" s="7">
        <v>45743</v>
      </c>
      <c r="S36" s="7">
        <v>45744</v>
      </c>
      <c r="T36" s="7">
        <v>45744</v>
      </c>
      <c r="U36" s="6">
        <v>1815</v>
      </c>
      <c r="V36" s="11">
        <v>2125468</v>
      </c>
      <c r="W36" s="6"/>
      <c r="X36" s="6"/>
      <c r="Y36" s="6"/>
      <c r="Z36" s="6"/>
      <c r="AA36" s="8"/>
      <c r="AB36" s="8"/>
      <c r="AC36" s="6" t="s">
        <v>1301</v>
      </c>
      <c r="AD36" s="6"/>
      <c r="AE36" s="9"/>
    </row>
    <row r="37" spans="1:31" s="10" customFormat="1" ht="78.75" x14ac:dyDescent="0.25">
      <c r="A37" s="3">
        <v>32</v>
      </c>
      <c r="B37" s="18" t="s">
        <v>34</v>
      </c>
      <c r="C37" s="5" t="s">
        <v>939</v>
      </c>
      <c r="D37" s="4" t="s">
        <v>54</v>
      </c>
      <c r="E37" s="6">
        <v>19</v>
      </c>
      <c r="F37" s="6">
        <v>246</v>
      </c>
      <c r="G37" s="6">
        <v>38.4</v>
      </c>
      <c r="H37" s="6" t="s">
        <v>55</v>
      </c>
      <c r="I37" s="7">
        <v>45726</v>
      </c>
      <c r="J37" s="3"/>
      <c r="K37" s="3"/>
      <c r="L37" s="3"/>
      <c r="M37" s="3"/>
      <c r="N37" s="3" t="s">
        <v>56</v>
      </c>
      <c r="O37" s="3"/>
      <c r="P37" s="3"/>
      <c r="Q37" s="15" t="s">
        <v>82</v>
      </c>
      <c r="R37" s="6"/>
      <c r="S37" s="6"/>
      <c r="T37" s="6"/>
      <c r="U37" s="6"/>
      <c r="V37" s="11"/>
      <c r="W37" s="6"/>
      <c r="X37" s="6"/>
      <c r="Y37" s="6"/>
      <c r="Z37" s="6"/>
      <c r="AA37" s="8"/>
      <c r="AB37" s="8" t="s">
        <v>1345</v>
      </c>
      <c r="AC37" s="6" t="s">
        <v>940</v>
      </c>
      <c r="AD37" s="6"/>
      <c r="AE37" s="9"/>
    </row>
    <row r="38" spans="1:31" s="10" customFormat="1" ht="16.5" x14ac:dyDescent="0.25">
      <c r="A38" s="3">
        <v>33</v>
      </c>
      <c r="B38" s="18" t="s">
        <v>34</v>
      </c>
      <c r="C38" s="5" t="s">
        <v>1025</v>
      </c>
      <c r="D38" s="4" t="s">
        <v>189</v>
      </c>
      <c r="E38" s="6">
        <v>46</v>
      </c>
      <c r="F38" s="6">
        <v>322</v>
      </c>
      <c r="G38" s="6">
        <v>316.5</v>
      </c>
      <c r="H38" s="6" t="s">
        <v>55</v>
      </c>
      <c r="I38" s="7">
        <v>45729</v>
      </c>
      <c r="J38" s="3" t="s">
        <v>153</v>
      </c>
      <c r="K38" s="3"/>
      <c r="L38" s="3"/>
      <c r="M38" s="3"/>
      <c r="N38" s="3"/>
      <c r="O38" s="3"/>
      <c r="P38" s="3"/>
      <c r="Q38" s="15" t="s">
        <v>82</v>
      </c>
      <c r="R38" s="7">
        <v>45735</v>
      </c>
      <c r="S38" s="7">
        <v>45735</v>
      </c>
      <c r="T38" s="7">
        <v>45735</v>
      </c>
      <c r="U38" s="6">
        <v>1593</v>
      </c>
      <c r="V38" s="11">
        <v>961551</v>
      </c>
      <c r="W38" s="6"/>
      <c r="X38" s="6"/>
      <c r="Y38" s="6"/>
      <c r="Z38" s="6"/>
      <c r="AA38" s="8" t="s">
        <v>1230</v>
      </c>
      <c r="AB38" s="8" t="s">
        <v>1231</v>
      </c>
      <c r="AC38" s="6"/>
      <c r="AD38" s="6"/>
      <c r="AE38" s="9"/>
    </row>
    <row r="39" spans="1:31" s="10" customFormat="1" ht="51" customHeight="1" x14ac:dyDescent="0.25">
      <c r="A39" s="3">
        <v>35</v>
      </c>
      <c r="B39" s="18" t="s">
        <v>34</v>
      </c>
      <c r="C39" s="5" t="s">
        <v>1032</v>
      </c>
      <c r="D39" s="4" t="s">
        <v>491</v>
      </c>
      <c r="E39" s="6">
        <v>16</v>
      </c>
      <c r="F39" s="6">
        <v>155</v>
      </c>
      <c r="G39" s="6"/>
      <c r="H39" s="6"/>
      <c r="I39" s="7">
        <v>45728</v>
      </c>
      <c r="J39" s="3"/>
      <c r="K39" s="3"/>
      <c r="L39" s="3"/>
      <c r="M39" s="3" t="s">
        <v>491</v>
      </c>
      <c r="N39" s="3"/>
      <c r="O39" s="3"/>
      <c r="P39" s="3"/>
      <c r="Q39" s="15" t="s">
        <v>82</v>
      </c>
      <c r="R39" s="6"/>
      <c r="S39" s="6"/>
      <c r="T39" s="6"/>
      <c r="U39" s="6"/>
      <c r="V39" s="11"/>
      <c r="W39" s="6"/>
      <c r="X39" s="6"/>
      <c r="Y39" s="6"/>
      <c r="Z39" s="6"/>
      <c r="AA39" s="8"/>
      <c r="AB39" s="8"/>
      <c r="AC39" s="6" t="s">
        <v>1345</v>
      </c>
      <c r="AD39" s="6"/>
      <c r="AE39" s="9"/>
    </row>
    <row r="40" spans="1:31" s="10" customFormat="1" ht="31.5" x14ac:dyDescent="0.25">
      <c r="A40" s="3">
        <v>36</v>
      </c>
      <c r="B40" s="18" t="s">
        <v>34</v>
      </c>
      <c r="C40" s="5" t="s">
        <v>1091</v>
      </c>
      <c r="D40" s="4" t="s">
        <v>1092</v>
      </c>
      <c r="E40" s="6">
        <v>11</v>
      </c>
      <c r="F40" s="6">
        <v>93</v>
      </c>
      <c r="G40" s="6">
        <v>84</v>
      </c>
      <c r="H40" s="6" t="s">
        <v>55</v>
      </c>
      <c r="I40" s="7">
        <v>45734</v>
      </c>
      <c r="J40" s="3"/>
      <c r="K40" s="3"/>
      <c r="L40" s="3"/>
      <c r="M40" s="3"/>
      <c r="N40" s="3"/>
      <c r="O40" s="3"/>
      <c r="P40" s="3" t="s">
        <v>52</v>
      </c>
      <c r="Q40" s="15" t="s">
        <v>82</v>
      </c>
      <c r="R40" s="7">
        <v>45763</v>
      </c>
      <c r="S40" s="21">
        <v>45763</v>
      </c>
      <c r="T40" s="21">
        <v>45763</v>
      </c>
      <c r="U40" s="3">
        <v>2322</v>
      </c>
      <c r="V40" s="22">
        <v>2125468</v>
      </c>
      <c r="W40" s="6"/>
      <c r="X40" s="6"/>
      <c r="Y40" s="6"/>
      <c r="Z40" s="6"/>
      <c r="AA40" s="8"/>
      <c r="AB40" s="8"/>
      <c r="AC40" s="6" t="s">
        <v>1639</v>
      </c>
      <c r="AD40" s="6"/>
      <c r="AE40" s="9"/>
    </row>
    <row r="41" spans="1:31" s="10" customFormat="1" ht="47.25" x14ac:dyDescent="0.25">
      <c r="A41" s="3">
        <v>37</v>
      </c>
      <c r="B41" s="18" t="s">
        <v>34</v>
      </c>
      <c r="C41" s="5" t="s">
        <v>690</v>
      </c>
      <c r="D41" s="4" t="s">
        <v>691</v>
      </c>
      <c r="E41" s="6">
        <v>8</v>
      </c>
      <c r="F41" s="6">
        <v>274</v>
      </c>
      <c r="G41" s="6">
        <v>67.599999999999994</v>
      </c>
      <c r="H41" s="6" t="s">
        <v>75</v>
      </c>
      <c r="I41" s="7" t="s">
        <v>1822</v>
      </c>
      <c r="J41" s="3"/>
      <c r="K41" s="3"/>
      <c r="L41" s="3" t="s">
        <v>1</v>
      </c>
      <c r="M41" s="3"/>
      <c r="N41" s="3"/>
      <c r="O41" s="3"/>
      <c r="P41" s="3"/>
      <c r="Q41" s="15" t="s">
        <v>82</v>
      </c>
      <c r="R41" s="7">
        <v>45812</v>
      </c>
      <c r="S41" s="7">
        <v>45813</v>
      </c>
      <c r="T41" s="7">
        <v>45813</v>
      </c>
      <c r="U41" s="20">
        <v>1275</v>
      </c>
      <c r="V41" s="11">
        <v>809727</v>
      </c>
      <c r="W41" s="6"/>
      <c r="X41" s="6"/>
      <c r="Y41" s="6"/>
      <c r="Z41" s="6"/>
      <c r="AA41" s="8"/>
      <c r="AB41" s="8"/>
      <c r="AC41" s="6" t="s">
        <v>1364</v>
      </c>
      <c r="AD41" s="6"/>
      <c r="AE41" s="9"/>
    </row>
    <row r="42" spans="1:31" s="10" customFormat="1" ht="31.5" x14ac:dyDescent="0.25">
      <c r="A42" s="3">
        <v>38</v>
      </c>
      <c r="B42" s="18" t="s">
        <v>34</v>
      </c>
      <c r="C42" s="5" t="s">
        <v>1115</v>
      </c>
      <c r="D42" s="4" t="s">
        <v>1116</v>
      </c>
      <c r="E42" s="6" t="s">
        <v>1117</v>
      </c>
      <c r="F42" s="6">
        <v>18</v>
      </c>
      <c r="G42" s="6">
        <v>67.400000000000006</v>
      </c>
      <c r="H42" s="6" t="s">
        <v>55</v>
      </c>
      <c r="I42" s="7">
        <v>45735</v>
      </c>
      <c r="J42" s="3"/>
      <c r="K42" s="3"/>
      <c r="L42" s="3" t="s">
        <v>1</v>
      </c>
      <c r="M42" s="3"/>
      <c r="N42" s="3"/>
      <c r="O42" s="3"/>
      <c r="P42" s="3"/>
      <c r="Q42" s="15" t="s">
        <v>82</v>
      </c>
      <c r="R42" s="7">
        <v>45765</v>
      </c>
      <c r="S42" s="7">
        <v>45768</v>
      </c>
      <c r="T42" s="7">
        <v>45768</v>
      </c>
      <c r="U42" s="6">
        <v>27</v>
      </c>
      <c r="V42" s="11">
        <v>1416978</v>
      </c>
      <c r="W42" s="6"/>
      <c r="X42" s="6"/>
      <c r="Y42" s="6"/>
      <c r="Z42" s="6"/>
      <c r="AA42" s="8"/>
      <c r="AB42" s="8"/>
      <c r="AC42" s="6"/>
      <c r="AD42" s="6"/>
      <c r="AE42" s="9"/>
    </row>
    <row r="43" spans="1:31" s="10" customFormat="1" ht="47.25" x14ac:dyDescent="0.25">
      <c r="A43" s="3">
        <v>39</v>
      </c>
      <c r="B43" s="18" t="s">
        <v>34</v>
      </c>
      <c r="C43" s="5" t="s">
        <v>840</v>
      </c>
      <c r="D43" s="4" t="s">
        <v>841</v>
      </c>
      <c r="E43" s="6">
        <v>25</v>
      </c>
      <c r="F43" s="6">
        <v>27</v>
      </c>
      <c r="G43" s="6">
        <v>211.3</v>
      </c>
      <c r="H43" s="6" t="s">
        <v>75</v>
      </c>
      <c r="I43" s="7">
        <v>45736</v>
      </c>
      <c r="J43" s="3"/>
      <c r="K43" s="3"/>
      <c r="L43" s="3" t="s">
        <v>98</v>
      </c>
      <c r="M43" s="3"/>
      <c r="N43" s="3"/>
      <c r="O43" s="3"/>
      <c r="P43" s="3"/>
      <c r="Q43" s="15" t="s">
        <v>82</v>
      </c>
      <c r="R43" s="7">
        <v>45747</v>
      </c>
      <c r="S43" s="7">
        <v>45749</v>
      </c>
      <c r="T43" s="7">
        <v>45749</v>
      </c>
      <c r="U43" s="6">
        <v>1955</v>
      </c>
      <c r="V43" s="11">
        <v>3107370</v>
      </c>
      <c r="W43" s="6"/>
      <c r="X43" s="6"/>
      <c r="Y43" s="6"/>
      <c r="Z43" s="6"/>
      <c r="AA43" s="8"/>
      <c r="AB43" s="8"/>
      <c r="AC43" s="6" t="s">
        <v>1157</v>
      </c>
      <c r="AD43" s="6"/>
      <c r="AE43" s="9"/>
    </row>
    <row r="44" spans="1:31" s="10" customFormat="1" ht="63" x14ac:dyDescent="0.25">
      <c r="A44" s="3">
        <v>40</v>
      </c>
      <c r="B44" s="18" t="s">
        <v>34</v>
      </c>
      <c r="C44" s="5" t="s">
        <v>1178</v>
      </c>
      <c r="D44" s="4" t="s">
        <v>1179</v>
      </c>
      <c r="E44" s="6">
        <v>7</v>
      </c>
      <c r="F44" s="6">
        <v>39</v>
      </c>
      <c r="G44" s="6">
        <v>300.10000000000002</v>
      </c>
      <c r="H44" s="6" t="s">
        <v>75</v>
      </c>
      <c r="I44" s="7">
        <v>45740</v>
      </c>
      <c r="J44" s="3" t="s">
        <v>153</v>
      </c>
      <c r="K44" s="3"/>
      <c r="L44" s="3"/>
      <c r="M44" s="3"/>
      <c r="N44" s="3"/>
      <c r="O44" s="3"/>
      <c r="P44" s="3"/>
      <c r="Q44" s="15" t="s">
        <v>82</v>
      </c>
      <c r="R44" s="7">
        <v>45743</v>
      </c>
      <c r="S44" s="7">
        <v>45743</v>
      </c>
      <c r="T44" s="7">
        <v>45749</v>
      </c>
      <c r="U44" s="6" t="s">
        <v>1381</v>
      </c>
      <c r="V44" s="11">
        <v>1923102</v>
      </c>
      <c r="W44" s="6"/>
      <c r="X44" s="6"/>
      <c r="Y44" s="6"/>
      <c r="Z44" s="6"/>
      <c r="AA44" s="8" t="s">
        <v>1304</v>
      </c>
      <c r="AB44" s="8" t="s">
        <v>1305</v>
      </c>
      <c r="AC44" s="6"/>
      <c r="AD44" s="6"/>
      <c r="AE44" s="9"/>
    </row>
    <row r="45" spans="1:31" s="10" customFormat="1" ht="16.5" x14ac:dyDescent="0.25">
      <c r="A45" s="3">
        <v>41</v>
      </c>
      <c r="B45" s="18" t="s">
        <v>34</v>
      </c>
      <c r="C45" s="5" t="s">
        <v>1261</v>
      </c>
      <c r="D45" s="4" t="s">
        <v>1262</v>
      </c>
      <c r="E45" s="6">
        <v>44</v>
      </c>
      <c r="F45" s="6">
        <v>293</v>
      </c>
      <c r="G45" s="6">
        <v>514.70000000000005</v>
      </c>
      <c r="H45" s="6" t="s">
        <v>51</v>
      </c>
      <c r="I45" s="7">
        <v>45742</v>
      </c>
      <c r="J45" s="3"/>
      <c r="K45" s="3" t="s">
        <v>62</v>
      </c>
      <c r="L45" s="3"/>
      <c r="M45" s="3"/>
      <c r="N45" s="3"/>
      <c r="O45" s="3"/>
      <c r="P45" s="3"/>
      <c r="Q45" s="15" t="s">
        <v>82</v>
      </c>
      <c r="R45" s="7">
        <v>45771</v>
      </c>
      <c r="S45" s="7">
        <v>45771</v>
      </c>
      <c r="T45" s="7">
        <v>45771</v>
      </c>
      <c r="U45" s="6">
        <v>161</v>
      </c>
      <c r="V45" s="11">
        <v>809727</v>
      </c>
      <c r="W45" s="6"/>
      <c r="X45" s="6"/>
      <c r="Y45" s="6"/>
      <c r="Z45" s="6"/>
      <c r="AA45" s="8" t="s">
        <v>2567</v>
      </c>
      <c r="AB45" s="8" t="s">
        <v>2568</v>
      </c>
      <c r="AC45" s="6"/>
      <c r="AD45" s="6"/>
      <c r="AE45" s="9"/>
    </row>
    <row r="46" spans="1:31" s="10" customFormat="1" ht="16.5" x14ac:dyDescent="0.25">
      <c r="A46" s="3">
        <v>42</v>
      </c>
      <c r="B46" s="18" t="s">
        <v>34</v>
      </c>
      <c r="C46" s="5" t="s">
        <v>1270</v>
      </c>
      <c r="D46" s="4" t="s">
        <v>1281</v>
      </c>
      <c r="E46" s="6">
        <v>32</v>
      </c>
      <c r="F46" s="6">
        <v>25</v>
      </c>
      <c r="G46" s="6">
        <v>596.9</v>
      </c>
      <c r="H46" s="6" t="s">
        <v>75</v>
      </c>
      <c r="I46" s="7"/>
      <c r="J46" s="3" t="s">
        <v>153</v>
      </c>
      <c r="K46" s="3"/>
      <c r="L46" s="3"/>
      <c r="M46" s="3"/>
      <c r="N46" s="3"/>
      <c r="O46" s="3"/>
      <c r="P46" s="3"/>
      <c r="Q46" s="15" t="s">
        <v>82</v>
      </c>
      <c r="R46" s="7">
        <v>45757</v>
      </c>
      <c r="S46" s="7">
        <v>45761</v>
      </c>
      <c r="T46" s="7">
        <v>45761</v>
      </c>
      <c r="U46" s="6">
        <v>2211</v>
      </c>
      <c r="V46" s="11">
        <v>961551</v>
      </c>
      <c r="W46" s="6"/>
      <c r="X46" s="6"/>
      <c r="Y46" s="6"/>
      <c r="Z46" s="6"/>
      <c r="AA46" s="8" t="s">
        <v>1552</v>
      </c>
      <c r="AB46" s="8" t="s">
        <v>1551</v>
      </c>
      <c r="AC46" s="6"/>
      <c r="AD46" s="6"/>
      <c r="AE46" s="9" t="s">
        <v>1285</v>
      </c>
    </row>
    <row r="47" spans="1:31" ht="16.5" x14ac:dyDescent="0.25">
      <c r="A47" s="12"/>
      <c r="B47" s="73" t="s">
        <v>1268</v>
      </c>
      <c r="C47" s="74"/>
      <c r="D47" s="74"/>
      <c r="E47" s="74"/>
      <c r="F47" s="74"/>
      <c r="G47" s="74"/>
      <c r="H47" s="75"/>
      <c r="I47" s="13"/>
      <c r="J47" s="14">
        <f>COUNTIF(J26:J46,"CQ")+COUNTIF(J46,"CN")+COUNTIF(J46,"TK")</f>
        <v>3</v>
      </c>
      <c r="K47" s="14">
        <f>COUNTIF(K26:K46,"CMĐ")</f>
        <v>3</v>
      </c>
      <c r="L47" s="14">
        <f>COUNTIF(L26:L46,"XMDT")+COUNTIF(L26:L46,"Mốc")</f>
        <v>7</v>
      </c>
      <c r="M47" s="14">
        <f>COUNTIF(M26:M46,"THÁn")</f>
        <v>1</v>
      </c>
      <c r="N47" s="14">
        <f>COUNTIF(N27:N46,"TÒA")</f>
        <v>1</v>
      </c>
      <c r="O47" s="14">
        <f>COUNTIF(O40:O46,"Cấp GCN")</f>
        <v>0</v>
      </c>
      <c r="P47" s="14">
        <f>COUNTIF(P26:P46,"SHN")</f>
        <v>4</v>
      </c>
      <c r="Q47" s="15"/>
      <c r="R47" s="13"/>
      <c r="S47" s="15"/>
      <c r="T47" s="15"/>
      <c r="U47" s="16"/>
      <c r="V47" s="11"/>
      <c r="W47" s="17"/>
      <c r="X47" s="2"/>
      <c r="AD47" s="14">
        <f>COUNTIF(AD46,"kt")</f>
        <v>0</v>
      </c>
    </row>
    <row r="48" spans="1:31" s="10" customFormat="1" ht="35.25" customHeight="1" x14ac:dyDescent="0.25">
      <c r="A48" s="3">
        <v>42</v>
      </c>
      <c r="B48" s="18" t="s">
        <v>34</v>
      </c>
      <c r="C48" s="5" t="s">
        <v>1333</v>
      </c>
      <c r="D48" s="4" t="s">
        <v>1334</v>
      </c>
      <c r="E48" s="6">
        <v>12</v>
      </c>
      <c r="F48" s="6">
        <v>470</v>
      </c>
      <c r="G48" s="6">
        <v>150.80000000000001</v>
      </c>
      <c r="H48" s="6" t="s">
        <v>55</v>
      </c>
      <c r="I48" s="7">
        <v>45748</v>
      </c>
      <c r="J48" s="3"/>
      <c r="K48" s="3"/>
      <c r="L48" s="3"/>
      <c r="M48" s="3"/>
      <c r="N48" s="3"/>
      <c r="O48" s="3"/>
      <c r="P48" s="3" t="s">
        <v>52</v>
      </c>
      <c r="Q48" s="15" t="s">
        <v>82</v>
      </c>
      <c r="R48" s="6"/>
      <c r="S48" s="6"/>
      <c r="T48" s="6"/>
      <c r="U48" s="6"/>
      <c r="V48" s="11"/>
      <c r="W48" s="6"/>
      <c r="X48" s="6"/>
      <c r="Y48" s="6"/>
      <c r="Z48" s="6"/>
      <c r="AA48" s="8"/>
      <c r="AB48" s="8"/>
      <c r="AC48" s="6"/>
      <c r="AD48" s="6"/>
      <c r="AE48" s="9" t="s">
        <v>1087</v>
      </c>
    </row>
    <row r="49" spans="1:31" s="10" customFormat="1" ht="31.5" x14ac:dyDescent="0.25">
      <c r="A49" s="3">
        <v>43</v>
      </c>
      <c r="B49" s="18" t="s">
        <v>34</v>
      </c>
      <c r="C49" s="5" t="s">
        <v>1335</v>
      </c>
      <c r="D49" s="4" t="s">
        <v>1334</v>
      </c>
      <c r="E49" s="6">
        <v>12</v>
      </c>
      <c r="F49" s="6">
        <v>432</v>
      </c>
      <c r="G49" s="6">
        <v>76.599999999999994</v>
      </c>
      <c r="H49" s="6" t="s">
        <v>55</v>
      </c>
      <c r="I49" s="7">
        <v>45748</v>
      </c>
      <c r="J49" s="3"/>
      <c r="K49" s="3"/>
      <c r="L49" s="3"/>
      <c r="M49" s="3"/>
      <c r="N49" s="3"/>
      <c r="O49" s="3"/>
      <c r="P49" s="3" t="s">
        <v>52</v>
      </c>
      <c r="Q49" s="15" t="s">
        <v>82</v>
      </c>
      <c r="R49" s="7">
        <v>45770</v>
      </c>
      <c r="S49" s="7">
        <v>45803</v>
      </c>
      <c r="T49" s="7">
        <v>45803</v>
      </c>
      <c r="U49" s="6">
        <v>945</v>
      </c>
      <c r="V49" s="11">
        <v>2125468</v>
      </c>
      <c r="W49" s="6"/>
      <c r="X49" s="6"/>
      <c r="Y49" s="6"/>
      <c r="Z49" s="6"/>
      <c r="AA49" s="8"/>
      <c r="AB49" s="6" t="s">
        <v>2604</v>
      </c>
      <c r="AC49" s="6"/>
      <c r="AD49" s="6"/>
      <c r="AE49" s="9" t="s">
        <v>1087</v>
      </c>
    </row>
    <row r="50" spans="1:31" s="10" customFormat="1" ht="63" x14ac:dyDescent="0.25">
      <c r="A50" s="3">
        <v>44</v>
      </c>
      <c r="B50" s="18" t="s">
        <v>34</v>
      </c>
      <c r="C50" s="5" t="s">
        <v>1356</v>
      </c>
      <c r="D50" s="4" t="s">
        <v>54</v>
      </c>
      <c r="E50" s="6">
        <v>19</v>
      </c>
      <c r="F50" s="6">
        <v>266</v>
      </c>
      <c r="G50" s="6">
        <v>134.5</v>
      </c>
      <c r="H50" s="6" t="s">
        <v>55</v>
      </c>
      <c r="I50" s="7">
        <v>45748</v>
      </c>
      <c r="J50" s="3"/>
      <c r="K50" s="3"/>
      <c r="L50" s="3"/>
      <c r="M50" s="3"/>
      <c r="N50" s="3" t="s">
        <v>56</v>
      </c>
      <c r="O50" s="3"/>
      <c r="P50" s="3"/>
      <c r="Q50" s="15" t="s">
        <v>82</v>
      </c>
      <c r="R50" s="6"/>
      <c r="S50" s="6"/>
      <c r="T50" s="6"/>
      <c r="U50" s="6"/>
      <c r="V50" s="11"/>
      <c r="W50" s="6"/>
      <c r="X50" s="6"/>
      <c r="Y50" s="6"/>
      <c r="Z50" s="6"/>
      <c r="AA50" s="8"/>
      <c r="AB50" s="8"/>
      <c r="AC50" s="6" t="s">
        <v>1357</v>
      </c>
      <c r="AD50" s="6"/>
      <c r="AE50" s="9"/>
    </row>
    <row r="51" spans="1:31" s="10" customFormat="1" ht="63" x14ac:dyDescent="0.25">
      <c r="A51" s="3">
        <v>45</v>
      </c>
      <c r="B51" s="18" t="s">
        <v>34</v>
      </c>
      <c r="C51" s="5" t="s">
        <v>1358</v>
      </c>
      <c r="D51" s="4" t="s">
        <v>54</v>
      </c>
      <c r="E51" s="6">
        <v>21</v>
      </c>
      <c r="F51" s="6">
        <v>15</v>
      </c>
      <c r="G51" s="6">
        <v>113.1</v>
      </c>
      <c r="H51" s="6" t="s">
        <v>75</v>
      </c>
      <c r="I51" s="7">
        <v>45748</v>
      </c>
      <c r="J51" s="3"/>
      <c r="K51" s="3"/>
      <c r="L51" s="3"/>
      <c r="M51" s="3"/>
      <c r="N51" s="3" t="s">
        <v>56</v>
      </c>
      <c r="O51" s="3"/>
      <c r="P51" s="3"/>
      <c r="Q51" s="15" t="s">
        <v>82</v>
      </c>
      <c r="R51" s="6"/>
      <c r="S51" s="6"/>
      <c r="T51" s="6"/>
      <c r="U51" s="6"/>
      <c r="V51" s="11"/>
      <c r="W51" s="6"/>
      <c r="X51" s="6"/>
      <c r="Y51" s="6"/>
      <c r="Z51" s="6"/>
      <c r="AA51" s="8" t="s">
        <v>1452</v>
      </c>
      <c r="AB51" s="8" t="s">
        <v>1449</v>
      </c>
      <c r="AC51" s="6" t="s">
        <v>1359</v>
      </c>
      <c r="AD51" s="6"/>
      <c r="AE51" s="9"/>
    </row>
    <row r="52" spans="1:31" s="10" customFormat="1" ht="78.75" x14ac:dyDescent="0.25">
      <c r="A52" s="3">
        <v>46</v>
      </c>
      <c r="B52" s="18" t="s">
        <v>34</v>
      </c>
      <c r="C52" s="5" t="s">
        <v>1360</v>
      </c>
      <c r="D52" s="4" t="s">
        <v>491</v>
      </c>
      <c r="E52" s="6">
        <v>29</v>
      </c>
      <c r="F52" s="6">
        <v>60</v>
      </c>
      <c r="G52" s="6">
        <v>608.29999999999995</v>
      </c>
      <c r="H52" s="6" t="s">
        <v>75</v>
      </c>
      <c r="I52" s="7">
        <v>45748</v>
      </c>
      <c r="J52" s="3"/>
      <c r="K52" s="3"/>
      <c r="L52" s="3"/>
      <c r="M52" s="3" t="s">
        <v>491</v>
      </c>
      <c r="N52" s="3"/>
      <c r="O52" s="3"/>
      <c r="P52" s="3"/>
      <c r="Q52" s="15" t="s">
        <v>82</v>
      </c>
      <c r="R52" s="6"/>
      <c r="S52" s="6"/>
      <c r="T52" s="6"/>
      <c r="U52" s="6"/>
      <c r="V52" s="11"/>
      <c r="W52" s="6"/>
      <c r="X52" s="6"/>
      <c r="Y52" s="6"/>
      <c r="Z52" s="6"/>
      <c r="AA52" s="8"/>
      <c r="AB52" s="8" t="s">
        <v>1373</v>
      </c>
      <c r="AC52" s="6" t="s">
        <v>1363</v>
      </c>
      <c r="AD52" s="6"/>
      <c r="AE52" s="9"/>
    </row>
    <row r="53" spans="1:31" s="10" customFormat="1" ht="31.5" x14ac:dyDescent="0.25">
      <c r="A53" s="3">
        <v>47</v>
      </c>
      <c r="B53" s="18" t="s">
        <v>34</v>
      </c>
      <c r="C53" s="5" t="s">
        <v>840</v>
      </c>
      <c r="D53" s="4" t="s">
        <v>1375</v>
      </c>
      <c r="E53" s="6">
        <v>25</v>
      </c>
      <c r="F53" s="6">
        <v>27</v>
      </c>
      <c r="G53" s="6">
        <v>211.3</v>
      </c>
      <c r="H53" s="6" t="s">
        <v>75</v>
      </c>
      <c r="I53" s="7">
        <v>45749</v>
      </c>
      <c r="J53" s="3"/>
      <c r="K53" s="3" t="s">
        <v>62</v>
      </c>
      <c r="L53" s="3"/>
      <c r="M53" s="3"/>
      <c r="N53" s="3"/>
      <c r="O53" s="3"/>
      <c r="P53" s="3"/>
      <c r="Q53" s="15" t="s">
        <v>82</v>
      </c>
      <c r="R53" s="7">
        <v>45770</v>
      </c>
      <c r="S53" s="7">
        <v>45771</v>
      </c>
      <c r="T53" s="7">
        <v>45771</v>
      </c>
      <c r="U53" s="6">
        <v>150</v>
      </c>
      <c r="V53" s="11">
        <v>809727</v>
      </c>
      <c r="W53" s="6"/>
      <c r="X53" s="6"/>
      <c r="Y53" s="6"/>
      <c r="Z53" s="6" t="s">
        <v>2567</v>
      </c>
      <c r="AA53" s="8" t="s">
        <v>2569</v>
      </c>
      <c r="AB53" s="8"/>
      <c r="AC53" s="6" t="s">
        <v>1380</v>
      </c>
      <c r="AD53" s="6"/>
      <c r="AE53" s="9"/>
    </row>
    <row r="54" spans="1:31" s="10" customFormat="1" ht="47.25" x14ac:dyDescent="0.25">
      <c r="A54" s="3">
        <v>48</v>
      </c>
      <c r="B54" s="18" t="s">
        <v>34</v>
      </c>
      <c r="C54" s="5" t="s">
        <v>1378</v>
      </c>
      <c r="D54" s="4" t="s">
        <v>1379</v>
      </c>
      <c r="E54" s="6">
        <v>21</v>
      </c>
      <c r="F54" s="6">
        <v>28</v>
      </c>
      <c r="G54" s="6">
        <v>156.30000000000001</v>
      </c>
      <c r="H54" s="6" t="s">
        <v>55</v>
      </c>
      <c r="I54" s="7">
        <v>45749</v>
      </c>
      <c r="J54" s="3"/>
      <c r="K54" s="3"/>
      <c r="L54" s="3" t="s">
        <v>1</v>
      </c>
      <c r="M54" s="3"/>
      <c r="N54" s="3"/>
      <c r="O54" s="3"/>
      <c r="P54" s="3"/>
      <c r="Q54" s="15" t="s">
        <v>82</v>
      </c>
      <c r="R54" s="7">
        <v>45765</v>
      </c>
      <c r="S54" s="7">
        <v>45769</v>
      </c>
      <c r="T54" s="7">
        <v>45773</v>
      </c>
      <c r="U54" s="6">
        <v>228</v>
      </c>
      <c r="V54" s="11">
        <v>961551</v>
      </c>
      <c r="W54" s="6"/>
      <c r="X54" s="6"/>
      <c r="Y54" s="6"/>
      <c r="Z54" s="6"/>
      <c r="AA54" s="8"/>
      <c r="AB54" s="6" t="s">
        <v>1766</v>
      </c>
      <c r="AC54" s="6" t="s">
        <v>1667</v>
      </c>
      <c r="AD54" s="6"/>
      <c r="AE54" s="9"/>
    </row>
    <row r="55" spans="1:31" s="10" customFormat="1" ht="47.25" x14ac:dyDescent="0.25">
      <c r="A55" s="3">
        <v>49</v>
      </c>
      <c r="B55" s="18" t="s">
        <v>34</v>
      </c>
      <c r="C55" s="5" t="s">
        <v>1392</v>
      </c>
      <c r="D55" s="4" t="s">
        <v>1393</v>
      </c>
      <c r="E55" s="6">
        <v>21</v>
      </c>
      <c r="F55" s="6">
        <v>78</v>
      </c>
      <c r="G55" s="6">
        <v>2130</v>
      </c>
      <c r="H55" s="6" t="s">
        <v>51</v>
      </c>
      <c r="I55" s="7">
        <v>45750</v>
      </c>
      <c r="J55" s="3"/>
      <c r="K55" s="3"/>
      <c r="L55" s="3" t="s">
        <v>98</v>
      </c>
      <c r="M55" s="3"/>
      <c r="N55" s="3"/>
      <c r="O55" s="3"/>
      <c r="P55" s="3"/>
      <c r="Q55" s="15" t="s">
        <v>82</v>
      </c>
      <c r="R55" s="7">
        <v>45762</v>
      </c>
      <c r="S55" s="7">
        <v>45770</v>
      </c>
      <c r="T55" s="7">
        <v>45770</v>
      </c>
      <c r="U55" s="6">
        <v>110</v>
      </c>
      <c r="V55" s="11">
        <v>3107370</v>
      </c>
      <c r="W55" s="6"/>
      <c r="X55" s="6"/>
      <c r="Y55" s="6"/>
      <c r="Z55" s="6"/>
      <c r="AA55" s="8"/>
      <c r="AB55" s="8"/>
      <c r="AC55" s="6" t="s">
        <v>1394</v>
      </c>
      <c r="AD55" s="6"/>
      <c r="AE55" s="9"/>
    </row>
    <row r="56" spans="1:31" s="10" customFormat="1" ht="47.25" x14ac:dyDescent="0.25">
      <c r="A56" s="3">
        <v>50</v>
      </c>
      <c r="B56" s="18" t="s">
        <v>34</v>
      </c>
      <c r="C56" s="5" t="s">
        <v>1412</v>
      </c>
      <c r="D56" s="4" t="s">
        <v>1413</v>
      </c>
      <c r="E56" s="6">
        <v>15</v>
      </c>
      <c r="F56" s="6">
        <v>401</v>
      </c>
      <c r="G56" s="6">
        <v>66.2</v>
      </c>
      <c r="H56" s="6" t="s">
        <v>55</v>
      </c>
      <c r="I56" s="7">
        <v>45749</v>
      </c>
      <c r="J56" s="3"/>
      <c r="K56" s="3"/>
      <c r="L56" s="3"/>
      <c r="M56" s="3"/>
      <c r="N56" s="3"/>
      <c r="O56" s="3"/>
      <c r="P56" s="3" t="s">
        <v>52</v>
      </c>
      <c r="Q56" s="15" t="s">
        <v>82</v>
      </c>
      <c r="R56" s="6"/>
      <c r="S56" s="6"/>
      <c r="T56" s="6"/>
      <c r="U56" s="6"/>
      <c r="V56" s="11"/>
      <c r="W56" s="6"/>
      <c r="X56" s="6"/>
      <c r="Y56" s="6"/>
      <c r="Z56" s="6"/>
      <c r="AA56" s="8"/>
      <c r="AB56" s="8" t="s">
        <v>1507</v>
      </c>
      <c r="AC56" s="6"/>
      <c r="AD56" s="6"/>
      <c r="AE56" s="9"/>
    </row>
    <row r="57" spans="1:31" s="10" customFormat="1" ht="47.25" x14ac:dyDescent="0.25">
      <c r="A57" s="3">
        <v>51</v>
      </c>
      <c r="B57" s="18" t="s">
        <v>34</v>
      </c>
      <c r="C57" s="5" t="s">
        <v>1417</v>
      </c>
      <c r="D57" s="4" t="s">
        <v>107</v>
      </c>
      <c r="E57" s="6">
        <v>14</v>
      </c>
      <c r="F57" s="6">
        <v>187</v>
      </c>
      <c r="G57" s="6">
        <v>101.5</v>
      </c>
      <c r="H57" s="6" t="s">
        <v>55</v>
      </c>
      <c r="I57" s="7" t="s">
        <v>1659</v>
      </c>
      <c r="J57" s="3"/>
      <c r="K57" s="3"/>
      <c r="L57" s="3"/>
      <c r="M57" s="3"/>
      <c r="N57" s="3"/>
      <c r="O57" s="3" t="s">
        <v>81</v>
      </c>
      <c r="P57" s="3"/>
      <c r="Q57" s="15" t="s">
        <v>82</v>
      </c>
      <c r="R57" s="7">
        <v>45811</v>
      </c>
      <c r="S57" s="7">
        <v>45812</v>
      </c>
      <c r="T57" s="7">
        <v>45812</v>
      </c>
      <c r="U57" s="20">
        <v>1234</v>
      </c>
      <c r="V57" s="11">
        <v>961551</v>
      </c>
      <c r="W57" s="6"/>
      <c r="X57" s="6"/>
      <c r="Y57" s="6"/>
      <c r="Z57" s="6"/>
      <c r="AA57" s="8"/>
      <c r="AB57" s="8" t="s">
        <v>1567</v>
      </c>
      <c r="AC57" s="6"/>
      <c r="AD57" s="6"/>
      <c r="AE57" s="9"/>
    </row>
    <row r="58" spans="1:31" s="10" customFormat="1" ht="78.75" x14ac:dyDescent="0.25">
      <c r="A58" s="3">
        <v>52</v>
      </c>
      <c r="B58" s="18" t="s">
        <v>34</v>
      </c>
      <c r="C58" s="5" t="s">
        <v>1427</v>
      </c>
      <c r="D58" s="4" t="s">
        <v>54</v>
      </c>
      <c r="E58" s="6">
        <v>14</v>
      </c>
      <c r="F58" s="6">
        <v>146</v>
      </c>
      <c r="G58" s="6">
        <v>150.80000000000001</v>
      </c>
      <c r="H58" s="6" t="s">
        <v>55</v>
      </c>
      <c r="I58" s="7">
        <v>45751</v>
      </c>
      <c r="J58" s="3"/>
      <c r="K58" s="3"/>
      <c r="L58" s="3"/>
      <c r="M58" s="3"/>
      <c r="N58" s="3" t="s">
        <v>56</v>
      </c>
      <c r="O58" s="3"/>
      <c r="P58" s="3"/>
      <c r="Q58" s="15" t="s">
        <v>82</v>
      </c>
      <c r="R58" s="6"/>
      <c r="S58" s="6"/>
      <c r="T58" s="6"/>
      <c r="U58" s="6"/>
      <c r="V58" s="11"/>
      <c r="W58" s="6"/>
      <c r="X58" s="6"/>
      <c r="Y58" s="6"/>
      <c r="Z58" s="6"/>
      <c r="AA58" s="8"/>
      <c r="AB58" s="8" t="s">
        <v>1567</v>
      </c>
      <c r="AC58" s="6" t="s">
        <v>1428</v>
      </c>
      <c r="AD58" s="6"/>
      <c r="AE58" s="9"/>
    </row>
    <row r="59" spans="1:31" s="10" customFormat="1" ht="47.25" x14ac:dyDescent="0.25">
      <c r="A59" s="3">
        <v>53</v>
      </c>
      <c r="B59" s="18" t="s">
        <v>34</v>
      </c>
      <c r="C59" s="5" t="s">
        <v>1429</v>
      </c>
      <c r="D59" s="4" t="s">
        <v>491</v>
      </c>
      <c r="E59" s="6">
        <v>19</v>
      </c>
      <c r="F59" s="6">
        <v>75</v>
      </c>
      <c r="G59" s="6">
        <v>55.2</v>
      </c>
      <c r="H59" s="6" t="s">
        <v>55</v>
      </c>
      <c r="I59" s="7">
        <v>45751</v>
      </c>
      <c r="J59" s="3"/>
      <c r="K59" s="3"/>
      <c r="L59" s="3"/>
      <c r="M59" s="3" t="s">
        <v>491</v>
      </c>
      <c r="N59" s="3"/>
      <c r="O59" s="3"/>
      <c r="P59" s="3"/>
      <c r="Q59" s="15" t="s">
        <v>82</v>
      </c>
      <c r="R59" s="6"/>
      <c r="S59" s="6"/>
      <c r="T59" s="6"/>
      <c r="U59" s="6"/>
      <c r="V59" s="11"/>
      <c r="W59" s="6"/>
      <c r="X59" s="6"/>
      <c r="Y59" s="6"/>
      <c r="Z59" s="6"/>
      <c r="AA59" s="8"/>
      <c r="AB59" s="8"/>
      <c r="AC59" s="6" t="s">
        <v>1430</v>
      </c>
      <c r="AD59" s="6"/>
      <c r="AE59" s="9"/>
    </row>
    <row r="60" spans="1:31" s="10" customFormat="1" ht="31.5" x14ac:dyDescent="0.25">
      <c r="A60" s="3">
        <v>54</v>
      </c>
      <c r="B60" s="18" t="s">
        <v>34</v>
      </c>
      <c r="C60" s="5" t="s">
        <v>389</v>
      </c>
      <c r="D60" s="4" t="s">
        <v>271</v>
      </c>
      <c r="E60" s="6">
        <v>16</v>
      </c>
      <c r="F60" s="6">
        <v>36</v>
      </c>
      <c r="G60" s="6">
        <v>71.5</v>
      </c>
      <c r="H60" s="6" t="s">
        <v>55</v>
      </c>
      <c r="I60" s="7">
        <v>45755</v>
      </c>
      <c r="J60" s="3"/>
      <c r="K60" s="3"/>
      <c r="L60" s="3"/>
      <c r="M60" s="3"/>
      <c r="N60" s="3"/>
      <c r="O60" s="3"/>
      <c r="P60" s="3" t="s">
        <v>52</v>
      </c>
      <c r="Q60" s="15" t="s">
        <v>82</v>
      </c>
      <c r="R60" s="7">
        <v>45758</v>
      </c>
      <c r="S60" s="7">
        <v>45761</v>
      </c>
      <c r="T60" s="7">
        <v>45761</v>
      </c>
      <c r="U60" s="6">
        <v>2245</v>
      </c>
      <c r="V60" s="11">
        <v>2125468</v>
      </c>
      <c r="W60" s="6"/>
      <c r="X60" s="6"/>
      <c r="Y60" s="6"/>
      <c r="Z60" s="6"/>
      <c r="AA60" s="8"/>
      <c r="AB60" s="8"/>
      <c r="AC60" s="6" t="s">
        <v>1562</v>
      </c>
      <c r="AD60" s="6"/>
      <c r="AE60" s="9" t="s">
        <v>1284</v>
      </c>
    </row>
    <row r="61" spans="1:31" ht="16.5" x14ac:dyDescent="0.25">
      <c r="A61" s="12"/>
      <c r="B61" s="73" t="s">
        <v>1478</v>
      </c>
      <c r="C61" s="74"/>
      <c r="D61" s="74"/>
      <c r="E61" s="74"/>
      <c r="F61" s="74"/>
      <c r="G61" s="74"/>
      <c r="H61" s="75"/>
      <c r="I61" s="13"/>
      <c r="J61" s="14">
        <f>COUNTIF(J48:J60,"CQ")+COUNTIF(J48:J60,"CN")+COUNTIF(J48:J60,"TK")</f>
        <v>0</v>
      </c>
      <c r="K61" s="14">
        <f>COUNTIF(K48:K60,"CMĐ")</f>
        <v>1</v>
      </c>
      <c r="L61" s="14">
        <f>COUNTIF(L48:L60,"XMDT")+COUNTIF(L48:L60,"Mốc")</f>
        <v>2</v>
      </c>
      <c r="M61" s="14">
        <f>COUNTIF(M48:M60,"THÁn")</f>
        <v>2</v>
      </c>
      <c r="N61" s="14">
        <f>COUNTIF(N48:N60,"TÒA")</f>
        <v>3</v>
      </c>
      <c r="O61" s="14">
        <f>COUNTIF(O48:O60,"Cấp GCN")</f>
        <v>1</v>
      </c>
      <c r="P61" s="14">
        <f>COUNTIF(P48:P60,"SHN")</f>
        <v>4</v>
      </c>
      <c r="Q61" s="15"/>
      <c r="R61" s="13"/>
      <c r="S61" s="15"/>
      <c r="T61" s="15"/>
      <c r="U61" s="16"/>
      <c r="V61" s="11"/>
      <c r="W61" s="17"/>
      <c r="X61" s="2"/>
      <c r="AD61" s="14">
        <f>COUNTIF(AD60,"kt")</f>
        <v>0</v>
      </c>
    </row>
    <row r="62" spans="1:31" s="10" customFormat="1" ht="31.5" x14ac:dyDescent="0.25">
      <c r="A62" s="3">
        <v>55</v>
      </c>
      <c r="B62" s="18" t="s">
        <v>34</v>
      </c>
      <c r="C62" s="5" t="s">
        <v>1487</v>
      </c>
      <c r="D62" s="4" t="s">
        <v>1488</v>
      </c>
      <c r="E62" s="6">
        <v>29</v>
      </c>
      <c r="F62" s="6">
        <v>41</v>
      </c>
      <c r="G62" s="6">
        <v>562.79999999999995</v>
      </c>
      <c r="H62" s="6" t="s">
        <v>51</v>
      </c>
      <c r="I62" s="7">
        <v>45756</v>
      </c>
      <c r="J62" s="3"/>
      <c r="K62" s="3" t="s">
        <v>62</v>
      </c>
      <c r="L62" s="3"/>
      <c r="M62" s="3"/>
      <c r="N62" s="3"/>
      <c r="O62" s="3"/>
      <c r="P62" s="3"/>
      <c r="Q62" s="15" t="s">
        <v>82</v>
      </c>
      <c r="R62" s="7">
        <v>45786</v>
      </c>
      <c r="S62" s="7">
        <v>45786</v>
      </c>
      <c r="T62" s="7">
        <v>45786</v>
      </c>
      <c r="U62" s="6">
        <v>486</v>
      </c>
      <c r="V62" s="11">
        <v>961551</v>
      </c>
      <c r="W62" s="6"/>
      <c r="X62" s="6"/>
      <c r="Y62" s="6"/>
      <c r="Z62" s="6"/>
      <c r="AA62" s="8"/>
      <c r="AB62" s="8"/>
      <c r="AC62" s="6" t="s">
        <v>1489</v>
      </c>
      <c r="AD62" s="6"/>
      <c r="AE62" s="9"/>
    </row>
    <row r="63" spans="1:31" ht="16.5" x14ac:dyDescent="0.25">
      <c r="A63" s="12"/>
      <c r="B63" s="73" t="s">
        <v>1543</v>
      </c>
      <c r="C63" s="74"/>
      <c r="D63" s="74"/>
      <c r="E63" s="74"/>
      <c r="F63" s="74"/>
      <c r="G63" s="74"/>
      <c r="H63" s="75"/>
      <c r="I63" s="13"/>
      <c r="J63" s="14">
        <f>COUNTIF(J50:J62,"CQ")+COUNTIF(J50:J62,"CN")+COUNTIF(J50:J62,"TK")</f>
        <v>0</v>
      </c>
      <c r="K63" s="14">
        <f>COUNTIF(K62,"CMĐ")</f>
        <v>1</v>
      </c>
      <c r="L63" s="14">
        <f>COUNTIF(L62,"XMDT")+COUNTIF(L62,"Mốc")</f>
        <v>0</v>
      </c>
      <c r="M63" s="14">
        <f>COUNTIF(M62,"THÁn")</f>
        <v>0</v>
      </c>
      <c r="N63" s="14">
        <f>COUNTIF(N62,"TÒA")</f>
        <v>0</v>
      </c>
      <c r="O63" s="14">
        <f>COUNTIF(O62,"Cấp GCN")</f>
        <v>0</v>
      </c>
      <c r="P63" s="14">
        <f>COUNTIF(P62,"SHN")</f>
        <v>0</v>
      </c>
      <c r="Q63" s="15"/>
      <c r="R63" s="13"/>
      <c r="S63" s="15"/>
      <c r="T63" s="15"/>
      <c r="U63" s="16"/>
      <c r="V63" s="11"/>
      <c r="W63" s="17"/>
      <c r="X63" s="2"/>
      <c r="AD63" s="14">
        <f>COUNTIF(AD62,"kt")</f>
        <v>0</v>
      </c>
    </row>
    <row r="64" spans="1:31" s="10" customFormat="1" ht="78.75" x14ac:dyDescent="0.25">
      <c r="A64" s="3">
        <v>56</v>
      </c>
      <c r="B64" s="18" t="s">
        <v>34</v>
      </c>
      <c r="C64" s="5" t="s">
        <v>1574</v>
      </c>
      <c r="D64" s="4" t="s">
        <v>54</v>
      </c>
      <c r="E64" s="6">
        <v>22</v>
      </c>
      <c r="F64" s="6" t="s">
        <v>1575</v>
      </c>
      <c r="G64" s="6">
        <v>84.8</v>
      </c>
      <c r="H64" s="6" t="s">
        <v>55</v>
      </c>
      <c r="I64" s="7">
        <v>45762</v>
      </c>
      <c r="J64" s="3"/>
      <c r="K64" s="3"/>
      <c r="L64" s="3"/>
      <c r="M64" s="3"/>
      <c r="N64" s="3" t="s">
        <v>56</v>
      </c>
      <c r="O64" s="3"/>
      <c r="P64" s="3"/>
      <c r="Q64" s="15" t="s">
        <v>82</v>
      </c>
      <c r="R64" s="6"/>
      <c r="S64" s="6"/>
      <c r="T64" s="6"/>
      <c r="U64" s="6"/>
      <c r="V64" s="11"/>
      <c r="W64" s="6"/>
      <c r="X64" s="6"/>
      <c r="Y64" s="6"/>
      <c r="Z64" s="6"/>
      <c r="AA64" s="8"/>
      <c r="AB64" s="8"/>
      <c r="AC64" s="6" t="s">
        <v>1576</v>
      </c>
      <c r="AD64" s="6"/>
      <c r="AE64" s="9"/>
    </row>
    <row r="65" spans="1:31" s="10" customFormat="1" ht="31.5" x14ac:dyDescent="0.25">
      <c r="A65" s="3">
        <v>57</v>
      </c>
      <c r="B65" s="18" t="s">
        <v>34</v>
      </c>
      <c r="C65" s="5" t="s">
        <v>1600</v>
      </c>
      <c r="D65" s="4" t="s">
        <v>1601</v>
      </c>
      <c r="E65" s="6">
        <v>17</v>
      </c>
      <c r="F65" s="6">
        <v>102</v>
      </c>
      <c r="G65" s="6">
        <v>162.6</v>
      </c>
      <c r="H65" s="6" t="s">
        <v>55</v>
      </c>
      <c r="I65" s="7">
        <v>45763</v>
      </c>
      <c r="J65" s="3"/>
      <c r="K65" s="3"/>
      <c r="L65" s="3"/>
      <c r="M65" s="3"/>
      <c r="N65" s="3"/>
      <c r="O65" s="3"/>
      <c r="P65" s="3" t="s">
        <v>52</v>
      </c>
      <c r="Q65" s="15" t="s">
        <v>82</v>
      </c>
      <c r="R65" s="6"/>
      <c r="S65" s="6"/>
      <c r="T65" s="6"/>
      <c r="U65" s="6"/>
      <c r="V65" s="11"/>
      <c r="W65" s="6"/>
      <c r="X65" s="6"/>
      <c r="Y65" s="6"/>
      <c r="Z65" s="6"/>
      <c r="AA65" s="8"/>
      <c r="AB65" s="8"/>
      <c r="AC65" s="6"/>
      <c r="AD65" s="6"/>
      <c r="AE65" s="9"/>
    </row>
    <row r="66" spans="1:31" s="10" customFormat="1" ht="31.5" x14ac:dyDescent="0.25">
      <c r="A66" s="3">
        <v>58</v>
      </c>
      <c r="B66" s="18" t="s">
        <v>34</v>
      </c>
      <c r="C66" s="5" t="s">
        <v>1655</v>
      </c>
      <c r="D66" s="4"/>
      <c r="E66" s="6">
        <v>26</v>
      </c>
      <c r="F66" s="6">
        <v>140</v>
      </c>
      <c r="G66" s="6">
        <v>60.4</v>
      </c>
      <c r="H66" s="6" t="s">
        <v>55</v>
      </c>
      <c r="I66" s="7">
        <v>45765</v>
      </c>
      <c r="J66" s="3"/>
      <c r="K66" s="3"/>
      <c r="L66" s="3"/>
      <c r="M66" s="3"/>
      <c r="N66" s="3"/>
      <c r="O66" s="3"/>
      <c r="P66" s="3" t="s">
        <v>52</v>
      </c>
      <c r="Q66" s="15" t="s">
        <v>82</v>
      </c>
      <c r="R66" s="7">
        <v>45791</v>
      </c>
      <c r="S66" s="7">
        <v>45793</v>
      </c>
      <c r="T66" s="7">
        <v>45793</v>
      </c>
      <c r="U66" s="6">
        <v>669</v>
      </c>
      <c r="V66" s="11">
        <v>2125468</v>
      </c>
      <c r="W66" s="6"/>
      <c r="X66" s="6"/>
      <c r="Y66" s="6"/>
      <c r="Z66" s="6"/>
      <c r="AA66" s="8"/>
      <c r="AB66" s="8"/>
      <c r="AC66" s="6" t="s">
        <v>2318</v>
      </c>
      <c r="AD66" s="6"/>
      <c r="AE66" s="9" t="s">
        <v>361</v>
      </c>
    </row>
    <row r="67" spans="1:31" ht="16.5" x14ac:dyDescent="0.25">
      <c r="A67" s="12"/>
      <c r="B67" s="73" t="s">
        <v>1656</v>
      </c>
      <c r="C67" s="74"/>
      <c r="D67" s="74"/>
      <c r="E67" s="74"/>
      <c r="F67" s="74"/>
      <c r="G67" s="74"/>
      <c r="H67" s="75"/>
      <c r="I67" s="13"/>
      <c r="J67" s="14">
        <f>COUNTIF(J54:J66,"CQ")+COUNTIF(J54:J66,"CN")+COUNTIF(J54:J66,"TK")</f>
        <v>0</v>
      </c>
      <c r="K67" s="14">
        <f>COUNTIF(K66,"CMĐ")</f>
        <v>0</v>
      </c>
      <c r="L67" s="14">
        <f>COUNTIF(L66,"XMDT")+COUNTIF(L66,"Mốc")</f>
        <v>0</v>
      </c>
      <c r="M67" s="14">
        <f>COUNTIF(M66,"THÁn")</f>
        <v>0</v>
      </c>
      <c r="N67" s="14">
        <f>COUNTIF(N64:N66,"TÒA")</f>
        <v>1</v>
      </c>
      <c r="O67" s="14">
        <f>COUNTIF(O66,"Cấp GCN")</f>
        <v>0</v>
      </c>
      <c r="P67" s="14">
        <f>COUNTIF(P64:P66,"SHN")</f>
        <v>2</v>
      </c>
      <c r="Q67" s="15"/>
      <c r="R67" s="13"/>
      <c r="S67" s="15"/>
      <c r="T67" s="15"/>
      <c r="U67" s="16"/>
      <c r="V67" s="11"/>
      <c r="W67" s="17"/>
      <c r="X67" s="2"/>
      <c r="AD67" s="14">
        <f>COUNTIF(AD66,"kt")</f>
        <v>0</v>
      </c>
    </row>
    <row r="68" spans="1:31" s="10" customFormat="1" ht="16.5" x14ac:dyDescent="0.25">
      <c r="A68" s="3">
        <v>59</v>
      </c>
      <c r="B68" s="18" t="s">
        <v>34</v>
      </c>
      <c r="C68" s="5" t="s">
        <v>1706</v>
      </c>
      <c r="D68" s="4" t="s">
        <v>1709</v>
      </c>
      <c r="E68" s="6">
        <v>21</v>
      </c>
      <c r="F68" s="6">
        <v>110</v>
      </c>
      <c r="G68" s="6">
        <v>427.7</v>
      </c>
      <c r="H68" s="6" t="s">
        <v>51</v>
      </c>
      <c r="I68" s="7">
        <v>45770</v>
      </c>
      <c r="J68" s="3"/>
      <c r="K68" s="3" t="s">
        <v>62</v>
      </c>
      <c r="L68" s="3"/>
      <c r="M68" s="3"/>
      <c r="N68" s="3"/>
      <c r="O68" s="3"/>
      <c r="P68" s="3"/>
      <c r="Q68" s="15" t="s">
        <v>82</v>
      </c>
      <c r="R68" s="6"/>
      <c r="S68" s="6"/>
      <c r="T68" s="6"/>
      <c r="U68" s="6"/>
      <c r="V68" s="11"/>
      <c r="W68" s="6"/>
      <c r="X68" s="6"/>
      <c r="Y68" s="6"/>
      <c r="Z68" s="6"/>
      <c r="AA68" s="8"/>
      <c r="AB68" s="8"/>
      <c r="AC68" s="6"/>
      <c r="AD68" s="6"/>
      <c r="AE68" s="9"/>
    </row>
    <row r="69" spans="1:31" s="10" customFormat="1" ht="47.25" x14ac:dyDescent="0.25">
      <c r="A69" s="3">
        <v>60</v>
      </c>
      <c r="B69" s="18" t="s">
        <v>34</v>
      </c>
      <c r="C69" s="5" t="s">
        <v>1718</v>
      </c>
      <c r="D69" s="4" t="s">
        <v>1719</v>
      </c>
      <c r="E69" s="6">
        <v>14</v>
      </c>
      <c r="F69" s="6">
        <v>33</v>
      </c>
      <c r="G69" s="6">
        <v>141</v>
      </c>
      <c r="H69" s="6" t="s">
        <v>55</v>
      </c>
      <c r="I69" s="7">
        <v>45770</v>
      </c>
      <c r="J69" s="3"/>
      <c r="K69" s="3"/>
      <c r="L69" s="3" t="s">
        <v>1</v>
      </c>
      <c r="M69" s="3"/>
      <c r="N69" s="3"/>
      <c r="O69" s="3"/>
      <c r="P69" s="3"/>
      <c r="Q69" s="15" t="s">
        <v>82</v>
      </c>
      <c r="R69" s="7">
        <v>45812</v>
      </c>
      <c r="S69" s="7">
        <v>45813</v>
      </c>
      <c r="T69" s="7">
        <v>45813</v>
      </c>
      <c r="U69" s="20">
        <v>1290</v>
      </c>
      <c r="V69" s="11">
        <v>961551</v>
      </c>
      <c r="W69" s="6"/>
      <c r="X69" s="6"/>
      <c r="Y69" s="6"/>
      <c r="Z69" s="6"/>
      <c r="AA69" s="8"/>
      <c r="AB69" s="8"/>
      <c r="AC69" s="6"/>
      <c r="AD69" s="6"/>
      <c r="AE69" s="9"/>
    </row>
    <row r="70" spans="1:31" s="10" customFormat="1" ht="16.5" x14ac:dyDescent="0.25">
      <c r="A70" s="3">
        <v>61</v>
      </c>
      <c r="B70" s="18" t="s">
        <v>34</v>
      </c>
      <c r="C70" s="5" t="s">
        <v>1722</v>
      </c>
      <c r="D70" s="4"/>
      <c r="E70" s="6">
        <v>7</v>
      </c>
      <c r="F70" s="6">
        <v>108</v>
      </c>
      <c r="G70" s="6">
        <v>166.5</v>
      </c>
      <c r="H70" s="6" t="s">
        <v>75</v>
      </c>
      <c r="I70" s="7">
        <v>45770</v>
      </c>
      <c r="J70" s="3" t="s">
        <v>153</v>
      </c>
      <c r="K70" s="3"/>
      <c r="L70" s="3"/>
      <c r="M70" s="3"/>
      <c r="N70" s="3"/>
      <c r="O70" s="3"/>
      <c r="P70" s="3"/>
      <c r="Q70" s="15" t="s">
        <v>82</v>
      </c>
      <c r="R70" s="7">
        <v>45775</v>
      </c>
      <c r="S70" s="7">
        <v>45775</v>
      </c>
      <c r="T70" s="7">
        <v>45775</v>
      </c>
      <c r="U70" s="6">
        <v>259</v>
      </c>
      <c r="V70" s="11">
        <v>2125468</v>
      </c>
      <c r="W70" s="6"/>
      <c r="X70" s="6"/>
      <c r="Y70" s="6"/>
      <c r="Z70" s="6"/>
      <c r="AA70" s="8" t="s">
        <v>1860</v>
      </c>
      <c r="AB70" s="8" t="s">
        <v>1852</v>
      </c>
      <c r="AC70" s="6"/>
      <c r="AD70" s="6"/>
      <c r="AE70" s="9"/>
    </row>
    <row r="71" spans="1:31" s="10" customFormat="1" ht="16.5" x14ac:dyDescent="0.25">
      <c r="A71" s="3">
        <v>62</v>
      </c>
      <c r="B71" s="18" t="s">
        <v>34</v>
      </c>
      <c r="C71" s="5" t="s">
        <v>364</v>
      </c>
      <c r="D71" s="4"/>
      <c r="E71" s="6">
        <v>7</v>
      </c>
      <c r="F71" s="6">
        <v>107</v>
      </c>
      <c r="G71" s="6">
        <v>133.6</v>
      </c>
      <c r="H71" s="6" t="s">
        <v>75</v>
      </c>
      <c r="I71" s="7">
        <v>45770</v>
      </c>
      <c r="J71" s="3"/>
      <c r="K71" s="3" t="s">
        <v>62</v>
      </c>
      <c r="L71" s="3"/>
      <c r="M71" s="3"/>
      <c r="N71" s="3"/>
      <c r="O71" s="3"/>
      <c r="P71" s="3"/>
      <c r="Q71" s="15" t="s">
        <v>82</v>
      </c>
      <c r="R71" s="7">
        <v>45775</v>
      </c>
      <c r="S71" s="7">
        <v>45775</v>
      </c>
      <c r="T71" s="7">
        <v>45775</v>
      </c>
      <c r="U71" s="6">
        <v>260</v>
      </c>
      <c r="V71" s="11">
        <v>809727</v>
      </c>
      <c r="W71" s="6"/>
      <c r="X71" s="6"/>
      <c r="Y71" s="6"/>
      <c r="Z71" s="6"/>
      <c r="AA71" s="8" t="s">
        <v>2379</v>
      </c>
      <c r="AB71" s="8" t="s">
        <v>2380</v>
      </c>
      <c r="AC71" s="6"/>
      <c r="AD71" s="6"/>
      <c r="AE71" s="9"/>
    </row>
    <row r="72" spans="1:31" ht="16.5" x14ac:dyDescent="0.25">
      <c r="A72" s="12"/>
      <c r="B72" s="73" t="s">
        <v>1726</v>
      </c>
      <c r="C72" s="74"/>
      <c r="D72" s="74"/>
      <c r="E72" s="74"/>
      <c r="F72" s="74"/>
      <c r="G72" s="74"/>
      <c r="H72" s="75"/>
      <c r="I72" s="13"/>
      <c r="J72" s="14">
        <f>COUNTIF(J59:J71,"CQ")+COUNTIF(J59:J71,"CN")+COUNTIF(J59:J71,"TK")</f>
        <v>1</v>
      </c>
      <c r="K72" s="14">
        <f>COUNTIF(K71,"CMĐ")</f>
        <v>1</v>
      </c>
      <c r="L72" s="14">
        <f>COUNTIF(L71,"XMDT")+COUNTIF(L71,"Mốc")</f>
        <v>0</v>
      </c>
      <c r="M72" s="14">
        <f>COUNTIF(M71,"THÁn")</f>
        <v>0</v>
      </c>
      <c r="N72" s="14">
        <f>COUNTIF(N69:N71,"TÒA")</f>
        <v>0</v>
      </c>
      <c r="O72" s="14">
        <f>COUNTIF(O71,"Cấp GCN")</f>
        <v>0</v>
      </c>
      <c r="P72" s="14">
        <f>COUNTIF(P69:P71,"SHN")</f>
        <v>0</v>
      </c>
      <c r="Q72" s="15"/>
      <c r="R72" s="13"/>
      <c r="S72" s="15"/>
      <c r="T72" s="15"/>
      <c r="U72" s="16"/>
      <c r="V72" s="11"/>
      <c r="W72" s="17"/>
      <c r="X72" s="2"/>
      <c r="AD72" s="14">
        <f>COUNTIF(AD71,"kt")</f>
        <v>0</v>
      </c>
    </row>
    <row r="73" spans="1:31" s="10" customFormat="1" ht="16.5" x14ac:dyDescent="0.25">
      <c r="A73" s="3">
        <v>63</v>
      </c>
      <c r="B73" s="18" t="s">
        <v>34</v>
      </c>
      <c r="C73" s="5" t="s">
        <v>1758</v>
      </c>
      <c r="D73" s="4"/>
      <c r="E73" s="6">
        <v>19</v>
      </c>
      <c r="F73" s="6">
        <v>565</v>
      </c>
      <c r="G73" s="6">
        <v>622.29999999999995</v>
      </c>
      <c r="H73" s="6" t="s">
        <v>51</v>
      </c>
      <c r="I73" s="7">
        <v>45772</v>
      </c>
      <c r="J73" s="3" t="s">
        <v>153</v>
      </c>
      <c r="K73" s="3"/>
      <c r="L73" s="3"/>
      <c r="M73" s="3"/>
      <c r="N73" s="3"/>
      <c r="O73" s="3"/>
      <c r="P73" s="3"/>
      <c r="Q73" s="15" t="s">
        <v>82</v>
      </c>
      <c r="R73" s="7">
        <v>45799</v>
      </c>
      <c r="S73" s="7">
        <v>45799</v>
      </c>
      <c r="T73" s="7">
        <v>45799</v>
      </c>
      <c r="U73" s="20">
        <v>845</v>
      </c>
      <c r="V73" s="11">
        <v>809727</v>
      </c>
      <c r="W73" s="6"/>
      <c r="X73" s="6"/>
      <c r="Y73" s="6"/>
      <c r="Z73" s="6"/>
      <c r="AA73" s="8" t="s">
        <v>2176</v>
      </c>
      <c r="AB73" s="8" t="s">
        <v>2177</v>
      </c>
      <c r="AC73" s="6"/>
      <c r="AD73" s="6"/>
      <c r="AE73" s="9" t="s">
        <v>1087</v>
      </c>
    </row>
    <row r="74" spans="1:31" ht="16.5" x14ac:dyDescent="0.25">
      <c r="A74" s="12"/>
      <c r="B74" s="73" t="s">
        <v>1782</v>
      </c>
      <c r="C74" s="74"/>
      <c r="D74" s="74"/>
      <c r="E74" s="74"/>
      <c r="F74" s="74"/>
      <c r="G74" s="74"/>
      <c r="H74" s="75"/>
      <c r="I74" s="13"/>
      <c r="J74" s="14">
        <f>COUNTIF(J73,"CQ")+COUNTIF(J61:J73,"CN")+COUNTIF(J61:J73,"TK")</f>
        <v>1</v>
      </c>
      <c r="K74" s="14">
        <f>COUNTIF(K73,"CMĐ")</f>
        <v>0</v>
      </c>
      <c r="L74" s="14">
        <f>COUNTIF(L73,"XMDT")+COUNTIF(L73,"Mốc")</f>
        <v>0</v>
      </c>
      <c r="M74" s="14">
        <f>COUNTIF(M73,"THÁn")</f>
        <v>0</v>
      </c>
      <c r="N74" s="14">
        <f>COUNTIF(N71:N73,"TÒA")</f>
        <v>0</v>
      </c>
      <c r="O74" s="14">
        <f>COUNTIF(O73,"Cấp GCN")</f>
        <v>0</v>
      </c>
      <c r="P74" s="14">
        <f>COUNTIF(P71:P73,"SHN")</f>
        <v>0</v>
      </c>
      <c r="Q74" s="15"/>
      <c r="R74" s="13"/>
      <c r="S74" s="15"/>
      <c r="T74" s="15"/>
      <c r="U74" s="16"/>
      <c r="V74" s="11"/>
      <c r="W74" s="17"/>
      <c r="X74" s="2"/>
      <c r="AD74" s="14">
        <f>COUNTIF(AD73,"kt")</f>
        <v>0</v>
      </c>
    </row>
    <row r="75" spans="1:31" s="10" customFormat="1" ht="16.5" x14ac:dyDescent="0.25">
      <c r="A75" s="3">
        <v>64</v>
      </c>
      <c r="B75" s="18" t="s">
        <v>34</v>
      </c>
      <c r="C75" s="5" t="s">
        <v>1787</v>
      </c>
      <c r="D75" s="4" t="s">
        <v>1788</v>
      </c>
      <c r="E75" s="6">
        <v>8</v>
      </c>
      <c r="F75" s="6">
        <v>15</v>
      </c>
      <c r="G75" s="6">
        <v>71.2</v>
      </c>
      <c r="H75" s="6" t="s">
        <v>55</v>
      </c>
      <c r="I75" s="7">
        <v>45775</v>
      </c>
      <c r="J75" s="3"/>
      <c r="K75" s="3"/>
      <c r="L75" s="3"/>
      <c r="M75" s="3"/>
      <c r="N75" s="3"/>
      <c r="O75" s="3"/>
      <c r="P75" s="3" t="s">
        <v>52</v>
      </c>
      <c r="Q75" s="15" t="s">
        <v>82</v>
      </c>
      <c r="R75" s="6"/>
      <c r="S75" s="6"/>
      <c r="T75" s="6"/>
      <c r="U75" s="6"/>
      <c r="V75" s="11"/>
      <c r="W75" s="6"/>
      <c r="X75" s="6"/>
      <c r="Y75" s="6"/>
      <c r="Z75" s="6"/>
      <c r="AA75" s="8"/>
      <c r="AB75" s="8"/>
      <c r="AC75" s="6"/>
      <c r="AD75" s="6"/>
      <c r="AE75" s="9"/>
    </row>
    <row r="76" spans="1:31" s="10" customFormat="1" ht="63" x14ac:dyDescent="0.25">
      <c r="A76" s="3">
        <v>65</v>
      </c>
      <c r="B76" s="18" t="s">
        <v>34</v>
      </c>
      <c r="C76" s="5" t="s">
        <v>1793</v>
      </c>
      <c r="D76" s="4" t="s">
        <v>618</v>
      </c>
      <c r="E76" s="6">
        <v>9</v>
      </c>
      <c r="F76" s="6">
        <v>427</v>
      </c>
      <c r="G76" s="6">
        <v>1454.9</v>
      </c>
      <c r="H76" s="6" t="s">
        <v>75</v>
      </c>
      <c r="I76" s="7">
        <v>45776</v>
      </c>
      <c r="J76" s="3" t="s">
        <v>823</v>
      </c>
      <c r="K76" s="3"/>
      <c r="L76" s="3"/>
      <c r="M76" s="3"/>
      <c r="N76" s="3"/>
      <c r="O76" s="3"/>
      <c r="P76" s="3"/>
      <c r="Q76" s="15" t="s">
        <v>82</v>
      </c>
      <c r="R76" s="7">
        <v>45825</v>
      </c>
      <c r="S76" s="7">
        <v>45826</v>
      </c>
      <c r="T76" s="7">
        <v>45826</v>
      </c>
      <c r="U76" s="6">
        <v>1634</v>
      </c>
      <c r="V76" s="11">
        <v>1248329</v>
      </c>
      <c r="W76" s="6"/>
      <c r="X76" s="6"/>
      <c r="Y76" s="6"/>
      <c r="Z76" s="6"/>
      <c r="AA76" s="8" t="s">
        <v>2733</v>
      </c>
      <c r="AB76" s="8" t="s">
        <v>2734</v>
      </c>
      <c r="AC76" s="6"/>
      <c r="AD76" s="6"/>
      <c r="AE76" s="9"/>
    </row>
    <row r="77" spans="1:31" s="10" customFormat="1" ht="16.5" x14ac:dyDescent="0.25">
      <c r="A77" s="3">
        <v>66</v>
      </c>
      <c r="B77" s="18" t="s">
        <v>34</v>
      </c>
      <c r="C77" s="5" t="s">
        <v>1886</v>
      </c>
      <c r="D77" s="4" t="s">
        <v>1887</v>
      </c>
      <c r="E77" s="6">
        <v>15</v>
      </c>
      <c r="F77" s="6">
        <v>15</v>
      </c>
      <c r="G77" s="6">
        <v>90.5</v>
      </c>
      <c r="H77" s="6" t="s">
        <v>55</v>
      </c>
      <c r="I77" s="7">
        <v>45784</v>
      </c>
      <c r="J77" s="3"/>
      <c r="K77" s="3"/>
      <c r="L77" s="3"/>
      <c r="M77" s="3"/>
      <c r="N77" s="3"/>
      <c r="O77" s="3"/>
      <c r="P77" s="3" t="s">
        <v>52</v>
      </c>
      <c r="Q77" s="15" t="s">
        <v>82</v>
      </c>
      <c r="R77" s="7">
        <v>45825</v>
      </c>
      <c r="S77" s="6"/>
      <c r="T77" s="6"/>
      <c r="U77" s="6"/>
      <c r="V77" s="11"/>
      <c r="W77" s="6"/>
      <c r="X77" s="6"/>
      <c r="Y77" s="6"/>
      <c r="Z77" s="6"/>
      <c r="AA77" s="8"/>
      <c r="AB77" s="8"/>
      <c r="AC77" s="6"/>
      <c r="AD77" s="6"/>
      <c r="AE77" s="9"/>
    </row>
    <row r="78" spans="1:31" ht="16.5" x14ac:dyDescent="0.25">
      <c r="A78" s="12"/>
      <c r="B78" s="73" t="s">
        <v>1919</v>
      </c>
      <c r="C78" s="74"/>
      <c r="D78" s="74"/>
      <c r="E78" s="74"/>
      <c r="F78" s="74"/>
      <c r="G78" s="74"/>
      <c r="H78" s="75"/>
      <c r="I78" s="13"/>
      <c r="J78" s="14">
        <f>COUNTIF(J75:J77,"IG")+COUNTIF(J65:J77,"CN")+COUNTIF(J65:J77,"TK")</f>
        <v>1</v>
      </c>
      <c r="K78" s="14">
        <f>COUNTIF(K77,"CMĐ")</f>
        <v>0</v>
      </c>
      <c r="L78" s="14">
        <f>COUNTIF(L77,"XMDT")+COUNTIF(L77,"Mốc")</f>
        <v>0</v>
      </c>
      <c r="M78" s="14">
        <f>COUNTIF(M77,"THÁn")</f>
        <v>0</v>
      </c>
      <c r="N78" s="14">
        <f>COUNTIF(N75:N77,"TÒA")</f>
        <v>0</v>
      </c>
      <c r="O78" s="14">
        <f>COUNTIF(O77,"Cấp GCN")</f>
        <v>0</v>
      </c>
      <c r="P78" s="14">
        <f>COUNTIF(P75:P77,"SHN")</f>
        <v>2</v>
      </c>
      <c r="Q78" s="15"/>
      <c r="R78" s="13"/>
      <c r="S78" s="15"/>
      <c r="T78" s="15"/>
      <c r="U78" s="16"/>
      <c r="V78" s="11"/>
      <c r="W78" s="17"/>
      <c r="X78" s="2"/>
      <c r="AD78" s="14">
        <f>COUNTIF(AD77,"kt")</f>
        <v>0</v>
      </c>
    </row>
    <row r="79" spans="1:31" s="10" customFormat="1" ht="16.5" x14ac:dyDescent="0.25">
      <c r="A79" s="3">
        <v>67</v>
      </c>
      <c r="B79" s="18" t="s">
        <v>34</v>
      </c>
      <c r="C79" s="5" t="s">
        <v>1706</v>
      </c>
      <c r="D79" s="4"/>
      <c r="E79" s="4" t="s">
        <v>1920</v>
      </c>
      <c r="F79" s="6">
        <v>110</v>
      </c>
      <c r="G79" s="6">
        <v>405.4</v>
      </c>
      <c r="H79" s="6" t="s">
        <v>51</v>
      </c>
      <c r="I79" s="7">
        <v>45789</v>
      </c>
      <c r="J79" s="3"/>
      <c r="K79" s="3" t="s">
        <v>62</v>
      </c>
      <c r="L79" s="3"/>
      <c r="M79" s="3"/>
      <c r="N79" s="3"/>
      <c r="O79" s="3"/>
      <c r="P79" s="3"/>
      <c r="Q79" s="15" t="s">
        <v>82</v>
      </c>
      <c r="R79" s="7">
        <v>45807</v>
      </c>
      <c r="S79" s="7">
        <v>45807</v>
      </c>
      <c r="T79" s="7">
        <v>45807</v>
      </c>
      <c r="U79" s="20">
        <v>1127</v>
      </c>
      <c r="V79" s="11">
        <v>961551</v>
      </c>
      <c r="W79" s="11"/>
      <c r="X79" s="6"/>
      <c r="Y79" s="6"/>
      <c r="Z79" s="6"/>
      <c r="AA79" s="8" t="s">
        <v>2668</v>
      </c>
      <c r="AB79" s="8" t="s">
        <v>2669</v>
      </c>
      <c r="AC79" s="6"/>
      <c r="AD79" s="6"/>
      <c r="AE79" s="9"/>
    </row>
    <row r="80" spans="1:31" s="10" customFormat="1" ht="31.5" x14ac:dyDescent="0.25">
      <c r="A80" s="3">
        <v>68</v>
      </c>
      <c r="B80" s="18" t="s">
        <v>34</v>
      </c>
      <c r="C80" s="5" t="s">
        <v>1938</v>
      </c>
      <c r="D80" s="4" t="s">
        <v>1939</v>
      </c>
      <c r="E80" s="6">
        <v>19</v>
      </c>
      <c r="F80" s="6">
        <v>556</v>
      </c>
      <c r="G80" s="6">
        <v>400</v>
      </c>
      <c r="H80" s="6" t="s">
        <v>75</v>
      </c>
      <c r="I80" s="7">
        <v>45786</v>
      </c>
      <c r="J80" s="3" t="s">
        <v>153</v>
      </c>
      <c r="K80" s="3"/>
      <c r="L80" s="3"/>
      <c r="M80" s="3"/>
      <c r="N80" s="3"/>
      <c r="O80" s="3"/>
      <c r="P80" s="3"/>
      <c r="Q80" s="15" t="s">
        <v>82</v>
      </c>
      <c r="R80" s="7">
        <v>45790</v>
      </c>
      <c r="S80" s="7">
        <v>45790</v>
      </c>
      <c r="T80" s="7">
        <v>45790</v>
      </c>
      <c r="U80" s="6">
        <v>588</v>
      </c>
      <c r="V80" s="11">
        <v>961551</v>
      </c>
      <c r="W80" s="6"/>
      <c r="X80" s="6"/>
      <c r="Y80" s="6"/>
      <c r="Z80" s="6"/>
      <c r="AA80" s="8" t="s">
        <v>1970</v>
      </c>
      <c r="AB80" s="8" t="s">
        <v>1971</v>
      </c>
      <c r="AC80" s="6" t="s">
        <v>1980</v>
      </c>
      <c r="AD80" s="6"/>
      <c r="AE80" s="9"/>
    </row>
    <row r="81" spans="1:31" s="10" customFormat="1" ht="31.5" x14ac:dyDescent="0.25">
      <c r="A81" s="3">
        <v>69</v>
      </c>
      <c r="B81" s="18" t="s">
        <v>34</v>
      </c>
      <c r="C81" s="5" t="s">
        <v>1955</v>
      </c>
      <c r="D81" s="4" t="s">
        <v>1349</v>
      </c>
      <c r="E81" s="6">
        <v>11</v>
      </c>
      <c r="F81" s="6">
        <v>91</v>
      </c>
      <c r="G81" s="6">
        <v>86.6</v>
      </c>
      <c r="H81" s="6" t="s">
        <v>55</v>
      </c>
      <c r="I81" s="7">
        <v>45786</v>
      </c>
      <c r="J81" s="3"/>
      <c r="K81" s="3"/>
      <c r="L81" s="3"/>
      <c r="M81" s="3"/>
      <c r="N81" s="3"/>
      <c r="O81" s="3"/>
      <c r="P81" s="3" t="s">
        <v>52</v>
      </c>
      <c r="Q81" s="15" t="s">
        <v>82</v>
      </c>
      <c r="R81" s="7">
        <v>45819</v>
      </c>
      <c r="S81" s="7">
        <v>45824</v>
      </c>
      <c r="T81" s="7">
        <v>45824</v>
      </c>
      <c r="U81" s="6">
        <v>1577</v>
      </c>
      <c r="V81" s="11">
        <v>2833958</v>
      </c>
      <c r="W81" s="11"/>
      <c r="X81" s="6"/>
      <c r="Y81" s="6"/>
      <c r="Z81" s="6"/>
      <c r="AA81" s="8"/>
      <c r="AB81" s="8"/>
      <c r="AC81" s="6" t="s">
        <v>2542</v>
      </c>
      <c r="AD81" s="6"/>
      <c r="AE81" s="9"/>
    </row>
    <row r="82" spans="1:31" s="10" customFormat="1" ht="31.5" x14ac:dyDescent="0.25">
      <c r="A82" s="3">
        <v>70</v>
      </c>
      <c r="B82" s="18" t="s">
        <v>34</v>
      </c>
      <c r="C82" s="5" t="s">
        <v>1956</v>
      </c>
      <c r="D82" s="4" t="s">
        <v>618</v>
      </c>
      <c r="E82" s="6">
        <v>7</v>
      </c>
      <c r="F82" s="6">
        <v>20</v>
      </c>
      <c r="G82" s="6">
        <v>36.200000000000003</v>
      </c>
      <c r="H82" s="6" t="s">
        <v>55</v>
      </c>
      <c r="I82" s="7">
        <v>45790</v>
      </c>
      <c r="J82" s="3"/>
      <c r="K82" s="3"/>
      <c r="L82" s="3"/>
      <c r="M82" s="3"/>
      <c r="N82" s="3"/>
      <c r="O82" s="3"/>
      <c r="P82" s="3" t="s">
        <v>52</v>
      </c>
      <c r="Q82" s="15" t="s">
        <v>82</v>
      </c>
      <c r="R82" s="7">
        <v>45799</v>
      </c>
      <c r="S82" s="7">
        <v>45800</v>
      </c>
      <c r="T82" s="7">
        <v>45800</v>
      </c>
      <c r="U82" s="20">
        <v>863</v>
      </c>
      <c r="V82" s="11">
        <v>2125468</v>
      </c>
      <c r="W82" s="6"/>
      <c r="X82" s="6"/>
      <c r="Y82" s="6"/>
      <c r="Z82" s="6"/>
      <c r="AA82" s="8"/>
      <c r="AB82" s="8"/>
      <c r="AC82" s="6" t="s">
        <v>2255</v>
      </c>
      <c r="AD82" s="6"/>
      <c r="AE82" s="9"/>
    </row>
    <row r="83" spans="1:31" s="10" customFormat="1" ht="31.5" x14ac:dyDescent="0.25">
      <c r="A83" s="3">
        <v>71</v>
      </c>
      <c r="B83" s="18" t="s">
        <v>34</v>
      </c>
      <c r="C83" s="5" t="s">
        <v>1957</v>
      </c>
      <c r="D83" s="4" t="s">
        <v>618</v>
      </c>
      <c r="E83" s="6">
        <v>42</v>
      </c>
      <c r="F83" s="6">
        <v>354</v>
      </c>
      <c r="G83" s="6">
        <v>54.1</v>
      </c>
      <c r="H83" s="6" t="s">
        <v>55</v>
      </c>
      <c r="I83" s="7">
        <v>45790</v>
      </c>
      <c r="J83" s="3"/>
      <c r="K83" s="3"/>
      <c r="L83" s="3"/>
      <c r="M83" s="3"/>
      <c r="N83" s="3"/>
      <c r="O83" s="3"/>
      <c r="P83" s="3" t="s">
        <v>52</v>
      </c>
      <c r="Q83" s="15" t="s">
        <v>82</v>
      </c>
      <c r="R83" s="7">
        <v>45825</v>
      </c>
      <c r="S83" s="7">
        <v>45826</v>
      </c>
      <c r="T83" s="7">
        <v>45826</v>
      </c>
      <c r="U83" s="6">
        <v>1633</v>
      </c>
      <c r="V83" s="11">
        <v>3542448</v>
      </c>
      <c r="W83" s="6"/>
      <c r="X83" s="6"/>
      <c r="Y83" s="6"/>
      <c r="Z83" s="6"/>
      <c r="AA83" s="8"/>
      <c r="AB83" s="8"/>
      <c r="AC83" s="6" t="s">
        <v>2623</v>
      </c>
      <c r="AD83" s="6"/>
      <c r="AE83" s="9"/>
    </row>
    <row r="84" spans="1:31" s="10" customFormat="1" ht="63" x14ac:dyDescent="0.25">
      <c r="A84" s="3">
        <v>72</v>
      </c>
      <c r="B84" s="18" t="s">
        <v>34</v>
      </c>
      <c r="C84" s="5" t="s">
        <v>2009</v>
      </c>
      <c r="D84" s="4" t="s">
        <v>2010</v>
      </c>
      <c r="E84" s="6">
        <v>22</v>
      </c>
      <c r="F84" s="6" t="s">
        <v>2011</v>
      </c>
      <c r="G84" s="6" t="s">
        <v>2012</v>
      </c>
      <c r="H84" s="6" t="s">
        <v>55</v>
      </c>
      <c r="I84" s="7">
        <v>45791</v>
      </c>
      <c r="J84" s="3"/>
      <c r="K84" s="3"/>
      <c r="L84" s="3" t="s">
        <v>98</v>
      </c>
      <c r="M84" s="3"/>
      <c r="N84" s="3"/>
      <c r="O84" s="3"/>
      <c r="P84" s="3"/>
      <c r="Q84" s="15" t="s">
        <v>82</v>
      </c>
      <c r="R84" s="7">
        <v>45796</v>
      </c>
      <c r="S84" s="7">
        <v>45804</v>
      </c>
      <c r="T84" s="7">
        <v>45804</v>
      </c>
      <c r="U84" s="6">
        <v>1000</v>
      </c>
      <c r="V84" s="11">
        <v>4470085</v>
      </c>
      <c r="W84" s="6"/>
      <c r="X84" s="6"/>
      <c r="Y84" s="6"/>
      <c r="Z84" s="6"/>
      <c r="AA84" s="8"/>
      <c r="AB84" s="8"/>
      <c r="AC84" s="6" t="s">
        <v>2013</v>
      </c>
      <c r="AD84" s="6"/>
      <c r="AE84" s="9"/>
    </row>
    <row r="85" spans="1:31" s="10" customFormat="1" ht="16.5" x14ac:dyDescent="0.25">
      <c r="A85" s="3">
        <v>73</v>
      </c>
      <c r="B85" s="18" t="s">
        <v>34</v>
      </c>
      <c r="C85" s="5" t="s">
        <v>2021</v>
      </c>
      <c r="D85" s="4"/>
      <c r="E85" s="6">
        <v>5</v>
      </c>
      <c r="F85" s="6">
        <v>72</v>
      </c>
      <c r="G85" s="6">
        <v>133.6</v>
      </c>
      <c r="H85" s="6" t="s">
        <v>55</v>
      </c>
      <c r="I85" s="7">
        <v>45792</v>
      </c>
      <c r="J85" s="3"/>
      <c r="K85" s="3"/>
      <c r="L85" s="3"/>
      <c r="M85" s="3"/>
      <c r="N85" s="3"/>
      <c r="O85" s="3"/>
      <c r="P85" s="3" t="s">
        <v>52</v>
      </c>
      <c r="Q85" s="15" t="s">
        <v>82</v>
      </c>
      <c r="R85" s="7">
        <v>45828</v>
      </c>
      <c r="S85" s="6"/>
      <c r="T85" s="6"/>
      <c r="U85" s="6"/>
      <c r="V85" s="11"/>
      <c r="W85" s="6"/>
      <c r="X85" s="6"/>
      <c r="Y85" s="6"/>
      <c r="Z85" s="6"/>
      <c r="AA85" s="8"/>
      <c r="AB85" s="8"/>
      <c r="AC85" s="6"/>
      <c r="AD85" s="6"/>
      <c r="AE85" s="9" t="s">
        <v>2022</v>
      </c>
    </row>
    <row r="86" spans="1:31" s="10" customFormat="1" ht="31.5" x14ac:dyDescent="0.25">
      <c r="A86" s="3">
        <v>74</v>
      </c>
      <c r="B86" s="18" t="s">
        <v>34</v>
      </c>
      <c r="C86" s="5" t="s">
        <v>478</v>
      </c>
      <c r="D86" s="4" t="s">
        <v>479</v>
      </c>
      <c r="E86" s="6">
        <v>15</v>
      </c>
      <c r="F86" s="6">
        <v>151</v>
      </c>
      <c r="G86" s="6">
        <v>103.5</v>
      </c>
      <c r="H86" s="6" t="s">
        <v>55</v>
      </c>
      <c r="I86" s="7">
        <v>45792</v>
      </c>
      <c r="J86" s="3"/>
      <c r="K86" s="3"/>
      <c r="L86" s="3"/>
      <c r="M86" s="3"/>
      <c r="N86" s="3"/>
      <c r="O86" s="3"/>
      <c r="P86" s="3" t="s">
        <v>52</v>
      </c>
      <c r="Q86" s="15" t="s">
        <v>82</v>
      </c>
      <c r="R86" s="7">
        <v>45819</v>
      </c>
      <c r="S86" s="7">
        <v>45821</v>
      </c>
      <c r="T86" s="7">
        <v>45821</v>
      </c>
      <c r="U86" s="6">
        <v>1521</v>
      </c>
      <c r="V86" s="11">
        <v>2125468</v>
      </c>
      <c r="W86" s="6"/>
      <c r="X86" s="6"/>
      <c r="Y86" s="6"/>
      <c r="Z86" s="6"/>
      <c r="AA86" s="8"/>
      <c r="AB86" s="8"/>
      <c r="AC86" s="6" t="s">
        <v>2526</v>
      </c>
      <c r="AD86" s="6"/>
      <c r="AE86" s="9"/>
    </row>
    <row r="87" spans="1:31" s="10" customFormat="1" ht="16.5" x14ac:dyDescent="0.25">
      <c r="A87" s="3">
        <v>75</v>
      </c>
      <c r="B87" s="18" t="s">
        <v>34</v>
      </c>
      <c r="C87" s="5" t="s">
        <v>2059</v>
      </c>
      <c r="D87" s="4" t="s">
        <v>2060</v>
      </c>
      <c r="E87" s="6">
        <v>32</v>
      </c>
      <c r="F87" s="6">
        <v>762</v>
      </c>
      <c r="G87" s="6">
        <v>416.8</v>
      </c>
      <c r="H87" s="6" t="s">
        <v>75</v>
      </c>
      <c r="I87" s="7">
        <v>45793</v>
      </c>
      <c r="J87" s="3"/>
      <c r="K87" s="3" t="s">
        <v>62</v>
      </c>
      <c r="L87" s="3"/>
      <c r="M87" s="3"/>
      <c r="N87" s="3"/>
      <c r="O87" s="3"/>
      <c r="P87" s="3"/>
      <c r="Q87" s="15" t="s">
        <v>82</v>
      </c>
      <c r="R87" s="7">
        <v>45812</v>
      </c>
      <c r="S87" s="7">
        <v>45821</v>
      </c>
      <c r="T87" s="7">
        <v>45821</v>
      </c>
      <c r="U87" s="6">
        <v>1519</v>
      </c>
      <c r="V87" s="11">
        <v>961551</v>
      </c>
      <c r="W87" s="6"/>
      <c r="X87" s="6"/>
      <c r="Y87" s="6"/>
      <c r="Z87" s="6"/>
      <c r="AA87" s="8"/>
      <c r="AB87" s="8"/>
      <c r="AC87" s="6"/>
      <c r="AD87" s="6"/>
      <c r="AE87" s="9"/>
    </row>
    <row r="88" spans="1:31" s="10" customFormat="1" ht="78.75" x14ac:dyDescent="0.25">
      <c r="A88" s="3">
        <v>76</v>
      </c>
      <c r="B88" s="18" t="s">
        <v>34</v>
      </c>
      <c r="C88" s="5" t="s">
        <v>2062</v>
      </c>
      <c r="D88" s="4" t="s">
        <v>2063</v>
      </c>
      <c r="E88" s="6">
        <v>13</v>
      </c>
      <c r="F88" s="6">
        <v>462</v>
      </c>
      <c r="G88" s="6">
        <v>251.2</v>
      </c>
      <c r="H88" s="6" t="s">
        <v>55</v>
      </c>
      <c r="I88" s="7">
        <v>45793</v>
      </c>
      <c r="J88" s="3"/>
      <c r="K88" s="3"/>
      <c r="L88" s="3"/>
      <c r="M88" s="3"/>
      <c r="N88" s="3"/>
      <c r="O88" s="3"/>
      <c r="P88" s="3" t="s">
        <v>52</v>
      </c>
      <c r="Q88" s="15" t="s">
        <v>82</v>
      </c>
      <c r="R88" s="6"/>
      <c r="S88" s="6"/>
      <c r="T88" s="6"/>
      <c r="U88" s="6"/>
      <c r="V88" s="11"/>
      <c r="W88" s="6"/>
      <c r="X88" s="6"/>
      <c r="Y88" s="6" t="s">
        <v>2156</v>
      </c>
      <c r="Z88" s="6"/>
      <c r="AA88" s="8"/>
      <c r="AB88" s="8" t="s">
        <v>2367</v>
      </c>
      <c r="AC88" s="6" t="s">
        <v>2366</v>
      </c>
      <c r="AD88" s="6"/>
      <c r="AE88" s="9"/>
    </row>
    <row r="89" spans="1:31" ht="16.5" x14ac:dyDescent="0.25">
      <c r="A89" s="12"/>
      <c r="B89" s="73" t="s">
        <v>2099</v>
      </c>
      <c r="C89" s="74"/>
      <c r="D89" s="74"/>
      <c r="E89" s="74"/>
      <c r="F89" s="74"/>
      <c r="G89" s="74"/>
      <c r="H89" s="75"/>
      <c r="I89" s="13"/>
      <c r="J89" s="14">
        <f>COUNTIF(J86:J88,"IG")+COUNTIF(J76:J88,"CN")+COUNTIF(J79:J88,"CQ")</f>
        <v>1</v>
      </c>
      <c r="K89" s="14">
        <f>COUNTIF(K79:K88,"CMĐ")</f>
        <v>2</v>
      </c>
      <c r="L89" s="14">
        <f>COUNTIF(L88,"XMDT")+COUNTIF(L79:L88,"Mốc")</f>
        <v>1</v>
      </c>
      <c r="M89" s="14">
        <f>COUNTIF(M88,"THÁn")</f>
        <v>0</v>
      </c>
      <c r="N89" s="14">
        <f>COUNTIF(N86:N88,"TÒA")</f>
        <v>0</v>
      </c>
      <c r="O89" s="14">
        <f>COUNTIF(O88,"Cấp GCN")</f>
        <v>0</v>
      </c>
      <c r="P89" s="14">
        <f>COUNTIF(P79:P88,"SHN")</f>
        <v>6</v>
      </c>
      <c r="Q89" s="15"/>
      <c r="R89" s="13"/>
      <c r="S89" s="15"/>
      <c r="T89" s="15"/>
      <c r="U89" s="16"/>
      <c r="V89" s="11"/>
      <c r="W89" s="17"/>
      <c r="X89" s="2"/>
      <c r="AD89" s="14">
        <f>COUNTIF(AD88,"kt")</f>
        <v>0</v>
      </c>
    </row>
    <row r="90" spans="1:31" s="10" customFormat="1" ht="63" x14ac:dyDescent="0.25">
      <c r="A90" s="3">
        <v>77</v>
      </c>
      <c r="B90" s="18" t="s">
        <v>34</v>
      </c>
      <c r="C90" s="5" t="s">
        <v>515</v>
      </c>
      <c r="D90" s="4" t="s">
        <v>516</v>
      </c>
      <c r="E90" s="6">
        <v>22</v>
      </c>
      <c r="F90" s="6">
        <v>415</v>
      </c>
      <c r="G90" s="6">
        <v>110.3</v>
      </c>
      <c r="H90" s="6" t="s">
        <v>51</v>
      </c>
      <c r="I90" s="7">
        <v>45798</v>
      </c>
      <c r="J90" s="3"/>
      <c r="K90" s="3"/>
      <c r="L90" s="3" t="s">
        <v>98</v>
      </c>
      <c r="M90" s="3"/>
      <c r="N90" s="3"/>
      <c r="O90" s="3"/>
      <c r="P90" s="3"/>
      <c r="Q90" s="15" t="s">
        <v>82</v>
      </c>
      <c r="R90" s="7"/>
      <c r="S90" s="7"/>
      <c r="T90" s="7"/>
      <c r="U90" s="6"/>
      <c r="V90" s="11"/>
      <c r="W90" s="6"/>
      <c r="X90" s="6"/>
      <c r="Y90" s="6"/>
      <c r="Z90" s="6"/>
      <c r="AA90" s="8" t="s">
        <v>2603</v>
      </c>
      <c r="AB90" s="8" t="s">
        <v>2292</v>
      </c>
      <c r="AC90" s="6" t="s">
        <v>2133</v>
      </c>
      <c r="AD90" s="6"/>
      <c r="AE90" s="9"/>
    </row>
    <row r="91" spans="1:31" s="10" customFormat="1" ht="31.5" x14ac:dyDescent="0.25">
      <c r="A91" s="3">
        <v>78</v>
      </c>
      <c r="B91" s="18" t="s">
        <v>34</v>
      </c>
      <c r="C91" s="5" t="s">
        <v>2139</v>
      </c>
      <c r="D91" s="4"/>
      <c r="E91" s="6">
        <v>27</v>
      </c>
      <c r="F91" s="6">
        <v>151</v>
      </c>
      <c r="G91" s="6">
        <v>90</v>
      </c>
      <c r="H91" s="6" t="s">
        <v>55</v>
      </c>
      <c r="I91" s="7">
        <v>45798</v>
      </c>
      <c r="J91" s="3"/>
      <c r="K91" s="3"/>
      <c r="L91" s="3"/>
      <c r="M91" s="3"/>
      <c r="N91" s="3"/>
      <c r="O91" s="3"/>
      <c r="P91" s="3" t="s">
        <v>52</v>
      </c>
      <c r="Q91" s="15" t="s">
        <v>82</v>
      </c>
      <c r="R91" s="7">
        <v>45812</v>
      </c>
      <c r="S91" s="7">
        <v>45813</v>
      </c>
      <c r="T91" s="7">
        <v>45813</v>
      </c>
      <c r="U91" s="20">
        <v>1278</v>
      </c>
      <c r="V91" s="11">
        <v>2125468</v>
      </c>
      <c r="W91" s="6"/>
      <c r="X91" s="6"/>
      <c r="Y91" s="6"/>
      <c r="Z91" s="6"/>
      <c r="AA91" s="8"/>
      <c r="AB91" s="8"/>
      <c r="AC91" s="6" t="s">
        <v>2373</v>
      </c>
      <c r="AD91" s="6"/>
      <c r="AE91" s="9" t="s">
        <v>2140</v>
      </c>
    </row>
    <row r="92" spans="1:31" s="10" customFormat="1" ht="16.5" x14ac:dyDescent="0.25">
      <c r="A92" s="3">
        <v>79</v>
      </c>
      <c r="B92" s="18" t="s">
        <v>34</v>
      </c>
      <c r="C92" s="5" t="s">
        <v>2191</v>
      </c>
      <c r="D92" s="4"/>
      <c r="E92" s="6">
        <v>10</v>
      </c>
      <c r="F92" s="6">
        <v>191</v>
      </c>
      <c r="G92" s="6">
        <v>72.400000000000006</v>
      </c>
      <c r="H92" s="6" t="s">
        <v>55</v>
      </c>
      <c r="I92" s="7">
        <v>45800</v>
      </c>
      <c r="J92" s="3"/>
      <c r="K92" s="3"/>
      <c r="L92" s="3"/>
      <c r="M92" s="3"/>
      <c r="N92" s="3"/>
      <c r="O92" s="3"/>
      <c r="P92" s="3" t="s">
        <v>52</v>
      </c>
      <c r="Q92" s="15" t="s">
        <v>82</v>
      </c>
      <c r="R92" s="7">
        <v>45811</v>
      </c>
      <c r="S92" s="7">
        <v>45812</v>
      </c>
      <c r="T92" s="7">
        <v>45812</v>
      </c>
      <c r="U92" s="20">
        <v>1236</v>
      </c>
      <c r="V92" s="11">
        <v>1416978</v>
      </c>
      <c r="W92" s="6"/>
      <c r="X92" s="6"/>
      <c r="Y92" s="6"/>
      <c r="Z92" s="6"/>
      <c r="AA92" s="8"/>
      <c r="AB92" s="8"/>
      <c r="AC92" s="6"/>
      <c r="AD92" s="6"/>
      <c r="AE92" s="9"/>
    </row>
    <row r="93" spans="1:31" ht="16.5" x14ac:dyDescent="0.25">
      <c r="A93" s="12"/>
      <c r="B93" s="73" t="s">
        <v>2208</v>
      </c>
      <c r="C93" s="74"/>
      <c r="D93" s="74"/>
      <c r="E93" s="74"/>
      <c r="F93" s="74"/>
      <c r="G93" s="74"/>
      <c r="H93" s="75"/>
      <c r="I93" s="13"/>
      <c r="J93" s="14">
        <f>COUNTIF(J90:J92,"IG")+COUNTIF(J80:J92,"CN")+COUNTIF(J83:J92,"CQ")</f>
        <v>0</v>
      </c>
      <c r="K93" s="14">
        <f>COUNTIF(K90:K92,"CMĐ")</f>
        <v>0</v>
      </c>
      <c r="L93" s="14">
        <f>COUNTIF(L90:L92,"XMDT")+COUNTIF(L90:L92,"Mốc")</f>
        <v>1</v>
      </c>
      <c r="M93" s="14">
        <f>COUNTIF(M92,"THÁn")</f>
        <v>0</v>
      </c>
      <c r="N93" s="14">
        <f>COUNTIF(N90:N92,"TÒA")</f>
        <v>0</v>
      </c>
      <c r="O93" s="14">
        <f>COUNTIF(O92,"Cấp GCN")</f>
        <v>0</v>
      </c>
      <c r="P93" s="14">
        <f>COUNTIF(P90:P92,"SHN")</f>
        <v>2</v>
      </c>
      <c r="Q93" s="15"/>
      <c r="R93" s="13"/>
      <c r="S93" s="15"/>
      <c r="T93" s="15"/>
      <c r="U93" s="16"/>
      <c r="V93" s="11"/>
      <c r="W93" s="17"/>
      <c r="X93" s="2"/>
      <c r="AD93" s="14">
        <f>COUNTIF(AD92,"kt")</f>
        <v>0</v>
      </c>
    </row>
    <row r="94" spans="1:31" s="10" customFormat="1" ht="31.5" x14ac:dyDescent="0.25">
      <c r="A94" s="3">
        <v>80</v>
      </c>
      <c r="B94" s="18" t="s">
        <v>34</v>
      </c>
      <c r="C94" s="5" t="s">
        <v>2273</v>
      </c>
      <c r="D94" s="4"/>
      <c r="E94" s="6">
        <v>27</v>
      </c>
      <c r="F94" s="6">
        <v>153</v>
      </c>
      <c r="G94" s="6">
        <v>60</v>
      </c>
      <c r="H94" s="6" t="s">
        <v>75</v>
      </c>
      <c r="I94" s="7">
        <v>45805</v>
      </c>
      <c r="J94" s="3"/>
      <c r="K94" s="3"/>
      <c r="L94" s="3"/>
      <c r="M94" s="3"/>
      <c r="N94" s="3"/>
      <c r="O94" s="3"/>
      <c r="P94" s="3" t="s">
        <v>52</v>
      </c>
      <c r="Q94" s="15" t="s">
        <v>82</v>
      </c>
      <c r="R94" s="7">
        <v>45828</v>
      </c>
      <c r="S94" s="7">
        <v>45829</v>
      </c>
      <c r="T94" s="7">
        <v>45829</v>
      </c>
      <c r="U94" s="6">
        <v>1783</v>
      </c>
      <c r="V94" s="11">
        <v>1416978</v>
      </c>
      <c r="W94" s="6"/>
      <c r="X94" s="6"/>
      <c r="Y94" s="6"/>
      <c r="Z94" s="6"/>
      <c r="AA94" s="8"/>
      <c r="AB94" s="8"/>
      <c r="AC94" s="6" t="s">
        <v>2716</v>
      </c>
      <c r="AD94" s="6"/>
      <c r="AE94" s="9" t="s">
        <v>2276</v>
      </c>
    </row>
    <row r="95" spans="1:31" s="10" customFormat="1" ht="31.5" x14ac:dyDescent="0.25">
      <c r="A95" s="3">
        <v>81</v>
      </c>
      <c r="B95" s="18" t="s">
        <v>34</v>
      </c>
      <c r="C95" s="5" t="s">
        <v>2281</v>
      </c>
      <c r="D95" s="4" t="s">
        <v>2282</v>
      </c>
      <c r="E95" s="6">
        <v>32</v>
      </c>
      <c r="F95" s="6">
        <v>431</v>
      </c>
      <c r="G95" s="6">
        <v>500</v>
      </c>
      <c r="H95" s="6" t="s">
        <v>51</v>
      </c>
      <c r="I95" s="7" t="s">
        <v>2422</v>
      </c>
      <c r="J95" s="3"/>
      <c r="K95" s="3" t="s">
        <v>62</v>
      </c>
      <c r="L95" s="3"/>
      <c r="M95" s="3"/>
      <c r="N95" s="3"/>
      <c r="O95" s="3"/>
      <c r="P95" s="3"/>
      <c r="Q95" s="15" t="s">
        <v>82</v>
      </c>
      <c r="R95" s="7">
        <v>45828</v>
      </c>
      <c r="S95" s="7">
        <v>45834</v>
      </c>
      <c r="T95" s="7">
        <v>45834</v>
      </c>
      <c r="U95" s="20">
        <v>1935</v>
      </c>
      <c r="V95" s="11">
        <v>809727</v>
      </c>
      <c r="W95" s="6"/>
      <c r="X95" s="6"/>
      <c r="Y95" s="6"/>
      <c r="Z95" s="6"/>
      <c r="AA95" s="8"/>
      <c r="AB95" s="8"/>
      <c r="AC95" s="6" t="s">
        <v>2358</v>
      </c>
      <c r="AD95" s="6"/>
      <c r="AE95" s="9"/>
    </row>
    <row r="96" spans="1:31" s="10" customFormat="1" ht="31.5" x14ac:dyDescent="0.25">
      <c r="A96" s="3">
        <v>82</v>
      </c>
      <c r="B96" s="18" t="s">
        <v>34</v>
      </c>
      <c r="C96" s="5" t="s">
        <v>2281</v>
      </c>
      <c r="D96" s="4" t="s">
        <v>2282</v>
      </c>
      <c r="E96" s="6">
        <v>32</v>
      </c>
      <c r="F96" s="6">
        <v>416</v>
      </c>
      <c r="G96" s="6">
        <v>500.2</v>
      </c>
      <c r="H96" s="6" t="s">
        <v>51</v>
      </c>
      <c r="I96" s="7" t="s">
        <v>2422</v>
      </c>
      <c r="J96" s="3"/>
      <c r="K96" s="3" t="s">
        <v>62</v>
      </c>
      <c r="L96" s="3"/>
      <c r="M96" s="3"/>
      <c r="N96" s="3"/>
      <c r="O96" s="3"/>
      <c r="P96" s="3"/>
      <c r="Q96" s="15" t="s">
        <v>82</v>
      </c>
      <c r="R96" s="7">
        <v>45828</v>
      </c>
      <c r="S96" s="7">
        <v>45834</v>
      </c>
      <c r="T96" s="7">
        <v>45834</v>
      </c>
      <c r="U96" s="20">
        <v>1934</v>
      </c>
      <c r="V96" s="11">
        <v>809727</v>
      </c>
      <c r="W96" s="6"/>
      <c r="X96" s="6"/>
      <c r="Y96" s="6"/>
      <c r="Z96" s="6"/>
      <c r="AA96" s="8"/>
      <c r="AB96" s="8"/>
      <c r="AC96" s="6" t="s">
        <v>2358</v>
      </c>
      <c r="AD96" s="6"/>
      <c r="AE96" s="9"/>
    </row>
    <row r="97" spans="1:31" s="10" customFormat="1" ht="47.25" x14ac:dyDescent="0.25">
      <c r="A97" s="3">
        <v>83</v>
      </c>
      <c r="B97" s="18" t="s">
        <v>34</v>
      </c>
      <c r="C97" s="5" t="s">
        <v>2299</v>
      </c>
      <c r="D97" s="4"/>
      <c r="E97" s="6">
        <v>21</v>
      </c>
      <c r="F97" s="6">
        <v>296</v>
      </c>
      <c r="G97" s="6">
        <v>826.2</v>
      </c>
      <c r="H97" s="6" t="s">
        <v>75</v>
      </c>
      <c r="I97" s="7"/>
      <c r="J97" s="3"/>
      <c r="K97" s="3"/>
      <c r="L97" s="3"/>
      <c r="M97" s="3"/>
      <c r="N97" s="3"/>
      <c r="O97" s="3"/>
      <c r="P97" s="3"/>
      <c r="Q97" s="15" t="s">
        <v>190</v>
      </c>
      <c r="R97" s="6"/>
      <c r="S97" s="6"/>
      <c r="T97" s="6"/>
      <c r="U97" s="6"/>
      <c r="V97" s="11"/>
      <c r="W97" s="6"/>
      <c r="X97" s="6"/>
      <c r="Y97" s="6"/>
      <c r="Z97" s="6" t="s">
        <v>2300</v>
      </c>
      <c r="AA97" s="8" t="s">
        <v>2380</v>
      </c>
      <c r="AB97" s="8" t="s">
        <v>2301</v>
      </c>
      <c r="AC97" s="6"/>
      <c r="AD97" s="6"/>
      <c r="AE97" s="9"/>
    </row>
    <row r="98" spans="1:31" ht="16.5" x14ac:dyDescent="0.25">
      <c r="A98" s="12"/>
      <c r="B98" s="73" t="s">
        <v>2324</v>
      </c>
      <c r="C98" s="74"/>
      <c r="D98" s="74"/>
      <c r="E98" s="74"/>
      <c r="F98" s="74"/>
      <c r="G98" s="74"/>
      <c r="H98" s="75"/>
      <c r="I98" s="13"/>
      <c r="J98" s="14">
        <f>COUNTIF(J95:J97,"IG")+COUNTIF(J85:J97,"CN")+COUNTIF(J88:J97,"CQ")</f>
        <v>0</v>
      </c>
      <c r="K98" s="14">
        <f>COUNTIF(K95:K97,"CMĐ")</f>
        <v>2</v>
      </c>
      <c r="L98" s="14">
        <f>COUNTIF(L95:L97,"XMDT")+COUNTIF(L95:L97,"Mốc")</f>
        <v>0</v>
      </c>
      <c r="M98" s="14">
        <f>COUNTIF(M97,"THÁn")</f>
        <v>0</v>
      </c>
      <c r="N98" s="14">
        <f>COUNTIF(N95:N97,"TÒA")</f>
        <v>0</v>
      </c>
      <c r="O98" s="14">
        <f>COUNTIF(O97,"Cấp GCN")</f>
        <v>0</v>
      </c>
      <c r="P98" s="14">
        <f>COUNTIF(P94:P97,"SHN")</f>
        <v>1</v>
      </c>
      <c r="Q98" s="15"/>
      <c r="R98" s="13"/>
      <c r="S98" s="15"/>
      <c r="T98" s="15"/>
      <c r="U98" s="16"/>
      <c r="V98" s="11"/>
      <c r="W98" s="17"/>
      <c r="X98" s="2"/>
      <c r="AD98" s="14">
        <f>COUNTIF(AD97,"kt")</f>
        <v>0</v>
      </c>
    </row>
    <row r="99" spans="1:31" s="10" customFormat="1" ht="31.5" x14ac:dyDescent="0.25">
      <c r="A99" s="3">
        <v>84</v>
      </c>
      <c r="B99" s="18" t="s">
        <v>34</v>
      </c>
      <c r="C99" s="5" t="s">
        <v>2359</v>
      </c>
      <c r="D99" s="4"/>
      <c r="E99" s="6">
        <v>26</v>
      </c>
      <c r="F99" s="6">
        <v>332</v>
      </c>
      <c r="G99" s="6">
        <v>678.6</v>
      </c>
      <c r="H99" s="6" t="s">
        <v>55</v>
      </c>
      <c r="I99" s="7">
        <v>45812</v>
      </c>
      <c r="J99" s="3" t="s">
        <v>823</v>
      </c>
      <c r="K99" s="3"/>
      <c r="L99" s="3"/>
      <c r="M99" s="3"/>
      <c r="N99" s="3"/>
      <c r="O99" s="3"/>
      <c r="P99" s="3"/>
      <c r="Q99" s="15" t="s">
        <v>82</v>
      </c>
      <c r="R99" s="7">
        <v>45828</v>
      </c>
      <c r="S99" s="7">
        <v>45833</v>
      </c>
      <c r="T99" s="7">
        <v>45833</v>
      </c>
      <c r="U99" s="20">
        <v>1900</v>
      </c>
      <c r="V99" s="11">
        <v>1923102</v>
      </c>
      <c r="W99" s="6"/>
      <c r="X99" s="6"/>
      <c r="Y99" s="6"/>
      <c r="Z99" s="6" t="s">
        <v>2733</v>
      </c>
      <c r="AA99" s="8" t="s">
        <v>2734</v>
      </c>
      <c r="AB99" s="8"/>
      <c r="AC99" s="6" t="s">
        <v>2709</v>
      </c>
      <c r="AD99" s="6"/>
      <c r="AE99" s="9" t="s">
        <v>2360</v>
      </c>
    </row>
    <row r="100" spans="1:31" ht="16.5" x14ac:dyDescent="0.25">
      <c r="A100" s="12"/>
      <c r="B100" s="73" t="s">
        <v>2377</v>
      </c>
      <c r="C100" s="74"/>
      <c r="D100" s="74"/>
      <c r="E100" s="74"/>
      <c r="F100" s="74"/>
      <c r="G100" s="74"/>
      <c r="H100" s="75"/>
      <c r="I100" s="13"/>
      <c r="J100" s="14">
        <f>COUNTIF(J97:J99,"IG")+COUNTIF(J87:J99,"CN")+COUNTIF(J90:J99,"CQ")</f>
        <v>1</v>
      </c>
      <c r="K100" s="14">
        <f>COUNTIF(K97:K99,"CMĐ")</f>
        <v>0</v>
      </c>
      <c r="L100" s="14">
        <f>COUNTIF(L97:L99,"XMDT")+COUNTIF(L97:L99,"Mốc")</f>
        <v>0</v>
      </c>
      <c r="M100" s="14">
        <f>COUNTIF(M99,"THÁn")</f>
        <v>0</v>
      </c>
      <c r="N100" s="14">
        <f>COUNTIF(N97:N99,"TÒA")</f>
        <v>0</v>
      </c>
      <c r="O100" s="14">
        <f>COUNTIF(O99,"Cấp GCN")</f>
        <v>0</v>
      </c>
      <c r="P100" s="14">
        <f>COUNTIF(P96:P99,"SHN")</f>
        <v>0</v>
      </c>
      <c r="Q100" s="15"/>
      <c r="R100" s="13"/>
      <c r="S100" s="15"/>
      <c r="T100" s="15"/>
      <c r="U100" s="16"/>
      <c r="V100" s="11"/>
      <c r="W100" s="17"/>
      <c r="X100" s="2"/>
      <c r="AD100" s="14">
        <f>COUNTIF(AD99,"kt")</f>
        <v>0</v>
      </c>
    </row>
    <row r="101" spans="1:31" s="10" customFormat="1" ht="34.5" customHeight="1" x14ac:dyDescent="0.25">
      <c r="A101" s="3">
        <v>85</v>
      </c>
      <c r="B101" s="18" t="s">
        <v>34</v>
      </c>
      <c r="C101" s="5" t="s">
        <v>2398</v>
      </c>
      <c r="D101" s="4" t="s">
        <v>2244</v>
      </c>
      <c r="E101" s="6" t="s">
        <v>85</v>
      </c>
      <c r="F101" s="6">
        <v>246</v>
      </c>
      <c r="G101" s="6">
        <v>38.4</v>
      </c>
      <c r="H101" s="6" t="s">
        <v>55</v>
      </c>
      <c r="I101" s="7">
        <v>45813</v>
      </c>
      <c r="J101" s="3"/>
      <c r="K101" s="3"/>
      <c r="L101" s="3" t="s">
        <v>1</v>
      </c>
      <c r="M101" s="3"/>
      <c r="N101" s="3"/>
      <c r="O101" s="3"/>
      <c r="P101" s="3"/>
      <c r="Q101" s="15" t="s">
        <v>82</v>
      </c>
      <c r="R101" s="6"/>
      <c r="S101" s="6"/>
      <c r="T101" s="6"/>
      <c r="U101" s="6"/>
      <c r="V101" s="11"/>
      <c r="W101" s="6"/>
      <c r="X101" s="6"/>
      <c r="Y101" s="6"/>
      <c r="Z101" s="6"/>
      <c r="AA101" s="8"/>
      <c r="AB101" s="8"/>
      <c r="AC101" s="6"/>
      <c r="AD101" s="6"/>
      <c r="AE101" s="9"/>
    </row>
    <row r="102" spans="1:31" s="10" customFormat="1" ht="47.25" x14ac:dyDescent="0.25">
      <c r="A102" s="3">
        <v>86</v>
      </c>
      <c r="B102" s="18" t="s">
        <v>34</v>
      </c>
      <c r="C102" s="5" t="s">
        <v>2494</v>
      </c>
      <c r="D102" s="4" t="s">
        <v>2495</v>
      </c>
      <c r="E102" s="6">
        <v>16</v>
      </c>
      <c r="F102" s="6">
        <v>163</v>
      </c>
      <c r="G102" s="6">
        <v>28.1</v>
      </c>
      <c r="H102" s="6" t="s">
        <v>55</v>
      </c>
      <c r="I102" s="7"/>
      <c r="J102" s="3"/>
      <c r="K102" s="3"/>
      <c r="L102" s="3"/>
      <c r="M102" s="3"/>
      <c r="N102" s="3"/>
      <c r="O102" s="3"/>
      <c r="P102" s="3" t="s">
        <v>52</v>
      </c>
      <c r="Q102" s="15" t="s">
        <v>82</v>
      </c>
      <c r="R102" s="6"/>
      <c r="S102" s="6"/>
      <c r="T102" s="6"/>
      <c r="U102" s="6"/>
      <c r="V102" s="11"/>
      <c r="W102" s="6"/>
      <c r="X102" s="6"/>
      <c r="Y102" s="6"/>
      <c r="Z102" s="6"/>
      <c r="AA102" s="8"/>
      <c r="AB102" s="8" t="s">
        <v>2656</v>
      </c>
      <c r="AC102" s="6" t="s">
        <v>2618</v>
      </c>
      <c r="AD102" s="6"/>
      <c r="AE102" s="9"/>
    </row>
    <row r="103" spans="1:31" ht="16.5" x14ac:dyDescent="0.25">
      <c r="A103" s="12"/>
      <c r="B103" s="73" t="s">
        <v>2523</v>
      </c>
      <c r="C103" s="74"/>
      <c r="D103" s="74"/>
      <c r="E103" s="74"/>
      <c r="F103" s="74"/>
      <c r="G103" s="74"/>
      <c r="H103" s="75"/>
      <c r="I103" s="13"/>
      <c r="J103" s="14">
        <f>COUNTIF(J100:J102,"IG")+COUNTIF(J90:J102,"CN")+COUNTIF(J93:J102,"CQ")</f>
        <v>0</v>
      </c>
      <c r="K103" s="14">
        <f>COUNTIF(K100:K102,"CMĐ")</f>
        <v>0</v>
      </c>
      <c r="L103" s="14">
        <f>COUNTIF(L100:L102,"XMDT")+COUNTIF(L100:L102,"Mốc")</f>
        <v>1</v>
      </c>
      <c r="M103" s="14">
        <f>COUNTIF(M102,"THÁn")</f>
        <v>0</v>
      </c>
      <c r="N103" s="14">
        <f>COUNTIF(N100:N102,"TÒA")</f>
        <v>0</v>
      </c>
      <c r="O103" s="14">
        <f>COUNTIF(O102,"Cấp GCN")</f>
        <v>0</v>
      </c>
      <c r="P103" s="14">
        <f>COUNTIF(P99:P102,"SHN")</f>
        <v>1</v>
      </c>
      <c r="Q103" s="15"/>
      <c r="R103" s="13"/>
      <c r="S103" s="15"/>
      <c r="T103" s="15"/>
      <c r="U103" s="16"/>
      <c r="V103" s="11"/>
      <c r="W103" s="17"/>
      <c r="X103" s="2"/>
      <c r="AD103" s="14">
        <f>COUNTIF(AD102,"kt")</f>
        <v>0</v>
      </c>
    </row>
    <row r="104" spans="1:31" s="10" customFormat="1" ht="16.5" x14ac:dyDescent="0.25">
      <c r="A104" s="3">
        <v>87</v>
      </c>
      <c r="B104" s="18" t="s">
        <v>34</v>
      </c>
      <c r="C104" s="5" t="s">
        <v>2550</v>
      </c>
      <c r="D104" s="4" t="s">
        <v>2551</v>
      </c>
      <c r="E104" s="6">
        <v>22</v>
      </c>
      <c r="F104" s="6">
        <v>288</v>
      </c>
      <c r="G104" s="6">
        <v>103.4</v>
      </c>
      <c r="H104" s="6" t="s">
        <v>75</v>
      </c>
      <c r="I104" s="7">
        <v>45825</v>
      </c>
      <c r="J104" s="3"/>
      <c r="K104" s="3"/>
      <c r="L104" s="3"/>
      <c r="M104" s="3"/>
      <c r="N104" s="3"/>
      <c r="O104" s="3"/>
      <c r="P104" s="3" t="s">
        <v>52</v>
      </c>
      <c r="Q104" s="15" t="s">
        <v>82</v>
      </c>
      <c r="R104" s="6"/>
      <c r="S104" s="6"/>
      <c r="T104" s="6"/>
      <c r="U104" s="6"/>
      <c r="V104" s="11"/>
      <c r="W104" s="6"/>
      <c r="X104" s="6"/>
      <c r="Y104" s="6"/>
      <c r="Z104" s="6"/>
      <c r="AA104" s="8"/>
      <c r="AB104" s="8"/>
      <c r="AC104" s="6"/>
      <c r="AD104" s="6"/>
      <c r="AE104" s="9"/>
    </row>
    <row r="105" spans="1:31" s="10" customFormat="1" ht="16.5" x14ac:dyDescent="0.25">
      <c r="A105" s="3">
        <v>88</v>
      </c>
      <c r="B105" s="18" t="s">
        <v>34</v>
      </c>
      <c r="C105" s="5" t="s">
        <v>2554</v>
      </c>
      <c r="D105" s="4" t="s">
        <v>2555</v>
      </c>
      <c r="E105" s="6">
        <v>18</v>
      </c>
      <c r="F105" s="6">
        <v>11</v>
      </c>
      <c r="G105" s="6">
        <v>69.599999999999994</v>
      </c>
      <c r="H105" s="6" t="s">
        <v>55</v>
      </c>
      <c r="I105" s="7">
        <v>45825</v>
      </c>
      <c r="J105" s="3"/>
      <c r="K105" s="3"/>
      <c r="L105" s="3" t="s">
        <v>1</v>
      </c>
      <c r="M105" s="3"/>
      <c r="N105" s="3"/>
      <c r="O105" s="3"/>
      <c r="P105" s="3"/>
      <c r="Q105" s="15" t="s">
        <v>82</v>
      </c>
      <c r="R105" s="6"/>
      <c r="S105" s="6"/>
      <c r="T105" s="6"/>
      <c r="U105" s="6"/>
      <c r="V105" s="11"/>
      <c r="W105" s="6"/>
      <c r="X105" s="6"/>
      <c r="Y105" s="6"/>
      <c r="Z105" s="6"/>
      <c r="AA105" s="8"/>
      <c r="AB105" s="8"/>
      <c r="AC105" s="6"/>
      <c r="AD105" s="6"/>
      <c r="AE105" s="9"/>
    </row>
    <row r="106" spans="1:31" s="10" customFormat="1" ht="78.75" x14ac:dyDescent="0.25">
      <c r="A106" s="3">
        <v>89</v>
      </c>
      <c r="B106" s="18" t="s">
        <v>34</v>
      </c>
      <c r="C106" s="5" t="s">
        <v>2562</v>
      </c>
      <c r="D106" s="4" t="s">
        <v>54</v>
      </c>
      <c r="E106" s="6">
        <v>21</v>
      </c>
      <c r="F106" s="6">
        <v>15</v>
      </c>
      <c r="G106" s="6">
        <v>113.1</v>
      </c>
      <c r="H106" s="6" t="s">
        <v>75</v>
      </c>
      <c r="I106" s="7">
        <v>45825</v>
      </c>
      <c r="J106" s="3"/>
      <c r="K106" s="3"/>
      <c r="L106" s="3"/>
      <c r="M106" s="3"/>
      <c r="N106" s="3" t="s">
        <v>56</v>
      </c>
      <c r="O106" s="3"/>
      <c r="P106" s="3"/>
      <c r="Q106" s="15" t="s">
        <v>82</v>
      </c>
      <c r="R106" s="6"/>
      <c r="S106" s="6"/>
      <c r="T106" s="6"/>
      <c r="U106" s="6"/>
      <c r="V106" s="11"/>
      <c r="W106" s="6"/>
      <c r="X106" s="6"/>
      <c r="Y106" s="6"/>
      <c r="Z106" s="6"/>
      <c r="AA106" s="8"/>
      <c r="AB106" s="8"/>
      <c r="AC106" s="6" t="s">
        <v>2563</v>
      </c>
      <c r="AD106" s="6"/>
      <c r="AE106" s="9"/>
    </row>
    <row r="107" spans="1:31" s="10" customFormat="1" ht="16.5" x14ac:dyDescent="0.25">
      <c r="A107" s="3">
        <v>90</v>
      </c>
      <c r="B107" s="18" t="s">
        <v>34</v>
      </c>
      <c r="C107" s="5" t="s">
        <v>2595</v>
      </c>
      <c r="D107" s="4"/>
      <c r="E107" s="6">
        <v>16</v>
      </c>
      <c r="F107" s="6">
        <v>15</v>
      </c>
      <c r="G107" s="6">
        <v>88.4</v>
      </c>
      <c r="H107" s="6" t="s">
        <v>55</v>
      </c>
      <c r="I107" s="7">
        <v>45825</v>
      </c>
      <c r="J107" s="3"/>
      <c r="K107" s="3"/>
      <c r="L107" s="3"/>
      <c r="M107" s="3"/>
      <c r="N107" s="3"/>
      <c r="O107" s="3"/>
      <c r="P107" s="3" t="s">
        <v>52</v>
      </c>
      <c r="Q107" s="15" t="s">
        <v>82</v>
      </c>
      <c r="R107" s="7">
        <v>45825</v>
      </c>
      <c r="S107" s="6"/>
      <c r="T107" s="6"/>
      <c r="U107" s="6"/>
      <c r="V107" s="11"/>
      <c r="W107" s="6"/>
      <c r="X107" s="6"/>
      <c r="Y107" s="6"/>
      <c r="Z107" s="6"/>
      <c r="AA107" s="8"/>
      <c r="AB107" s="8"/>
      <c r="AC107" s="6"/>
      <c r="AD107" s="6"/>
      <c r="AE107" s="9"/>
    </row>
    <row r="108" spans="1:31" s="10" customFormat="1" ht="63" x14ac:dyDescent="0.25">
      <c r="A108" s="3">
        <v>91</v>
      </c>
      <c r="B108" s="18" t="s">
        <v>34</v>
      </c>
      <c r="C108" s="5" t="s">
        <v>1261</v>
      </c>
      <c r="D108" s="4" t="s">
        <v>2597</v>
      </c>
      <c r="E108" s="6">
        <v>18</v>
      </c>
      <c r="F108" s="6">
        <v>83</v>
      </c>
      <c r="G108" s="6">
        <v>168.6</v>
      </c>
      <c r="H108" s="6" t="s">
        <v>55</v>
      </c>
      <c r="I108" s="7">
        <v>45826</v>
      </c>
      <c r="J108" s="3"/>
      <c r="K108" s="3"/>
      <c r="L108" s="3" t="s">
        <v>98</v>
      </c>
      <c r="M108" s="3"/>
      <c r="N108" s="3"/>
      <c r="O108" s="3"/>
      <c r="P108" s="3"/>
      <c r="Q108" s="15" t="s">
        <v>82</v>
      </c>
      <c r="R108" s="6"/>
      <c r="S108" s="6"/>
      <c r="T108" s="6"/>
      <c r="U108" s="6"/>
      <c r="V108" s="11"/>
      <c r="W108" s="6"/>
      <c r="X108" s="6"/>
      <c r="Y108" s="6"/>
      <c r="Z108" s="6"/>
      <c r="AA108" s="8"/>
      <c r="AB108" s="8" t="s">
        <v>2703</v>
      </c>
      <c r="AC108" s="6" t="s">
        <v>2616</v>
      </c>
      <c r="AD108" s="6"/>
      <c r="AE108" s="9"/>
    </row>
    <row r="109" spans="1:31" s="10" customFormat="1" ht="48.75" customHeight="1" x14ac:dyDescent="0.25">
      <c r="A109" s="3">
        <v>92</v>
      </c>
      <c r="B109" s="18" t="s">
        <v>34</v>
      </c>
      <c r="C109" s="5" t="s">
        <v>2611</v>
      </c>
      <c r="D109" s="4" t="s">
        <v>2282</v>
      </c>
      <c r="E109" s="6">
        <v>14</v>
      </c>
      <c r="F109" s="6">
        <v>274</v>
      </c>
      <c r="G109" s="6">
        <v>546.5</v>
      </c>
      <c r="H109" s="6" t="s">
        <v>75</v>
      </c>
      <c r="I109" s="7">
        <v>45827</v>
      </c>
      <c r="J109" s="3"/>
      <c r="K109" s="3"/>
      <c r="L109" s="3"/>
      <c r="M109" s="3"/>
      <c r="N109" s="3"/>
      <c r="O109" s="3"/>
      <c r="P109" s="3" t="s">
        <v>52</v>
      </c>
      <c r="Q109" s="15" t="s">
        <v>82</v>
      </c>
      <c r="R109" s="6"/>
      <c r="S109" s="6"/>
      <c r="T109" s="6"/>
      <c r="U109" s="6"/>
      <c r="V109" s="11"/>
      <c r="W109" s="6"/>
      <c r="X109" s="6"/>
      <c r="Y109" s="6"/>
      <c r="Z109" s="6"/>
      <c r="AA109" s="8"/>
      <c r="AB109" s="8"/>
      <c r="AC109" s="6"/>
      <c r="AD109" s="6"/>
      <c r="AE109" s="9"/>
    </row>
    <row r="110" spans="1:31" s="10" customFormat="1" ht="16.5" x14ac:dyDescent="0.25">
      <c r="A110" s="3">
        <v>93</v>
      </c>
      <c r="B110" s="18" t="s">
        <v>34</v>
      </c>
      <c r="C110" s="5" t="s">
        <v>712</v>
      </c>
      <c r="D110" s="4" t="s">
        <v>713</v>
      </c>
      <c r="E110" s="6">
        <v>17</v>
      </c>
      <c r="F110" s="6">
        <v>123</v>
      </c>
      <c r="G110" s="6">
        <v>44</v>
      </c>
      <c r="H110" s="6" t="s">
        <v>55</v>
      </c>
      <c r="I110" s="7">
        <v>45827</v>
      </c>
      <c r="J110" s="3"/>
      <c r="K110" s="3"/>
      <c r="L110" s="3"/>
      <c r="M110" s="3"/>
      <c r="N110" s="3"/>
      <c r="O110" s="3"/>
      <c r="P110" s="3" t="s">
        <v>52</v>
      </c>
      <c r="Q110" s="15" t="s">
        <v>82</v>
      </c>
      <c r="R110" s="6"/>
      <c r="S110" s="6"/>
      <c r="T110" s="6"/>
      <c r="U110" s="6"/>
      <c r="V110" s="11"/>
      <c r="W110" s="6"/>
      <c r="X110" s="6"/>
      <c r="Y110" s="6"/>
      <c r="Z110" s="6"/>
      <c r="AA110" s="8"/>
      <c r="AB110" s="8"/>
      <c r="AC110" s="6"/>
      <c r="AD110" s="6"/>
      <c r="AE110" s="9"/>
    </row>
    <row r="111" spans="1:31" s="10" customFormat="1" ht="31.5" x14ac:dyDescent="0.25">
      <c r="A111" s="3">
        <v>94</v>
      </c>
      <c r="B111" s="3" t="s">
        <v>34</v>
      </c>
      <c r="C111" s="19" t="s">
        <v>2650</v>
      </c>
      <c r="D111" s="4" t="s">
        <v>2651</v>
      </c>
      <c r="E111" s="3">
        <v>19</v>
      </c>
      <c r="F111" s="3">
        <v>117</v>
      </c>
      <c r="G111" s="3">
        <v>259.39999999999998</v>
      </c>
      <c r="H111" s="3" t="s">
        <v>55</v>
      </c>
      <c r="I111" s="21">
        <v>45544</v>
      </c>
      <c r="J111" s="3"/>
      <c r="K111" s="3"/>
      <c r="L111" s="3"/>
      <c r="M111" s="3"/>
      <c r="N111" s="3"/>
      <c r="O111" s="3"/>
      <c r="P111" s="3"/>
      <c r="Q111" s="15" t="s">
        <v>2652</v>
      </c>
      <c r="R111" s="21">
        <v>45828</v>
      </c>
      <c r="S111" s="7">
        <v>45829</v>
      </c>
      <c r="T111" s="7">
        <v>45829</v>
      </c>
      <c r="U111" s="6">
        <v>1784</v>
      </c>
      <c r="V111" s="11">
        <v>2125468</v>
      </c>
      <c r="W111" s="6"/>
      <c r="X111" s="6"/>
      <c r="Y111" s="6"/>
      <c r="Z111" s="6"/>
      <c r="AA111" s="8"/>
      <c r="AB111" s="8"/>
      <c r="AC111" s="6"/>
      <c r="AD111" s="6" t="s">
        <v>2653</v>
      </c>
      <c r="AE111" s="9"/>
    </row>
    <row r="112" spans="1:31" ht="16.5" x14ac:dyDescent="0.25">
      <c r="A112" s="12"/>
      <c r="B112" s="73" t="s">
        <v>2655</v>
      </c>
      <c r="C112" s="74"/>
      <c r="D112" s="74"/>
      <c r="E112" s="74"/>
      <c r="F112" s="74"/>
      <c r="G112" s="74"/>
      <c r="H112" s="75"/>
      <c r="I112" s="13"/>
      <c r="J112" s="14">
        <f>COUNTIF(J109:J111,"IG")+COUNTIF(J99:J111,"CN")+COUNTIF(J102:J111,"CQ")</f>
        <v>0</v>
      </c>
      <c r="K112" s="14">
        <f>COUNTIF(K109:K111,"CMĐ")</f>
        <v>0</v>
      </c>
      <c r="L112" s="14">
        <f>COUNTIF(L104:L111,"XMDT")+COUNTIF(L104:L111,"Mốc")</f>
        <v>2</v>
      </c>
      <c r="M112" s="14">
        <f>COUNTIF(M111,"THÁn")</f>
        <v>0</v>
      </c>
      <c r="N112" s="14">
        <f>COUNTIF(N104:N111,"TÒA")</f>
        <v>1</v>
      </c>
      <c r="O112" s="14">
        <f>COUNTIF(O111,"Cấp GCN")</f>
        <v>0</v>
      </c>
      <c r="P112" s="14">
        <f>COUNTIF(P104:P111,"SHN")</f>
        <v>4</v>
      </c>
      <c r="Q112" s="15"/>
      <c r="R112" s="13"/>
      <c r="S112" s="15"/>
      <c r="T112" s="15"/>
      <c r="U112" s="16"/>
      <c r="V112" s="11"/>
      <c r="W112" s="17"/>
      <c r="X112" s="2"/>
      <c r="AD112" s="14">
        <f>COUNTIF(AD111,"kt")</f>
        <v>0</v>
      </c>
    </row>
    <row r="113" spans="1:31" s="10" customFormat="1" ht="16.5" x14ac:dyDescent="0.25">
      <c r="A113" s="3">
        <v>95</v>
      </c>
      <c r="B113" s="18" t="s">
        <v>34</v>
      </c>
      <c r="C113" s="19" t="s">
        <v>2657</v>
      </c>
      <c r="D113" s="4" t="s">
        <v>2658</v>
      </c>
      <c r="E113" s="3">
        <v>13</v>
      </c>
      <c r="F113" s="3">
        <v>159</v>
      </c>
      <c r="G113" s="3">
        <v>213.9</v>
      </c>
      <c r="H113" s="3" t="s">
        <v>75</v>
      </c>
      <c r="I113" s="21">
        <v>45832</v>
      </c>
      <c r="J113" s="3"/>
      <c r="K113" s="3"/>
      <c r="L113" s="3" t="s">
        <v>1</v>
      </c>
      <c r="M113" s="3"/>
      <c r="N113" s="3"/>
      <c r="O113" s="3"/>
      <c r="P113" s="3"/>
      <c r="Q113" s="15" t="s">
        <v>82</v>
      </c>
      <c r="R113" s="21"/>
      <c r="S113" s="7"/>
      <c r="T113" s="7"/>
      <c r="U113" s="6"/>
      <c r="V113" s="11"/>
      <c r="W113" s="6"/>
      <c r="X113" s="6"/>
      <c r="Y113" s="6"/>
      <c r="Z113" s="6"/>
      <c r="AA113" s="8"/>
      <c r="AB113" s="8"/>
      <c r="AC113" s="6"/>
      <c r="AD113" s="6"/>
      <c r="AE113" s="9"/>
    </row>
    <row r="114" spans="1:31" s="10" customFormat="1" ht="63" x14ac:dyDescent="0.25">
      <c r="A114" s="3">
        <v>96</v>
      </c>
      <c r="B114" s="18" t="s">
        <v>34</v>
      </c>
      <c r="C114" s="5" t="s">
        <v>1261</v>
      </c>
      <c r="D114" s="4" t="s">
        <v>2597</v>
      </c>
      <c r="E114" s="6">
        <v>18</v>
      </c>
      <c r="F114" s="6">
        <v>83</v>
      </c>
      <c r="G114" s="6">
        <v>168.6</v>
      </c>
      <c r="H114" s="6" t="s">
        <v>55</v>
      </c>
      <c r="I114" s="7">
        <v>45826</v>
      </c>
      <c r="J114" s="3"/>
      <c r="K114" s="3"/>
      <c r="L114" s="3" t="s">
        <v>98</v>
      </c>
      <c r="M114" s="3"/>
      <c r="N114" s="3"/>
      <c r="O114" s="3"/>
      <c r="P114" s="3"/>
      <c r="Q114" s="15" t="s">
        <v>82</v>
      </c>
      <c r="R114" s="6"/>
      <c r="S114" s="6"/>
      <c r="T114" s="6"/>
      <c r="U114" s="6"/>
      <c r="V114" s="11"/>
      <c r="W114" s="6"/>
      <c r="X114" s="6"/>
      <c r="Y114" s="6"/>
      <c r="Z114" s="6"/>
      <c r="AA114" s="8"/>
      <c r="AB114" s="8" t="s">
        <v>2703</v>
      </c>
      <c r="AC114" s="6" t="s">
        <v>2708</v>
      </c>
      <c r="AD114" s="6"/>
      <c r="AE114" s="9"/>
    </row>
    <row r="115" spans="1:31" s="10" customFormat="1" ht="16.5" x14ac:dyDescent="0.25">
      <c r="A115" s="3">
        <v>97</v>
      </c>
      <c r="B115" s="18" t="s">
        <v>34</v>
      </c>
      <c r="C115" s="19"/>
      <c r="D115" s="4"/>
      <c r="E115" s="3"/>
      <c r="F115" s="3"/>
      <c r="G115" s="3"/>
      <c r="H115" s="3"/>
      <c r="I115" s="21"/>
      <c r="J115" s="3"/>
      <c r="K115" s="3"/>
      <c r="L115" s="3"/>
      <c r="M115" s="3"/>
      <c r="N115" s="3"/>
      <c r="O115" s="3"/>
      <c r="P115" s="3"/>
      <c r="Q115" s="15"/>
      <c r="R115" s="21"/>
      <c r="S115" s="7"/>
      <c r="T115" s="7"/>
      <c r="U115" s="6"/>
      <c r="V115" s="11"/>
      <c r="W115" s="6"/>
      <c r="X115" s="6"/>
      <c r="Y115" s="6"/>
      <c r="Z115" s="6"/>
      <c r="AA115" s="8"/>
      <c r="AB115" s="8"/>
      <c r="AC115" s="6"/>
      <c r="AD115" s="6"/>
      <c r="AE115" s="9"/>
    </row>
    <row r="116" spans="1:31" s="10" customFormat="1" ht="16.5" x14ac:dyDescent="0.25">
      <c r="A116" s="3">
        <v>98</v>
      </c>
      <c r="B116" s="3" t="s">
        <v>34</v>
      </c>
      <c r="C116" s="19"/>
      <c r="D116" s="4"/>
      <c r="E116" s="3"/>
      <c r="F116" s="3"/>
      <c r="G116" s="3"/>
      <c r="H116" s="3"/>
      <c r="I116" s="21"/>
      <c r="J116" s="3"/>
      <c r="K116" s="3"/>
      <c r="L116" s="3"/>
      <c r="M116" s="3"/>
      <c r="N116" s="3"/>
      <c r="O116" s="3"/>
      <c r="P116" s="3"/>
      <c r="Q116" s="15"/>
      <c r="R116" s="21"/>
      <c r="S116" s="7"/>
      <c r="T116" s="7"/>
      <c r="U116" s="6"/>
      <c r="V116" s="11"/>
      <c r="W116" s="6"/>
      <c r="X116" s="6"/>
      <c r="Y116" s="6"/>
      <c r="Z116" s="6"/>
      <c r="AA116" s="8"/>
      <c r="AB116" s="8"/>
      <c r="AC116" s="6"/>
      <c r="AD116" s="6"/>
      <c r="AE116" s="9"/>
    </row>
    <row r="117" spans="1:31" s="10" customFormat="1" ht="16.5" x14ac:dyDescent="0.25">
      <c r="A117" s="3">
        <v>99</v>
      </c>
      <c r="B117" s="18" t="s">
        <v>34</v>
      </c>
      <c r="C117" s="19"/>
      <c r="D117" s="4"/>
      <c r="E117" s="3"/>
      <c r="F117" s="3"/>
      <c r="G117" s="3"/>
      <c r="H117" s="3"/>
      <c r="I117" s="21"/>
      <c r="J117" s="3"/>
      <c r="K117" s="3"/>
      <c r="L117" s="3"/>
      <c r="M117" s="3"/>
      <c r="N117" s="3"/>
      <c r="O117" s="3"/>
      <c r="P117" s="3"/>
      <c r="Q117" s="15"/>
      <c r="R117" s="21"/>
      <c r="S117" s="7"/>
      <c r="T117" s="7"/>
      <c r="U117" s="6"/>
      <c r="V117" s="11"/>
      <c r="W117" s="6"/>
      <c r="X117" s="6"/>
      <c r="Y117" s="6"/>
      <c r="Z117" s="6"/>
      <c r="AA117" s="8"/>
      <c r="AB117" s="8"/>
      <c r="AC117" s="6"/>
      <c r="AD117" s="6"/>
      <c r="AE117" s="9"/>
    </row>
    <row r="118" spans="1:31" s="10" customFormat="1" ht="16.5" x14ac:dyDescent="0.25">
      <c r="A118" s="3">
        <v>100</v>
      </c>
      <c r="B118" s="18" t="s">
        <v>34</v>
      </c>
      <c r="C118" s="19"/>
      <c r="D118" s="4"/>
      <c r="E118" s="3"/>
      <c r="F118" s="3"/>
      <c r="G118" s="3"/>
      <c r="H118" s="3"/>
      <c r="I118" s="21"/>
      <c r="J118" s="3"/>
      <c r="K118" s="3"/>
      <c r="L118" s="3"/>
      <c r="M118" s="3"/>
      <c r="N118" s="3"/>
      <c r="O118" s="3"/>
      <c r="P118" s="3"/>
      <c r="Q118" s="15"/>
      <c r="R118" s="21"/>
      <c r="S118" s="7"/>
      <c r="T118" s="7"/>
      <c r="U118" s="6"/>
      <c r="V118" s="11"/>
      <c r="W118" s="6"/>
      <c r="X118" s="6"/>
      <c r="Y118" s="6"/>
      <c r="Z118" s="6"/>
      <c r="AA118" s="8"/>
      <c r="AB118" s="8"/>
      <c r="AC118" s="6"/>
      <c r="AD118" s="6"/>
      <c r="AE118" s="9"/>
    </row>
    <row r="119" spans="1:31" s="10" customFormat="1" ht="16.5" x14ac:dyDescent="0.25">
      <c r="A119" s="3">
        <v>101</v>
      </c>
      <c r="B119" s="18" t="s">
        <v>34</v>
      </c>
      <c r="C119" s="19"/>
      <c r="D119" s="4"/>
      <c r="E119" s="3"/>
      <c r="F119" s="3"/>
      <c r="G119" s="3"/>
      <c r="H119" s="3"/>
      <c r="I119" s="21"/>
      <c r="J119" s="3"/>
      <c r="K119" s="3"/>
      <c r="L119" s="3"/>
      <c r="M119" s="3"/>
      <c r="N119" s="3"/>
      <c r="O119" s="3"/>
      <c r="P119" s="3"/>
      <c r="Q119" s="15"/>
      <c r="R119" s="21"/>
      <c r="S119" s="7"/>
      <c r="T119" s="7"/>
      <c r="U119" s="6"/>
      <c r="V119" s="11"/>
      <c r="W119" s="6"/>
      <c r="X119" s="6"/>
      <c r="Y119" s="6"/>
      <c r="Z119" s="6"/>
      <c r="AA119" s="8"/>
      <c r="AB119" s="8"/>
      <c r="AC119" s="6"/>
      <c r="AD119" s="6"/>
      <c r="AE119" s="9"/>
    </row>
    <row r="120" spans="1:31" s="10" customFormat="1" ht="16.5" x14ac:dyDescent="0.25">
      <c r="A120" s="3">
        <v>102</v>
      </c>
      <c r="B120" s="3" t="s">
        <v>34</v>
      </c>
      <c r="C120" s="19"/>
      <c r="D120" s="4"/>
      <c r="E120" s="3"/>
      <c r="F120" s="3"/>
      <c r="G120" s="3"/>
      <c r="H120" s="3"/>
      <c r="I120" s="21"/>
      <c r="J120" s="3"/>
      <c r="K120" s="3"/>
      <c r="L120" s="3"/>
      <c r="M120" s="3"/>
      <c r="N120" s="3"/>
      <c r="O120" s="3"/>
      <c r="P120" s="3"/>
      <c r="Q120" s="15"/>
      <c r="R120" s="21"/>
      <c r="S120" s="7"/>
      <c r="T120" s="7"/>
      <c r="U120" s="6"/>
      <c r="V120" s="11"/>
      <c r="W120" s="6"/>
      <c r="X120" s="6"/>
      <c r="Y120" s="6"/>
      <c r="Z120" s="6"/>
      <c r="AA120" s="8"/>
      <c r="AB120" s="8"/>
      <c r="AC120" s="6"/>
      <c r="AD120" s="6"/>
      <c r="AE120" s="9"/>
    </row>
    <row r="121" spans="1:31" s="10" customFormat="1" ht="16.5" x14ac:dyDescent="0.25">
      <c r="A121" s="3">
        <v>103</v>
      </c>
      <c r="B121" s="18" t="s">
        <v>34</v>
      </c>
      <c r="C121" s="19"/>
      <c r="D121" s="4"/>
      <c r="E121" s="3"/>
      <c r="F121" s="3"/>
      <c r="G121" s="3"/>
      <c r="H121" s="3"/>
      <c r="I121" s="21"/>
      <c r="J121" s="3"/>
      <c r="K121" s="3"/>
      <c r="L121" s="3"/>
      <c r="M121" s="3"/>
      <c r="N121" s="3"/>
      <c r="O121" s="3"/>
      <c r="P121" s="3"/>
      <c r="Q121" s="15"/>
      <c r="R121" s="21"/>
      <c r="S121" s="7"/>
      <c r="T121" s="7"/>
      <c r="U121" s="6"/>
      <c r="V121" s="11"/>
      <c r="W121" s="6"/>
      <c r="X121" s="6"/>
      <c r="Y121" s="6"/>
      <c r="Z121" s="6"/>
      <c r="AA121" s="8"/>
      <c r="AB121" s="8"/>
      <c r="AC121" s="6"/>
      <c r="AD121" s="6"/>
      <c r="AE121" s="9"/>
    </row>
    <row r="122" spans="1:31" s="10" customFormat="1" ht="16.5" x14ac:dyDescent="0.25">
      <c r="A122" s="3">
        <v>104</v>
      </c>
      <c r="B122" s="18" t="s">
        <v>34</v>
      </c>
      <c r="C122" s="19"/>
      <c r="D122" s="4"/>
      <c r="E122" s="3"/>
      <c r="F122" s="3"/>
      <c r="G122" s="3"/>
      <c r="H122" s="3"/>
      <c r="I122" s="21"/>
      <c r="J122" s="3"/>
      <c r="K122" s="3"/>
      <c r="L122" s="3"/>
      <c r="M122" s="3"/>
      <c r="N122" s="3"/>
      <c r="O122" s="3"/>
      <c r="P122" s="3"/>
      <c r="Q122" s="15"/>
      <c r="R122" s="21"/>
      <c r="S122" s="7"/>
      <c r="T122" s="7"/>
      <c r="U122" s="6"/>
      <c r="V122" s="11"/>
      <c r="W122" s="6"/>
      <c r="X122" s="6"/>
      <c r="Y122" s="6"/>
      <c r="Z122" s="6"/>
      <c r="AA122" s="8"/>
      <c r="AB122" s="8"/>
      <c r="AC122" s="6"/>
      <c r="AD122" s="6"/>
      <c r="AE122" s="9"/>
    </row>
    <row r="123" spans="1:31" s="10" customFormat="1" ht="16.5" x14ac:dyDescent="0.25">
      <c r="A123" s="3">
        <v>105</v>
      </c>
      <c r="B123" s="18" t="s">
        <v>34</v>
      </c>
      <c r="C123" s="19"/>
      <c r="D123" s="4"/>
      <c r="E123" s="3"/>
      <c r="F123" s="3"/>
      <c r="G123" s="3"/>
      <c r="H123" s="3"/>
      <c r="I123" s="21"/>
      <c r="J123" s="3"/>
      <c r="K123" s="3"/>
      <c r="L123" s="3"/>
      <c r="M123" s="3"/>
      <c r="N123" s="3"/>
      <c r="O123" s="3"/>
      <c r="P123" s="3"/>
      <c r="Q123" s="15"/>
      <c r="R123" s="21"/>
      <c r="S123" s="7"/>
      <c r="T123" s="7"/>
      <c r="U123" s="6"/>
      <c r="V123" s="11"/>
      <c r="W123" s="6"/>
      <c r="X123" s="6"/>
      <c r="Y123" s="6"/>
      <c r="Z123" s="6"/>
      <c r="AA123" s="8"/>
      <c r="AB123" s="8"/>
      <c r="AC123" s="6"/>
      <c r="AD123" s="6"/>
      <c r="AE123" s="9"/>
    </row>
    <row r="124" spans="1:31" s="10" customFormat="1" ht="16.5" x14ac:dyDescent="0.25">
      <c r="A124" s="3">
        <v>106</v>
      </c>
      <c r="B124" s="3" t="s">
        <v>34</v>
      </c>
      <c r="C124" s="19"/>
      <c r="D124" s="4"/>
      <c r="E124" s="3"/>
      <c r="F124" s="3"/>
      <c r="G124" s="3"/>
      <c r="H124" s="3"/>
      <c r="I124" s="21"/>
      <c r="J124" s="3"/>
      <c r="K124" s="3"/>
      <c r="L124" s="3"/>
      <c r="M124" s="3"/>
      <c r="N124" s="3"/>
      <c r="O124" s="3"/>
      <c r="P124" s="3"/>
      <c r="Q124" s="15"/>
      <c r="R124" s="21"/>
      <c r="S124" s="7"/>
      <c r="T124" s="7"/>
      <c r="U124" s="6"/>
      <c r="V124" s="11"/>
      <c r="W124" s="6"/>
      <c r="X124" s="6"/>
      <c r="Y124" s="6"/>
      <c r="Z124" s="6"/>
      <c r="AA124" s="8"/>
      <c r="AB124" s="8"/>
      <c r="AC124" s="6"/>
      <c r="AD124" s="6"/>
      <c r="AE124" s="9"/>
    </row>
    <row r="125" spans="1:31" s="10" customFormat="1" ht="16.5" x14ac:dyDescent="0.25">
      <c r="A125" s="3">
        <v>107</v>
      </c>
      <c r="B125" s="18" t="s">
        <v>34</v>
      </c>
      <c r="C125" s="19"/>
      <c r="D125" s="4"/>
      <c r="E125" s="3"/>
      <c r="F125" s="3"/>
      <c r="G125" s="3"/>
      <c r="H125" s="3"/>
      <c r="I125" s="21"/>
      <c r="J125" s="3"/>
      <c r="K125" s="3"/>
      <c r="L125" s="3"/>
      <c r="M125" s="3"/>
      <c r="N125" s="3"/>
      <c r="O125" s="3"/>
      <c r="P125" s="3"/>
      <c r="Q125" s="15"/>
      <c r="R125" s="21"/>
      <c r="S125" s="7"/>
      <c r="T125" s="7"/>
      <c r="U125" s="6"/>
      <c r="V125" s="11"/>
      <c r="W125" s="6"/>
      <c r="X125" s="6"/>
      <c r="Y125" s="6"/>
      <c r="Z125" s="6"/>
      <c r="AA125" s="8"/>
      <c r="AB125" s="8"/>
      <c r="AC125" s="6"/>
      <c r="AD125" s="6"/>
      <c r="AE125" s="9"/>
    </row>
    <row r="126" spans="1:31" s="10" customFormat="1" ht="16.5" x14ac:dyDescent="0.25">
      <c r="A126" s="3">
        <v>108</v>
      </c>
      <c r="B126" s="18" t="s">
        <v>34</v>
      </c>
      <c r="C126" s="19"/>
      <c r="D126" s="4"/>
      <c r="E126" s="3"/>
      <c r="F126" s="3"/>
      <c r="G126" s="3"/>
      <c r="H126" s="3"/>
      <c r="I126" s="21"/>
      <c r="J126" s="3"/>
      <c r="K126" s="3"/>
      <c r="L126" s="3"/>
      <c r="M126" s="3"/>
      <c r="N126" s="3"/>
      <c r="O126" s="3"/>
      <c r="P126" s="3"/>
      <c r="Q126" s="15"/>
      <c r="R126" s="21"/>
      <c r="S126" s="7"/>
      <c r="T126" s="7"/>
      <c r="U126" s="6"/>
      <c r="V126" s="11"/>
      <c r="W126" s="6"/>
      <c r="X126" s="6"/>
      <c r="Y126" s="6"/>
      <c r="Z126" s="6"/>
      <c r="AA126" s="8"/>
      <c r="AB126" s="8"/>
      <c r="AC126" s="6"/>
      <c r="AD126" s="6"/>
      <c r="AE126" s="9"/>
    </row>
    <row r="127" spans="1:31" s="10" customFormat="1" ht="16.5" x14ac:dyDescent="0.25">
      <c r="A127" s="3">
        <v>109</v>
      </c>
      <c r="B127" s="18" t="s">
        <v>34</v>
      </c>
      <c r="C127" s="19"/>
      <c r="D127" s="4"/>
      <c r="E127" s="3"/>
      <c r="F127" s="3"/>
      <c r="G127" s="3"/>
      <c r="H127" s="3"/>
      <c r="I127" s="21"/>
      <c r="J127" s="3"/>
      <c r="K127" s="3"/>
      <c r="L127" s="3"/>
      <c r="M127" s="3"/>
      <c r="N127" s="3"/>
      <c r="O127" s="3"/>
      <c r="P127" s="3"/>
      <c r="Q127" s="15"/>
      <c r="R127" s="21"/>
      <c r="S127" s="7"/>
      <c r="T127" s="7"/>
      <c r="U127" s="6"/>
      <c r="V127" s="11"/>
      <c r="W127" s="6"/>
      <c r="X127" s="6"/>
      <c r="Y127" s="6"/>
      <c r="Z127" s="6"/>
      <c r="AA127" s="8"/>
      <c r="AB127" s="8"/>
      <c r="AC127" s="6"/>
      <c r="AD127" s="6"/>
      <c r="AE127" s="9"/>
    </row>
    <row r="128" spans="1:31" s="10" customFormat="1" ht="16.5" x14ac:dyDescent="0.25">
      <c r="A128" s="3">
        <v>110</v>
      </c>
      <c r="B128" s="3" t="s">
        <v>34</v>
      </c>
      <c r="C128" s="19"/>
      <c r="D128" s="4"/>
      <c r="E128" s="3"/>
      <c r="F128" s="3"/>
      <c r="G128" s="3"/>
      <c r="H128" s="3"/>
      <c r="I128" s="21"/>
      <c r="J128" s="3"/>
      <c r="K128" s="3"/>
      <c r="L128" s="3"/>
      <c r="M128" s="3"/>
      <c r="N128" s="3"/>
      <c r="O128" s="3"/>
      <c r="P128" s="3"/>
      <c r="Q128" s="15"/>
      <c r="R128" s="21"/>
      <c r="S128" s="7"/>
      <c r="T128" s="7"/>
      <c r="U128" s="6"/>
      <c r="V128" s="11"/>
      <c r="W128" s="6"/>
      <c r="X128" s="6"/>
      <c r="Y128" s="6"/>
      <c r="Z128" s="6"/>
      <c r="AA128" s="8"/>
      <c r="AB128" s="8"/>
      <c r="AC128" s="6"/>
      <c r="AD128" s="6"/>
      <c r="AE128" s="9"/>
    </row>
    <row r="129" spans="1:31" s="10" customFormat="1" ht="16.5" x14ac:dyDescent="0.25">
      <c r="A129" s="3">
        <v>111</v>
      </c>
      <c r="B129" s="18" t="s">
        <v>34</v>
      </c>
      <c r="C129" s="19"/>
      <c r="D129" s="4"/>
      <c r="E129" s="3"/>
      <c r="F129" s="3"/>
      <c r="G129" s="3"/>
      <c r="H129" s="3"/>
      <c r="I129" s="21"/>
      <c r="J129" s="3"/>
      <c r="K129" s="3"/>
      <c r="L129" s="3"/>
      <c r="M129" s="3"/>
      <c r="N129" s="3"/>
      <c r="O129" s="3"/>
      <c r="P129" s="3"/>
      <c r="Q129" s="15"/>
      <c r="R129" s="21"/>
      <c r="S129" s="7"/>
      <c r="T129" s="7"/>
      <c r="U129" s="6"/>
      <c r="V129" s="11"/>
      <c r="W129" s="6"/>
      <c r="X129" s="6"/>
      <c r="Y129" s="6"/>
      <c r="Z129" s="6"/>
      <c r="AA129" s="8"/>
      <c r="AB129" s="8"/>
      <c r="AC129" s="6"/>
      <c r="AD129" s="6"/>
      <c r="AE129" s="9"/>
    </row>
    <row r="130" spans="1:31" s="10" customFormat="1" ht="16.5" x14ac:dyDescent="0.25">
      <c r="A130" s="3">
        <v>112</v>
      </c>
      <c r="B130" s="18" t="s">
        <v>34</v>
      </c>
      <c r="C130" s="19"/>
      <c r="D130" s="4"/>
      <c r="E130" s="3"/>
      <c r="F130" s="3"/>
      <c r="G130" s="3"/>
      <c r="H130" s="3"/>
      <c r="I130" s="21"/>
      <c r="J130" s="3"/>
      <c r="K130" s="3"/>
      <c r="L130" s="3"/>
      <c r="M130" s="3"/>
      <c r="N130" s="3"/>
      <c r="O130" s="3"/>
      <c r="P130" s="3"/>
      <c r="Q130" s="15"/>
      <c r="R130" s="21"/>
      <c r="S130" s="7"/>
      <c r="T130" s="7"/>
      <c r="U130" s="6"/>
      <c r="V130" s="11"/>
      <c r="W130" s="6"/>
      <c r="X130" s="6"/>
      <c r="Y130" s="6"/>
      <c r="Z130" s="6"/>
      <c r="AA130" s="8"/>
      <c r="AB130" s="8"/>
      <c r="AC130" s="6"/>
      <c r="AD130" s="6"/>
      <c r="AE130" s="9"/>
    </row>
    <row r="131" spans="1:31" s="10" customFormat="1" ht="16.5" x14ac:dyDescent="0.25">
      <c r="A131" s="3">
        <v>113</v>
      </c>
      <c r="B131" s="18" t="s">
        <v>34</v>
      </c>
      <c r="C131" s="5"/>
      <c r="D131" s="4"/>
      <c r="E131" s="6"/>
      <c r="F131" s="6"/>
      <c r="G131" s="6"/>
      <c r="H131" s="6"/>
      <c r="I131" s="7"/>
      <c r="J131" s="3"/>
      <c r="K131" s="3"/>
      <c r="L131" s="3"/>
      <c r="M131" s="3"/>
      <c r="N131" s="3"/>
      <c r="O131" s="3"/>
      <c r="P131" s="3"/>
      <c r="Q131" s="15"/>
      <c r="R131" s="6"/>
      <c r="S131" s="6"/>
      <c r="T131" s="6"/>
      <c r="U131" s="6"/>
      <c r="V131" s="11"/>
      <c r="W131" s="6"/>
      <c r="X131" s="6"/>
      <c r="Y131" s="6"/>
      <c r="Z131" s="6"/>
      <c r="AA131" s="8"/>
      <c r="AB131" s="8"/>
      <c r="AC131" s="6"/>
      <c r="AD131" s="6"/>
      <c r="AE131" s="9"/>
    </row>
  </sheetData>
  <mergeCells count="17">
    <mergeCell ref="B112:H112"/>
    <mergeCell ref="B103:H103"/>
    <mergeCell ref="B100:H100"/>
    <mergeCell ref="B98:H98"/>
    <mergeCell ref="B93:H93"/>
    <mergeCell ref="B89:H89"/>
    <mergeCell ref="B78:H78"/>
    <mergeCell ref="B74:H74"/>
    <mergeCell ref="A1:AC1"/>
    <mergeCell ref="B15:H15"/>
    <mergeCell ref="B25:H25"/>
    <mergeCell ref="B47:H47"/>
    <mergeCell ref="B72:H72"/>
    <mergeCell ref="B67:H67"/>
    <mergeCell ref="B63:H63"/>
    <mergeCell ref="B61:H61"/>
    <mergeCell ref="B9:H9"/>
  </mergeCells>
  <phoneticPr fontId="4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21"/>
  <sheetViews>
    <sheetView zoomScale="80" zoomScaleNormal="80" workbookViewId="0">
      <pane ySplit="2" topLeftCell="A176" activePane="bottomLeft" state="frozen"/>
      <selection pane="bottomLeft" activeCell="C192" sqref="C192:G192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9" width="12" customWidth="1"/>
    <col min="10" max="10" width="8.42578125" customWidth="1"/>
    <col min="11" max="11" width="7.28515625" customWidth="1"/>
    <col min="12" max="12" width="8.28515625" customWidth="1"/>
    <col min="13" max="13" width="7.5703125" customWidth="1"/>
    <col min="14" max="14" width="5.5703125" customWidth="1"/>
    <col min="15" max="16" width="9.42578125" customWidth="1"/>
    <col min="17" max="17" width="14.5703125" customWidth="1"/>
    <col min="18" max="20" width="12.140625" customWidth="1"/>
    <col min="21" max="21" width="10.7109375" customWidth="1"/>
    <col min="22" max="22" width="13.28515625" customWidth="1"/>
    <col min="23" max="24" width="9" customWidth="1"/>
    <col min="25" max="25" width="10.28515625" customWidth="1"/>
    <col min="26" max="26" width="15.140625" customWidth="1"/>
    <col min="27" max="27" width="16.85546875" customWidth="1"/>
    <col min="28" max="28" width="20.7109375" customWidth="1"/>
    <col min="29" max="30" width="18.5703125" customWidth="1"/>
    <col min="31" max="31" width="9.140625" style="2"/>
  </cols>
  <sheetData>
    <row r="1" spans="1:31" ht="25.5" customHeight="1" x14ac:dyDescent="0.35">
      <c r="A1" s="76" t="s">
        <v>40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2"/>
    </row>
    <row r="2" spans="1:31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4</v>
      </c>
      <c r="K2" s="1" t="s">
        <v>3</v>
      </c>
      <c r="L2" s="1" t="s">
        <v>1</v>
      </c>
      <c r="M2" s="1" t="s">
        <v>19</v>
      </c>
      <c r="N2" s="1" t="s">
        <v>11</v>
      </c>
      <c r="O2" s="1" t="s">
        <v>12</v>
      </c>
      <c r="P2" s="1" t="s">
        <v>52</v>
      </c>
      <c r="Q2" s="1" t="s">
        <v>2</v>
      </c>
      <c r="R2" s="1" t="s">
        <v>20</v>
      </c>
      <c r="S2" s="1" t="s">
        <v>29</v>
      </c>
      <c r="T2" s="1" t="s">
        <v>30</v>
      </c>
      <c r="U2" s="1" t="s">
        <v>31</v>
      </c>
      <c r="V2" s="1" t="s">
        <v>22</v>
      </c>
      <c r="W2" s="1" t="s">
        <v>21</v>
      </c>
      <c r="X2" s="1" t="s">
        <v>23</v>
      </c>
      <c r="Y2" s="1" t="s">
        <v>24</v>
      </c>
      <c r="Z2" s="1" t="s">
        <v>14</v>
      </c>
      <c r="AA2" s="1" t="s">
        <v>13</v>
      </c>
      <c r="AB2" s="1" t="s">
        <v>18</v>
      </c>
      <c r="AC2" s="1" t="s">
        <v>8</v>
      </c>
      <c r="AD2" s="1" t="s">
        <v>35</v>
      </c>
    </row>
    <row r="3" spans="1:31" s="10" customFormat="1" ht="47.25" x14ac:dyDescent="0.25">
      <c r="A3" s="3">
        <v>1</v>
      </c>
      <c r="B3" s="3" t="s">
        <v>28</v>
      </c>
      <c r="C3" s="5" t="s">
        <v>71</v>
      </c>
      <c r="D3" s="4" t="s">
        <v>72</v>
      </c>
      <c r="E3" s="6">
        <v>14</v>
      </c>
      <c r="F3" s="6">
        <v>201</v>
      </c>
      <c r="G3" s="6">
        <v>64.3</v>
      </c>
      <c r="H3" s="6" t="s">
        <v>55</v>
      </c>
      <c r="I3" s="7">
        <v>45660</v>
      </c>
      <c r="J3" s="3"/>
      <c r="K3" s="3"/>
      <c r="L3" s="3" t="s">
        <v>1</v>
      </c>
      <c r="M3" s="3"/>
      <c r="N3" s="3"/>
      <c r="O3" s="3"/>
      <c r="P3" s="3"/>
      <c r="Q3" s="6" t="s">
        <v>133</v>
      </c>
      <c r="R3" s="7"/>
      <c r="S3" s="7"/>
      <c r="T3" s="7"/>
      <c r="U3" s="8"/>
      <c r="V3" s="6"/>
      <c r="W3" s="6"/>
      <c r="X3" s="6"/>
      <c r="Y3" s="8"/>
      <c r="Z3" s="8"/>
      <c r="AA3" s="8"/>
      <c r="AB3" s="6"/>
      <c r="AC3" s="8" t="s">
        <v>675</v>
      </c>
      <c r="AD3" s="6"/>
      <c r="AE3" s="9"/>
    </row>
    <row r="4" spans="1:31" s="10" customFormat="1" ht="31.5" x14ac:dyDescent="0.25">
      <c r="A4" s="3">
        <v>2</v>
      </c>
      <c r="B4" s="3" t="s">
        <v>28</v>
      </c>
      <c r="C4" s="5" t="s">
        <v>77</v>
      </c>
      <c r="D4" s="4" t="s">
        <v>78</v>
      </c>
      <c r="E4" s="6">
        <v>3</v>
      </c>
      <c r="F4" s="6">
        <v>72</v>
      </c>
      <c r="G4" s="3">
        <v>249.9</v>
      </c>
      <c r="H4" s="3" t="s">
        <v>51</v>
      </c>
      <c r="I4" s="7">
        <v>45660</v>
      </c>
      <c r="J4" s="3"/>
      <c r="K4" s="3" t="s">
        <v>62</v>
      </c>
      <c r="L4" s="3"/>
      <c r="M4" s="3"/>
      <c r="N4" s="3"/>
      <c r="O4" s="3"/>
      <c r="P4" s="3"/>
      <c r="Q4" s="6" t="s">
        <v>133</v>
      </c>
      <c r="R4" s="7">
        <v>45671</v>
      </c>
      <c r="S4" s="7">
        <v>45700</v>
      </c>
      <c r="T4" s="7">
        <v>45700</v>
      </c>
      <c r="U4" s="6">
        <v>749</v>
      </c>
      <c r="V4" s="11">
        <v>961551</v>
      </c>
      <c r="W4" s="6"/>
      <c r="X4" s="6"/>
      <c r="Y4" s="6"/>
      <c r="Z4" s="6" t="s">
        <v>2619</v>
      </c>
      <c r="AA4" s="8" t="s">
        <v>2620</v>
      </c>
      <c r="AB4" s="8"/>
      <c r="AC4" s="6"/>
      <c r="AD4" s="6"/>
      <c r="AE4" s="9"/>
    </row>
    <row r="5" spans="1:31" s="10" customFormat="1" ht="47.25" x14ac:dyDescent="0.25">
      <c r="A5" s="3">
        <v>3</v>
      </c>
      <c r="B5" s="3" t="s">
        <v>28</v>
      </c>
      <c r="C5" s="5" t="s">
        <v>130</v>
      </c>
      <c r="D5" s="4" t="s">
        <v>131</v>
      </c>
      <c r="E5" s="6">
        <v>3</v>
      </c>
      <c r="F5" s="6">
        <v>299</v>
      </c>
      <c r="G5" s="6">
        <v>151</v>
      </c>
      <c r="H5" s="6" t="s">
        <v>55</v>
      </c>
      <c r="I5" s="7" t="s">
        <v>132</v>
      </c>
      <c r="J5" s="3"/>
      <c r="K5" s="3"/>
      <c r="L5" s="3" t="s">
        <v>1</v>
      </c>
      <c r="M5" s="3"/>
      <c r="N5" s="3"/>
      <c r="O5" s="3"/>
      <c r="P5" s="3"/>
      <c r="Q5" s="6" t="s">
        <v>133</v>
      </c>
      <c r="R5" s="7"/>
      <c r="S5" s="6"/>
      <c r="T5" s="6"/>
      <c r="U5" s="6"/>
      <c r="V5" s="6"/>
      <c r="W5" s="6"/>
      <c r="X5" s="6"/>
      <c r="Y5" s="6"/>
      <c r="Z5" s="6"/>
      <c r="AA5" s="8"/>
      <c r="AB5" s="8"/>
      <c r="AC5" s="6" t="s">
        <v>1828</v>
      </c>
      <c r="AD5" s="6"/>
      <c r="AE5" s="9"/>
    </row>
    <row r="6" spans="1:31" s="10" customFormat="1" ht="31.5" x14ac:dyDescent="0.25">
      <c r="A6" s="3">
        <v>4</v>
      </c>
      <c r="B6" s="3" t="s">
        <v>28</v>
      </c>
      <c r="C6" s="5" t="s">
        <v>134</v>
      </c>
      <c r="D6" s="4" t="s">
        <v>135</v>
      </c>
      <c r="E6" s="6">
        <v>7</v>
      </c>
      <c r="F6" s="6">
        <v>338</v>
      </c>
      <c r="G6" s="6">
        <v>85.7</v>
      </c>
      <c r="H6" s="6" t="s">
        <v>55</v>
      </c>
      <c r="I6" s="7" t="s">
        <v>140</v>
      </c>
      <c r="J6" s="3"/>
      <c r="K6" s="3"/>
      <c r="L6" s="3" t="s">
        <v>1</v>
      </c>
      <c r="M6" s="3"/>
      <c r="N6" s="3"/>
      <c r="O6" s="3"/>
      <c r="P6" s="3"/>
      <c r="Q6" s="6" t="s">
        <v>133</v>
      </c>
      <c r="R6" s="7">
        <v>45709</v>
      </c>
      <c r="S6" s="7"/>
      <c r="T6" s="7"/>
      <c r="U6" s="6"/>
      <c r="V6" s="11"/>
      <c r="W6" s="6"/>
      <c r="X6" s="6"/>
      <c r="Y6" s="6"/>
      <c r="Z6" s="6"/>
      <c r="AA6" s="8"/>
      <c r="AB6" s="8"/>
      <c r="AC6" s="6"/>
      <c r="AD6" s="6"/>
      <c r="AE6" s="9"/>
    </row>
    <row r="7" spans="1:31" s="10" customFormat="1" ht="63" x14ac:dyDescent="0.25">
      <c r="A7" s="3">
        <v>5</v>
      </c>
      <c r="B7" s="3" t="s">
        <v>28</v>
      </c>
      <c r="C7" s="5" t="s">
        <v>136</v>
      </c>
      <c r="D7" s="4" t="s">
        <v>137</v>
      </c>
      <c r="E7" s="6">
        <v>20</v>
      </c>
      <c r="F7" s="6">
        <v>99</v>
      </c>
      <c r="G7" s="6">
        <v>164</v>
      </c>
      <c r="H7" s="6" t="s">
        <v>55</v>
      </c>
      <c r="I7" s="7" t="s">
        <v>129</v>
      </c>
      <c r="J7" s="3"/>
      <c r="K7" s="3"/>
      <c r="L7" s="3"/>
      <c r="M7" s="3"/>
      <c r="N7" s="3"/>
      <c r="O7" s="3"/>
      <c r="P7" s="3" t="s">
        <v>52</v>
      </c>
      <c r="Q7" s="6" t="s">
        <v>133</v>
      </c>
      <c r="R7" s="7" t="s">
        <v>2710</v>
      </c>
      <c r="S7" s="7">
        <v>45833</v>
      </c>
      <c r="T7" s="7">
        <v>45833</v>
      </c>
      <c r="U7" s="20">
        <v>1912</v>
      </c>
      <c r="V7" s="11">
        <v>2523992</v>
      </c>
      <c r="W7" s="6"/>
      <c r="X7" s="6"/>
      <c r="Y7" s="6"/>
      <c r="Z7" s="6"/>
      <c r="AA7" s="8"/>
      <c r="AB7" s="8"/>
      <c r="AC7" s="6" t="s">
        <v>2724</v>
      </c>
      <c r="AD7" s="6"/>
      <c r="AE7" s="9"/>
    </row>
    <row r="8" spans="1:31" s="10" customFormat="1" ht="31.5" x14ac:dyDescent="0.25">
      <c r="A8" s="3">
        <v>6</v>
      </c>
      <c r="B8" s="3" t="s">
        <v>28</v>
      </c>
      <c r="C8" s="5" t="s">
        <v>138</v>
      </c>
      <c r="D8" s="4" t="s">
        <v>139</v>
      </c>
      <c r="E8" s="6">
        <v>39</v>
      </c>
      <c r="F8" s="6">
        <v>310</v>
      </c>
      <c r="G8" s="6">
        <v>274.3</v>
      </c>
      <c r="H8" s="6" t="s">
        <v>51</v>
      </c>
      <c r="I8" s="7" t="s">
        <v>94</v>
      </c>
      <c r="J8" s="3" t="s">
        <v>141</v>
      </c>
      <c r="K8" s="3"/>
      <c r="L8" s="3"/>
      <c r="M8" s="3"/>
      <c r="N8" s="3"/>
      <c r="O8" s="3"/>
      <c r="P8" s="3"/>
      <c r="Q8" s="6" t="s">
        <v>133</v>
      </c>
      <c r="R8" s="7">
        <v>45701</v>
      </c>
      <c r="S8" s="7">
        <v>45702</v>
      </c>
      <c r="T8" s="7">
        <v>45702</v>
      </c>
      <c r="U8" s="6">
        <v>793</v>
      </c>
      <c r="V8" s="11">
        <v>961551</v>
      </c>
      <c r="W8" s="6"/>
      <c r="X8" s="6"/>
      <c r="Y8" s="6"/>
      <c r="Z8" s="6" t="s">
        <v>593</v>
      </c>
      <c r="AA8" s="8" t="s">
        <v>594</v>
      </c>
      <c r="AB8" s="8"/>
      <c r="AC8" s="6"/>
      <c r="AD8" s="6"/>
      <c r="AE8" s="9"/>
    </row>
    <row r="9" spans="1:31" s="10" customFormat="1" ht="48" customHeight="1" x14ac:dyDescent="0.25">
      <c r="A9" s="3">
        <v>7</v>
      </c>
      <c r="B9" s="3" t="s">
        <v>28</v>
      </c>
      <c r="C9" s="5" t="s">
        <v>142</v>
      </c>
      <c r="D9" s="4" t="s">
        <v>143</v>
      </c>
      <c r="E9" s="6">
        <v>42</v>
      </c>
      <c r="F9" s="6">
        <v>33</v>
      </c>
      <c r="G9" s="6">
        <v>90.9</v>
      </c>
      <c r="H9" s="3" t="s">
        <v>55</v>
      </c>
      <c r="I9" s="7" t="s">
        <v>94</v>
      </c>
      <c r="J9" s="3"/>
      <c r="K9" s="3"/>
      <c r="L9" s="3"/>
      <c r="M9" s="3"/>
      <c r="N9" s="3"/>
      <c r="O9" s="3"/>
      <c r="P9" s="3" t="s">
        <v>52</v>
      </c>
      <c r="Q9" s="6" t="s">
        <v>133</v>
      </c>
      <c r="R9" s="7">
        <v>45757</v>
      </c>
      <c r="S9" s="7">
        <v>45761</v>
      </c>
      <c r="T9" s="7">
        <v>45761</v>
      </c>
      <c r="U9" s="6">
        <v>2212</v>
      </c>
      <c r="V9" s="11">
        <v>2125468</v>
      </c>
      <c r="W9" s="6"/>
      <c r="X9" s="6"/>
      <c r="Y9" s="6"/>
      <c r="Z9" s="6" t="s">
        <v>1572</v>
      </c>
      <c r="AA9" s="8" t="s">
        <v>1002</v>
      </c>
      <c r="AB9" s="8" t="s">
        <v>363</v>
      </c>
      <c r="AC9" s="6" t="s">
        <v>362</v>
      </c>
      <c r="AD9" s="6"/>
      <c r="AE9" s="9"/>
    </row>
    <row r="10" spans="1:31" s="10" customFormat="1" ht="31.5" x14ac:dyDescent="0.25">
      <c r="A10" s="3">
        <v>8</v>
      </c>
      <c r="B10" s="3" t="s">
        <v>28</v>
      </c>
      <c r="C10" s="5" t="s">
        <v>183</v>
      </c>
      <c r="D10" s="4" t="s">
        <v>184</v>
      </c>
      <c r="E10" s="6">
        <v>24</v>
      </c>
      <c r="F10" s="6">
        <v>288</v>
      </c>
      <c r="G10" s="6">
        <v>494.6</v>
      </c>
      <c r="H10" s="6" t="s">
        <v>51</v>
      </c>
      <c r="I10" s="7">
        <v>45297</v>
      </c>
      <c r="J10" s="3"/>
      <c r="K10" s="3"/>
      <c r="L10" s="3" t="s">
        <v>1</v>
      </c>
      <c r="M10" s="3"/>
      <c r="N10" s="3"/>
      <c r="O10" s="3"/>
      <c r="P10" s="3"/>
      <c r="Q10" s="6" t="s">
        <v>133</v>
      </c>
      <c r="R10" s="7">
        <v>45695</v>
      </c>
      <c r="S10" s="7">
        <v>45702</v>
      </c>
      <c r="T10" s="7">
        <v>45702</v>
      </c>
      <c r="U10" s="6">
        <v>786</v>
      </c>
      <c r="V10" s="11">
        <v>1019155</v>
      </c>
      <c r="W10" s="6"/>
      <c r="X10" s="6"/>
      <c r="Y10" s="6"/>
      <c r="Z10" s="6"/>
      <c r="AA10" s="8"/>
      <c r="AB10" s="8"/>
      <c r="AC10" s="6" t="s">
        <v>550</v>
      </c>
      <c r="AD10" s="6"/>
      <c r="AE10" s="9"/>
    </row>
    <row r="11" spans="1:31" s="10" customFormat="1" ht="15.75" x14ac:dyDescent="0.25">
      <c r="A11" s="3">
        <v>9</v>
      </c>
      <c r="B11" s="3" t="s">
        <v>28</v>
      </c>
      <c r="C11" s="5" t="s">
        <v>185</v>
      </c>
      <c r="D11" s="4" t="s">
        <v>186</v>
      </c>
      <c r="E11" s="6">
        <v>20</v>
      </c>
      <c r="F11" s="6">
        <v>181</v>
      </c>
      <c r="G11" s="6">
        <v>710</v>
      </c>
      <c r="H11" s="6" t="s">
        <v>75</v>
      </c>
      <c r="I11" s="7">
        <v>45297</v>
      </c>
      <c r="J11" s="3"/>
      <c r="K11" s="3" t="s">
        <v>62</v>
      </c>
      <c r="L11" s="3"/>
      <c r="M11" s="3"/>
      <c r="N11" s="3"/>
      <c r="O11" s="3"/>
      <c r="P11" s="3"/>
      <c r="Q11" s="6" t="s">
        <v>133</v>
      </c>
      <c r="R11" s="7">
        <v>45706</v>
      </c>
      <c r="S11" s="7">
        <v>45743</v>
      </c>
      <c r="T11" s="7">
        <v>45743</v>
      </c>
      <c r="U11" s="6">
        <v>1782</v>
      </c>
      <c r="V11" s="11">
        <v>961551</v>
      </c>
      <c r="W11" s="6"/>
      <c r="X11" s="6"/>
      <c r="Y11" s="6"/>
      <c r="Z11" s="6"/>
      <c r="AA11" s="8"/>
      <c r="AB11" s="8"/>
      <c r="AC11" s="6"/>
      <c r="AD11" s="6"/>
      <c r="AE11" s="9"/>
    </row>
    <row r="12" spans="1:31" s="10" customFormat="1" ht="15.75" x14ac:dyDescent="0.25">
      <c r="A12" s="3">
        <v>10</v>
      </c>
      <c r="B12" s="3" t="s">
        <v>28</v>
      </c>
      <c r="C12" s="5" t="s">
        <v>193</v>
      </c>
      <c r="D12" s="4" t="s">
        <v>194</v>
      </c>
      <c r="E12" s="6">
        <v>30</v>
      </c>
      <c r="F12" s="6">
        <v>50</v>
      </c>
      <c r="G12" s="6">
        <v>662.3</v>
      </c>
      <c r="H12" s="6" t="s">
        <v>75</v>
      </c>
      <c r="I12" s="7"/>
      <c r="J12" s="3"/>
      <c r="K12" s="3"/>
      <c r="L12" s="3"/>
      <c r="M12" s="3"/>
      <c r="N12" s="3"/>
      <c r="O12" s="3"/>
      <c r="P12" s="3"/>
      <c r="Q12" s="6" t="s">
        <v>190</v>
      </c>
      <c r="R12" s="7">
        <v>45643</v>
      </c>
      <c r="S12" s="7"/>
      <c r="T12" s="7"/>
      <c r="U12" s="6"/>
      <c r="V12" s="11"/>
      <c r="W12" s="6"/>
      <c r="X12" s="6"/>
      <c r="Y12" s="6"/>
      <c r="Z12" s="6" t="s">
        <v>195</v>
      </c>
      <c r="AA12" s="8"/>
      <c r="AB12" s="8" t="s">
        <v>196</v>
      </c>
      <c r="AC12" s="6"/>
      <c r="AD12" s="6"/>
      <c r="AE12" s="9"/>
    </row>
    <row r="13" spans="1:31" s="10" customFormat="1" ht="47.25" x14ac:dyDescent="0.25">
      <c r="A13" s="3">
        <v>11</v>
      </c>
      <c r="B13" s="3" t="s">
        <v>28</v>
      </c>
      <c r="C13" s="5" t="s">
        <v>197</v>
      </c>
      <c r="D13" s="4" t="s">
        <v>198</v>
      </c>
      <c r="E13" s="6">
        <v>7</v>
      </c>
      <c r="F13" s="6">
        <v>6</v>
      </c>
      <c r="G13" s="6">
        <v>32.700000000000003</v>
      </c>
      <c r="H13" s="6" t="s">
        <v>199</v>
      </c>
      <c r="I13" s="7">
        <v>45664</v>
      </c>
      <c r="J13" s="3"/>
      <c r="K13" s="3"/>
      <c r="L13" s="3" t="s">
        <v>1</v>
      </c>
      <c r="M13" s="3"/>
      <c r="N13" s="3"/>
      <c r="O13" s="3"/>
      <c r="P13" s="3"/>
      <c r="Q13" s="6" t="s">
        <v>133</v>
      </c>
      <c r="R13" s="7"/>
      <c r="S13" s="7"/>
      <c r="T13" s="7"/>
      <c r="U13" s="6"/>
      <c r="V13" s="11"/>
      <c r="W13" s="6"/>
      <c r="X13" s="6"/>
      <c r="Y13" s="6"/>
      <c r="Z13" s="6"/>
      <c r="AA13" s="8"/>
      <c r="AB13" s="8"/>
      <c r="AC13" s="6" t="s">
        <v>406</v>
      </c>
      <c r="AD13" s="6"/>
      <c r="AE13" s="9"/>
    </row>
    <row r="14" spans="1:31" s="10" customFormat="1" ht="47.25" x14ac:dyDescent="0.25">
      <c r="A14" s="3">
        <v>12</v>
      </c>
      <c r="B14" s="3" t="s">
        <v>28</v>
      </c>
      <c r="C14" s="5" t="s">
        <v>203</v>
      </c>
      <c r="D14" s="4" t="s">
        <v>198</v>
      </c>
      <c r="E14" s="6">
        <v>7</v>
      </c>
      <c r="F14" s="6">
        <v>523</v>
      </c>
      <c r="G14" s="6">
        <v>700.3</v>
      </c>
      <c r="H14" s="6" t="s">
        <v>75</v>
      </c>
      <c r="I14" s="7">
        <v>45664</v>
      </c>
      <c r="J14" s="3"/>
      <c r="K14" s="3"/>
      <c r="L14" s="3" t="s">
        <v>1</v>
      </c>
      <c r="M14" s="3"/>
      <c r="N14" s="3"/>
      <c r="O14" s="3"/>
      <c r="P14" s="3"/>
      <c r="Q14" s="6" t="s">
        <v>133</v>
      </c>
      <c r="R14" s="7"/>
      <c r="S14" s="7"/>
      <c r="T14" s="7"/>
      <c r="U14" s="6"/>
      <c r="V14" s="11"/>
      <c r="W14" s="6"/>
      <c r="X14" s="6"/>
      <c r="Y14" s="6"/>
      <c r="Z14" s="6"/>
      <c r="AA14" s="8"/>
      <c r="AB14" s="8"/>
      <c r="AC14" s="6" t="s">
        <v>406</v>
      </c>
      <c r="AD14" s="6"/>
      <c r="AE14" s="9"/>
    </row>
    <row r="15" spans="1:31" s="10" customFormat="1" ht="31.5" x14ac:dyDescent="0.25">
      <c r="A15" s="3">
        <v>13</v>
      </c>
      <c r="B15" s="3" t="s">
        <v>28</v>
      </c>
      <c r="C15" s="5" t="s">
        <v>219</v>
      </c>
      <c r="D15" s="4" t="s">
        <v>220</v>
      </c>
      <c r="E15" s="6">
        <v>3</v>
      </c>
      <c r="F15" s="6">
        <v>226</v>
      </c>
      <c r="G15" s="6">
        <v>231.4</v>
      </c>
      <c r="H15" s="6" t="s">
        <v>55</v>
      </c>
      <c r="I15" s="7">
        <v>45665</v>
      </c>
      <c r="J15" s="3" t="s">
        <v>153</v>
      </c>
      <c r="K15" s="3"/>
      <c r="L15" s="3"/>
      <c r="M15" s="3"/>
      <c r="N15" s="3"/>
      <c r="O15" s="3"/>
      <c r="P15" s="3"/>
      <c r="Q15" s="6" t="s">
        <v>133</v>
      </c>
      <c r="R15" s="7">
        <v>45671</v>
      </c>
      <c r="S15" s="7">
        <v>45677</v>
      </c>
      <c r="T15" s="7">
        <v>45677</v>
      </c>
      <c r="U15" s="6">
        <v>389</v>
      </c>
      <c r="V15" s="11">
        <v>1619454</v>
      </c>
      <c r="W15" s="6"/>
      <c r="X15" s="6"/>
      <c r="Y15" s="6"/>
      <c r="Z15" s="6" t="s">
        <v>1409</v>
      </c>
      <c r="AA15" s="8" t="s">
        <v>1398</v>
      </c>
      <c r="AB15" s="8"/>
      <c r="AC15" s="6"/>
      <c r="AD15" s="6"/>
      <c r="AE15" s="9"/>
    </row>
    <row r="16" spans="1:31" s="10" customFormat="1" ht="15.75" x14ac:dyDescent="0.25">
      <c r="A16" s="3">
        <v>14</v>
      </c>
      <c r="B16" s="3" t="s">
        <v>28</v>
      </c>
      <c r="C16" s="5" t="s">
        <v>221</v>
      </c>
      <c r="D16" s="4" t="s">
        <v>222</v>
      </c>
      <c r="E16" s="6">
        <v>18</v>
      </c>
      <c r="F16" s="6">
        <v>342</v>
      </c>
      <c r="G16" s="6">
        <v>400.9</v>
      </c>
      <c r="H16" s="6" t="s">
        <v>75</v>
      </c>
      <c r="I16" s="7">
        <v>45665</v>
      </c>
      <c r="J16" s="3" t="s">
        <v>153</v>
      </c>
      <c r="K16" s="3"/>
      <c r="L16" s="3"/>
      <c r="M16" s="3"/>
      <c r="N16" s="3"/>
      <c r="O16" s="3"/>
      <c r="P16" s="3"/>
      <c r="Q16" s="6" t="s">
        <v>133</v>
      </c>
      <c r="R16" s="7"/>
      <c r="S16" s="7"/>
      <c r="T16" s="7"/>
      <c r="U16" s="6"/>
      <c r="V16" s="11"/>
      <c r="W16" s="6"/>
      <c r="X16" s="6"/>
      <c r="Y16" s="6"/>
      <c r="Z16" s="6"/>
      <c r="AA16" s="8"/>
      <c r="AB16" s="8"/>
      <c r="AC16" s="6"/>
      <c r="AD16" s="6"/>
      <c r="AE16" s="9"/>
    </row>
    <row r="17" spans="1:31" s="10" customFormat="1" ht="31.5" x14ac:dyDescent="0.25">
      <c r="A17" s="3">
        <v>15</v>
      </c>
      <c r="B17" s="3" t="s">
        <v>28</v>
      </c>
      <c r="C17" s="5" t="s">
        <v>232</v>
      </c>
      <c r="D17" s="4" t="s">
        <v>233</v>
      </c>
      <c r="E17" s="6">
        <v>31</v>
      </c>
      <c r="F17" s="6">
        <v>105</v>
      </c>
      <c r="G17" s="6">
        <v>333.3</v>
      </c>
      <c r="H17" s="6" t="s">
        <v>55</v>
      </c>
      <c r="I17" s="7">
        <v>45666</v>
      </c>
      <c r="J17" s="3" t="s">
        <v>153</v>
      </c>
      <c r="K17" s="3"/>
      <c r="L17" s="3"/>
      <c r="M17" s="3"/>
      <c r="N17" s="3"/>
      <c r="O17" s="3"/>
      <c r="P17" s="3"/>
      <c r="Q17" s="6" t="s">
        <v>133</v>
      </c>
      <c r="R17" s="7">
        <v>45693</v>
      </c>
      <c r="S17" s="7">
        <v>45709</v>
      </c>
      <c r="T17" s="7">
        <v>45709</v>
      </c>
      <c r="U17" s="20">
        <v>947</v>
      </c>
      <c r="V17" s="11">
        <v>961551</v>
      </c>
      <c r="W17" s="6"/>
      <c r="X17" s="6"/>
      <c r="Y17" s="6"/>
      <c r="Z17" s="6" t="s">
        <v>1480</v>
      </c>
      <c r="AA17" s="8" t="s">
        <v>1481</v>
      </c>
      <c r="AB17" s="8"/>
      <c r="AC17" s="6"/>
      <c r="AD17" s="6"/>
      <c r="AE17" s="9"/>
    </row>
    <row r="18" spans="1:31" s="10" customFormat="1" ht="47.25" x14ac:dyDescent="0.25">
      <c r="A18" s="3">
        <v>16</v>
      </c>
      <c r="B18" s="3" t="s">
        <v>28</v>
      </c>
      <c r="C18" s="5" t="s">
        <v>236</v>
      </c>
      <c r="D18" s="4"/>
      <c r="E18" s="6">
        <v>20</v>
      </c>
      <c r="F18" s="6">
        <v>102</v>
      </c>
      <c r="G18" s="6">
        <v>158.6</v>
      </c>
      <c r="H18" s="6" t="s">
        <v>51</v>
      </c>
      <c r="I18" s="7">
        <v>45666</v>
      </c>
      <c r="J18" s="3"/>
      <c r="K18" s="3"/>
      <c r="L18" s="3"/>
      <c r="M18" s="3"/>
      <c r="N18" s="3"/>
      <c r="O18" s="3"/>
      <c r="P18" s="3" t="s">
        <v>52</v>
      </c>
      <c r="Q18" s="6" t="s">
        <v>133</v>
      </c>
      <c r="R18" s="7" t="s">
        <v>345</v>
      </c>
      <c r="S18" s="7"/>
      <c r="T18" s="7"/>
      <c r="U18" s="6"/>
      <c r="V18" s="11"/>
      <c r="W18" s="6"/>
      <c r="X18" s="6"/>
      <c r="Y18" s="6"/>
      <c r="Z18" s="6"/>
      <c r="AA18" s="8"/>
      <c r="AB18" s="8"/>
      <c r="AC18" s="6"/>
      <c r="AD18" s="6"/>
      <c r="AE18" s="9"/>
    </row>
    <row r="19" spans="1:31" s="10" customFormat="1" ht="31.5" x14ac:dyDescent="0.25">
      <c r="A19" s="3">
        <v>17</v>
      </c>
      <c r="B19" s="3" t="s">
        <v>28</v>
      </c>
      <c r="C19" s="5" t="s">
        <v>245</v>
      </c>
      <c r="D19" s="4" t="s">
        <v>246</v>
      </c>
      <c r="E19" s="6">
        <v>18</v>
      </c>
      <c r="F19" s="6">
        <v>704</v>
      </c>
      <c r="G19" s="6">
        <v>344.5</v>
      </c>
      <c r="H19" s="6" t="s">
        <v>51</v>
      </c>
      <c r="I19" s="7" t="s">
        <v>1241</v>
      </c>
      <c r="J19" s="3"/>
      <c r="K19" s="3"/>
      <c r="L19" s="3" t="s">
        <v>1</v>
      </c>
      <c r="M19" s="3"/>
      <c r="N19" s="3"/>
      <c r="O19" s="3"/>
      <c r="P19" s="3"/>
      <c r="Q19" s="6" t="s">
        <v>133</v>
      </c>
      <c r="R19" s="7"/>
      <c r="S19" s="7"/>
      <c r="T19" s="7"/>
      <c r="U19" s="6"/>
      <c r="V19" s="11"/>
      <c r="W19" s="6"/>
      <c r="X19" s="6"/>
      <c r="Y19" s="6"/>
      <c r="Z19" s="6"/>
      <c r="AA19" s="8"/>
      <c r="AB19" s="6" t="s">
        <v>1242</v>
      </c>
      <c r="AC19" s="6" t="s">
        <v>616</v>
      </c>
      <c r="AD19" s="6"/>
      <c r="AE19" s="9"/>
    </row>
    <row r="20" spans="1:31" s="10" customFormat="1" ht="31.5" x14ac:dyDescent="0.25">
      <c r="A20" s="3">
        <v>18</v>
      </c>
      <c r="B20" s="3" t="s">
        <v>28</v>
      </c>
      <c r="C20" s="5" t="s">
        <v>247</v>
      </c>
      <c r="D20" s="4" t="s">
        <v>246</v>
      </c>
      <c r="E20" s="6">
        <v>18</v>
      </c>
      <c r="F20" s="6">
        <v>703</v>
      </c>
      <c r="G20" s="6">
        <v>28.4</v>
      </c>
      <c r="H20" s="6" t="s">
        <v>51</v>
      </c>
      <c r="I20" s="7" t="s">
        <v>1241</v>
      </c>
      <c r="J20" s="3"/>
      <c r="K20" s="3"/>
      <c r="L20" s="3" t="s">
        <v>1</v>
      </c>
      <c r="M20" s="3"/>
      <c r="N20" s="3"/>
      <c r="O20" s="3"/>
      <c r="P20" s="3"/>
      <c r="Q20" s="6" t="s">
        <v>133</v>
      </c>
      <c r="R20" s="7"/>
      <c r="S20" s="7"/>
      <c r="T20" s="7"/>
      <c r="U20" s="6"/>
      <c r="V20" s="11"/>
      <c r="W20" s="6"/>
      <c r="X20" s="6"/>
      <c r="Y20" s="6"/>
      <c r="Z20" s="6"/>
      <c r="AA20" s="8"/>
      <c r="AB20" s="6" t="s">
        <v>1242</v>
      </c>
      <c r="AC20" s="6" t="s">
        <v>616</v>
      </c>
      <c r="AD20" s="6"/>
      <c r="AE20" s="9"/>
    </row>
    <row r="21" spans="1:31" s="10" customFormat="1" ht="31.5" x14ac:dyDescent="0.25">
      <c r="A21" s="3">
        <v>19</v>
      </c>
      <c r="B21" s="3" t="s">
        <v>28</v>
      </c>
      <c r="C21" s="5" t="s">
        <v>262</v>
      </c>
      <c r="D21" s="4" t="s">
        <v>263</v>
      </c>
      <c r="E21" s="6">
        <v>19</v>
      </c>
      <c r="F21" s="6">
        <v>807</v>
      </c>
      <c r="G21" s="6">
        <v>86.4</v>
      </c>
      <c r="H21" s="6" t="s">
        <v>75</v>
      </c>
      <c r="I21" s="7">
        <v>45670</v>
      </c>
      <c r="J21" s="3"/>
      <c r="K21" s="3"/>
      <c r="L21" s="3"/>
      <c r="M21" s="3"/>
      <c r="N21" s="3"/>
      <c r="O21" s="3"/>
      <c r="P21" s="3" t="s">
        <v>52</v>
      </c>
      <c r="Q21" s="6" t="s">
        <v>133</v>
      </c>
      <c r="R21" s="7">
        <v>45706</v>
      </c>
      <c r="S21" s="7">
        <v>45713</v>
      </c>
      <c r="T21" s="7">
        <v>45713</v>
      </c>
      <c r="U21" s="6">
        <v>1030</v>
      </c>
      <c r="V21" s="11">
        <v>2125468</v>
      </c>
      <c r="W21" s="6"/>
      <c r="X21" s="6"/>
      <c r="Y21" s="6"/>
      <c r="Z21" s="6"/>
      <c r="AA21" s="8"/>
      <c r="AB21" s="8"/>
      <c r="AC21" s="6" t="s">
        <v>1384</v>
      </c>
      <c r="AD21" s="6"/>
      <c r="AE21" s="9"/>
    </row>
    <row r="22" spans="1:31" s="10" customFormat="1" ht="31.5" x14ac:dyDescent="0.25">
      <c r="A22" s="3">
        <v>20</v>
      </c>
      <c r="B22" s="3" t="s">
        <v>28</v>
      </c>
      <c r="C22" s="5" t="s">
        <v>264</v>
      </c>
      <c r="D22" s="4" t="s">
        <v>265</v>
      </c>
      <c r="E22" s="6">
        <v>19</v>
      </c>
      <c r="F22" s="6">
        <v>808</v>
      </c>
      <c r="G22" s="6">
        <v>86.5</v>
      </c>
      <c r="H22" s="6" t="s">
        <v>75</v>
      </c>
      <c r="I22" s="7">
        <v>45670</v>
      </c>
      <c r="J22" s="3"/>
      <c r="K22" s="3"/>
      <c r="L22" s="3"/>
      <c r="M22" s="3"/>
      <c r="N22" s="3"/>
      <c r="O22" s="3"/>
      <c r="P22" s="3" t="s">
        <v>52</v>
      </c>
      <c r="Q22" s="6" t="s">
        <v>133</v>
      </c>
      <c r="R22" s="7">
        <v>45706</v>
      </c>
      <c r="S22" s="7">
        <v>45713</v>
      </c>
      <c r="T22" s="7">
        <v>45713</v>
      </c>
      <c r="U22" s="6">
        <v>1031</v>
      </c>
      <c r="V22" s="11">
        <v>2125468</v>
      </c>
      <c r="W22" s="6"/>
      <c r="X22" s="6"/>
      <c r="Y22" s="6"/>
      <c r="Z22" s="6"/>
      <c r="AA22" s="8"/>
      <c r="AB22" s="8"/>
      <c r="AC22" s="6" t="s">
        <v>725</v>
      </c>
      <c r="AD22" s="6"/>
      <c r="AE22" s="9"/>
    </row>
    <row r="23" spans="1:31" s="10" customFormat="1" ht="46.5" customHeight="1" x14ac:dyDescent="0.25">
      <c r="A23" s="3">
        <v>21</v>
      </c>
      <c r="B23" s="3" t="s">
        <v>28</v>
      </c>
      <c r="C23" s="5" t="s">
        <v>303</v>
      </c>
      <c r="D23" s="4" t="s">
        <v>304</v>
      </c>
      <c r="E23" s="6">
        <v>35</v>
      </c>
      <c r="F23" s="6">
        <v>66</v>
      </c>
      <c r="G23" s="6">
        <v>70.3</v>
      </c>
      <c r="H23" s="6" t="s">
        <v>55</v>
      </c>
      <c r="I23" s="7">
        <v>45673</v>
      </c>
      <c r="J23" s="3"/>
      <c r="K23" s="3"/>
      <c r="L23" s="3"/>
      <c r="M23" s="3"/>
      <c r="N23" s="3"/>
      <c r="O23" s="3"/>
      <c r="P23" s="3" t="s">
        <v>52</v>
      </c>
      <c r="Q23" s="6" t="s">
        <v>133</v>
      </c>
      <c r="R23" s="7">
        <v>45824</v>
      </c>
      <c r="S23" s="7">
        <v>45824</v>
      </c>
      <c r="T23" s="7">
        <v>45824</v>
      </c>
      <c r="U23" s="6">
        <v>1593</v>
      </c>
      <c r="V23" s="11">
        <v>2125468</v>
      </c>
      <c r="W23" s="6"/>
      <c r="X23" s="6"/>
      <c r="Y23" s="6"/>
      <c r="Z23" s="6"/>
      <c r="AA23" s="8"/>
      <c r="AB23" s="8" t="s">
        <v>2654</v>
      </c>
      <c r="AC23" s="6" t="s">
        <v>524</v>
      </c>
      <c r="AD23" s="6" t="s">
        <v>626</v>
      </c>
      <c r="AE23" s="9" t="s">
        <v>627</v>
      </c>
    </row>
    <row r="24" spans="1:31" s="10" customFormat="1" ht="108" customHeight="1" x14ac:dyDescent="0.25">
      <c r="A24" s="3">
        <v>22</v>
      </c>
      <c r="B24" s="3" t="s">
        <v>28</v>
      </c>
      <c r="C24" s="5" t="s">
        <v>308</v>
      </c>
      <c r="D24" s="4" t="s">
        <v>309</v>
      </c>
      <c r="E24" s="6">
        <v>20</v>
      </c>
      <c r="F24" s="6">
        <v>126</v>
      </c>
      <c r="G24" s="6">
        <v>3135.6</v>
      </c>
      <c r="H24" s="6" t="s">
        <v>75</v>
      </c>
      <c r="I24" s="7">
        <v>45674</v>
      </c>
      <c r="J24" s="3"/>
      <c r="K24" s="3"/>
      <c r="L24" s="3"/>
      <c r="M24" s="3"/>
      <c r="N24" s="3"/>
      <c r="O24" s="3"/>
      <c r="P24" s="3"/>
      <c r="Q24" s="6" t="s">
        <v>133</v>
      </c>
      <c r="R24" s="7">
        <v>45677</v>
      </c>
      <c r="S24" s="7">
        <v>45677</v>
      </c>
      <c r="T24" s="7">
        <v>45677</v>
      </c>
      <c r="U24" s="6">
        <v>413</v>
      </c>
      <c r="V24" s="11">
        <v>4210331</v>
      </c>
      <c r="W24" s="6"/>
      <c r="X24" s="6"/>
      <c r="Y24" s="6"/>
      <c r="Z24" s="8" t="s">
        <v>346</v>
      </c>
      <c r="AA24" s="8" t="s">
        <v>343</v>
      </c>
      <c r="AB24" s="8"/>
      <c r="AC24" s="6"/>
      <c r="AD24" s="6"/>
      <c r="AE24" s="9"/>
    </row>
    <row r="25" spans="1:31" s="10" customFormat="1" ht="31.5" x14ac:dyDescent="0.25">
      <c r="A25" s="3">
        <v>23</v>
      </c>
      <c r="B25" s="3" t="s">
        <v>28</v>
      </c>
      <c r="C25" s="5" t="s">
        <v>341</v>
      </c>
      <c r="D25" s="4" t="s">
        <v>324</v>
      </c>
      <c r="E25" s="6">
        <v>19</v>
      </c>
      <c r="F25" s="6">
        <v>781</v>
      </c>
      <c r="G25" s="6">
        <v>105.1</v>
      </c>
      <c r="H25" s="6" t="s">
        <v>55</v>
      </c>
      <c r="I25" s="7"/>
      <c r="J25" s="3"/>
      <c r="K25" s="3"/>
      <c r="L25" s="3"/>
      <c r="M25" s="3"/>
      <c r="N25" s="3"/>
      <c r="O25" s="3"/>
      <c r="P25" s="3"/>
      <c r="Q25" s="6" t="s">
        <v>190</v>
      </c>
      <c r="R25" s="7">
        <v>45663</v>
      </c>
      <c r="S25" s="7"/>
      <c r="T25" s="7"/>
      <c r="U25" s="6"/>
      <c r="V25" s="11"/>
      <c r="W25" s="6"/>
      <c r="X25" s="6"/>
      <c r="Y25" s="6"/>
      <c r="Z25" s="6" t="s">
        <v>342</v>
      </c>
      <c r="AA25" s="8" t="s">
        <v>343</v>
      </c>
      <c r="AB25" s="8"/>
      <c r="AC25" s="6"/>
      <c r="AD25" s="6"/>
      <c r="AE25" s="9"/>
    </row>
    <row r="26" spans="1:31" s="10" customFormat="1" ht="47.25" x14ac:dyDescent="0.25">
      <c r="A26" s="3">
        <v>24</v>
      </c>
      <c r="B26" s="3" t="s">
        <v>28</v>
      </c>
      <c r="C26" s="5" t="s">
        <v>355</v>
      </c>
      <c r="D26" s="4" t="s">
        <v>356</v>
      </c>
      <c r="E26" s="6">
        <v>14</v>
      </c>
      <c r="F26" s="6" t="s">
        <v>357</v>
      </c>
      <c r="G26" s="6" t="s">
        <v>358</v>
      </c>
      <c r="H26" s="6" t="s">
        <v>51</v>
      </c>
      <c r="I26" s="7">
        <v>45680</v>
      </c>
      <c r="J26" s="3"/>
      <c r="K26" s="3"/>
      <c r="L26" s="3"/>
      <c r="M26" s="3"/>
      <c r="N26" s="3"/>
      <c r="O26" s="3"/>
      <c r="P26" s="3"/>
      <c r="Q26" s="6" t="s">
        <v>133</v>
      </c>
      <c r="R26" s="7"/>
      <c r="S26" s="7"/>
      <c r="T26" s="7"/>
      <c r="U26" s="6"/>
      <c r="V26" s="11"/>
      <c r="W26" s="6"/>
      <c r="X26" s="6"/>
      <c r="Y26" s="6"/>
      <c r="Z26" s="6"/>
      <c r="AA26" s="8"/>
      <c r="AB26" s="8"/>
      <c r="AC26" s="6" t="s">
        <v>367</v>
      </c>
      <c r="AD26" s="6"/>
      <c r="AE26" s="9"/>
    </row>
    <row r="27" spans="1:31" ht="16.5" x14ac:dyDescent="0.25">
      <c r="A27" s="12"/>
      <c r="B27" s="73" t="s">
        <v>365</v>
      </c>
      <c r="C27" s="74"/>
      <c r="D27" s="74"/>
      <c r="E27" s="74"/>
      <c r="F27" s="74"/>
      <c r="G27" s="74"/>
      <c r="H27" s="75"/>
      <c r="I27" s="13"/>
      <c r="J27" s="14">
        <f>COUNTIF(J3:J26,"CQ")+COUNTIF(J3:J26,"CN")+COUNTIF(J3:J26,"TT")</f>
        <v>4</v>
      </c>
      <c r="K27" s="14">
        <f>COUNTIF(K3:K26,"CMĐ")</f>
        <v>2</v>
      </c>
      <c r="L27" s="14">
        <f>COUNTIF(L3:L26,"XMDT")+COUNTIF(L3:L26,"Mốc")</f>
        <v>8</v>
      </c>
      <c r="M27" s="14">
        <f>COUNTIF(M26,"THÁn")</f>
        <v>0</v>
      </c>
      <c r="N27" s="14">
        <f>COUNTIF(N26,"TÒA")</f>
        <v>0</v>
      </c>
      <c r="O27" s="14">
        <f>COUNTIF(O21:O26,"Cấp GCN")</f>
        <v>0</v>
      </c>
      <c r="P27" s="14">
        <f>COUNTIF(P3:P26,"SHN")</f>
        <v>6</v>
      </c>
      <c r="Q27" s="15"/>
      <c r="R27" s="13"/>
      <c r="S27" s="15"/>
      <c r="T27" s="15"/>
      <c r="U27" s="16"/>
      <c r="V27" s="11"/>
      <c r="W27" s="17"/>
      <c r="X27" s="2"/>
      <c r="AD27" s="14">
        <f>COUNTIF(AD26,"kt")</f>
        <v>0</v>
      </c>
    </row>
    <row r="28" spans="1:31" s="10" customFormat="1" ht="15.75" x14ac:dyDescent="0.25">
      <c r="A28" s="3">
        <v>25</v>
      </c>
      <c r="B28" s="3" t="s">
        <v>28</v>
      </c>
      <c r="C28" s="5" t="s">
        <v>374</v>
      </c>
      <c r="D28" s="4" t="s">
        <v>375</v>
      </c>
      <c r="E28" s="6">
        <v>13</v>
      </c>
      <c r="F28" s="6">
        <v>459</v>
      </c>
      <c r="G28" s="6">
        <v>74.5</v>
      </c>
      <c r="H28" s="6" t="s">
        <v>55</v>
      </c>
      <c r="I28" s="7">
        <v>45691</v>
      </c>
      <c r="J28" s="3"/>
      <c r="K28" s="3"/>
      <c r="L28" s="3"/>
      <c r="M28" s="3"/>
      <c r="N28" s="3"/>
      <c r="O28" s="3"/>
      <c r="P28" s="3"/>
      <c r="Q28" s="6" t="s">
        <v>133</v>
      </c>
      <c r="R28" s="7">
        <v>45694</v>
      </c>
      <c r="S28" s="7">
        <v>45700</v>
      </c>
      <c r="T28" s="7">
        <v>45700</v>
      </c>
      <c r="U28" s="6">
        <v>733</v>
      </c>
      <c r="V28" s="11">
        <v>2583973</v>
      </c>
      <c r="W28" s="6"/>
      <c r="X28" s="6"/>
      <c r="Y28" s="6"/>
      <c r="Z28" s="6"/>
      <c r="AA28" s="8"/>
      <c r="AB28" s="8"/>
      <c r="AC28" s="6"/>
      <c r="AD28" s="6"/>
      <c r="AE28" s="9" t="s">
        <v>376</v>
      </c>
    </row>
    <row r="29" spans="1:31" s="10" customFormat="1" ht="47.25" x14ac:dyDescent="0.25">
      <c r="A29" s="3">
        <v>26</v>
      </c>
      <c r="B29" s="3" t="s">
        <v>28</v>
      </c>
      <c r="C29" s="5" t="s">
        <v>387</v>
      </c>
      <c r="D29" s="4" t="s">
        <v>388</v>
      </c>
      <c r="E29" s="6">
        <v>18</v>
      </c>
      <c r="F29" s="6">
        <v>1266</v>
      </c>
      <c r="G29" s="6">
        <v>293.39999999999998</v>
      </c>
      <c r="H29" s="6" t="s">
        <v>55</v>
      </c>
      <c r="I29" s="7">
        <v>45693</v>
      </c>
      <c r="J29" s="3"/>
      <c r="K29" s="3"/>
      <c r="L29" s="3"/>
      <c r="M29" s="3"/>
      <c r="N29" s="3"/>
      <c r="O29" s="3"/>
      <c r="P29" s="3"/>
      <c r="Q29" s="6" t="s">
        <v>133</v>
      </c>
      <c r="R29" s="7">
        <v>45708</v>
      </c>
      <c r="S29" s="7">
        <v>45708</v>
      </c>
      <c r="T29" s="7">
        <v>45708</v>
      </c>
      <c r="U29" s="6" t="s">
        <v>630</v>
      </c>
      <c r="V29" s="11">
        <v>1619454</v>
      </c>
      <c r="W29" s="6"/>
      <c r="X29" s="6"/>
      <c r="Y29" s="6"/>
      <c r="Z29" s="6" t="s">
        <v>771</v>
      </c>
      <c r="AA29" s="8" t="s">
        <v>772</v>
      </c>
      <c r="AB29" s="8" t="s">
        <v>773</v>
      </c>
      <c r="AC29" s="6"/>
      <c r="AD29" s="6"/>
      <c r="AE29" s="9"/>
    </row>
    <row r="30" spans="1:31" s="10" customFormat="1" ht="31.5" x14ac:dyDescent="0.25">
      <c r="A30" s="3">
        <v>27</v>
      </c>
      <c r="B30" s="3" t="s">
        <v>28</v>
      </c>
      <c r="C30" s="5" t="s">
        <v>389</v>
      </c>
      <c r="D30" s="4" t="s">
        <v>388</v>
      </c>
      <c r="E30" s="6">
        <v>18</v>
      </c>
      <c r="F30" s="6">
        <v>1267</v>
      </c>
      <c r="G30" s="6">
        <v>193.8</v>
      </c>
      <c r="H30" s="6" t="s">
        <v>55</v>
      </c>
      <c r="I30" s="7">
        <v>45693</v>
      </c>
      <c r="J30" s="3"/>
      <c r="K30" s="3"/>
      <c r="L30" s="3"/>
      <c r="M30" s="3"/>
      <c r="N30" s="3"/>
      <c r="O30" s="3"/>
      <c r="P30" s="3"/>
      <c r="Q30" s="6" t="s">
        <v>133</v>
      </c>
      <c r="R30" s="7">
        <v>45708</v>
      </c>
      <c r="S30" s="7">
        <v>45708</v>
      </c>
      <c r="T30" s="7">
        <v>45708</v>
      </c>
      <c r="U30" s="6">
        <v>927</v>
      </c>
      <c r="V30" s="11">
        <v>809727</v>
      </c>
      <c r="W30" s="6"/>
      <c r="X30" s="6"/>
      <c r="Y30" s="6"/>
      <c r="Z30" s="6" t="s">
        <v>647</v>
      </c>
      <c r="AA30" s="8" t="s">
        <v>644</v>
      </c>
      <c r="AB30" s="8"/>
      <c r="AC30" s="6"/>
      <c r="AD30" s="6"/>
      <c r="AE30" s="9"/>
    </row>
    <row r="31" spans="1:31" s="10" customFormat="1" ht="47.25" x14ac:dyDescent="0.25">
      <c r="A31" s="3">
        <v>28</v>
      </c>
      <c r="B31" s="3" t="s">
        <v>28</v>
      </c>
      <c r="C31" s="5" t="s">
        <v>431</v>
      </c>
      <c r="D31" s="4" t="s">
        <v>432</v>
      </c>
      <c r="E31" s="6">
        <v>19</v>
      </c>
      <c r="F31" s="6">
        <v>775</v>
      </c>
      <c r="G31" s="6">
        <v>133.1</v>
      </c>
      <c r="H31" s="6" t="s">
        <v>75</v>
      </c>
      <c r="I31" s="7">
        <v>45698</v>
      </c>
      <c r="J31" s="3"/>
      <c r="K31" s="3"/>
      <c r="L31" s="3"/>
      <c r="M31" s="3"/>
      <c r="N31" s="3"/>
      <c r="O31" s="3"/>
      <c r="P31" s="3" t="s">
        <v>52</v>
      </c>
      <c r="Q31" s="6" t="s">
        <v>133</v>
      </c>
      <c r="R31" s="7">
        <v>45792</v>
      </c>
      <c r="S31" s="7">
        <v>45793</v>
      </c>
      <c r="T31" s="7">
        <v>45793</v>
      </c>
      <c r="U31" s="6">
        <v>688</v>
      </c>
      <c r="V31" s="11">
        <v>1416978</v>
      </c>
      <c r="W31" s="6"/>
      <c r="X31" s="6"/>
      <c r="Y31" s="6"/>
      <c r="Z31" s="6"/>
      <c r="AA31" s="6" t="s">
        <v>620</v>
      </c>
      <c r="AB31" s="8" t="s">
        <v>2209</v>
      </c>
      <c r="AC31" s="6" t="s">
        <v>716</v>
      </c>
      <c r="AD31" s="6"/>
      <c r="AE31" s="9"/>
    </row>
    <row r="32" spans="1:31" s="10" customFormat="1" ht="31.5" x14ac:dyDescent="0.25">
      <c r="A32" s="3">
        <v>29</v>
      </c>
      <c r="B32" s="3" t="s">
        <v>28</v>
      </c>
      <c r="C32" s="5" t="s">
        <v>439</v>
      </c>
      <c r="D32" s="4" t="s">
        <v>440</v>
      </c>
      <c r="E32" s="6">
        <v>19</v>
      </c>
      <c r="F32" s="6">
        <v>381</v>
      </c>
      <c r="G32" s="6">
        <v>142.4</v>
      </c>
      <c r="H32" s="6" t="s">
        <v>51</v>
      </c>
      <c r="I32" s="7">
        <v>45698</v>
      </c>
      <c r="J32" s="3"/>
      <c r="K32" s="3" t="s">
        <v>62</v>
      </c>
      <c r="L32" s="3"/>
      <c r="M32" s="3"/>
      <c r="N32" s="3"/>
      <c r="O32" s="3"/>
      <c r="P32" s="3"/>
      <c r="Q32" s="6" t="s">
        <v>133</v>
      </c>
      <c r="R32" s="7"/>
      <c r="S32" s="7"/>
      <c r="T32" s="7"/>
      <c r="U32" s="6"/>
      <c r="V32" s="11"/>
      <c r="W32" s="6"/>
      <c r="X32" s="6"/>
      <c r="Y32" s="6"/>
      <c r="Z32" s="6"/>
      <c r="AA32" s="8"/>
      <c r="AB32" s="8"/>
      <c r="AC32" s="6" t="s">
        <v>1238</v>
      </c>
      <c r="AD32" s="6"/>
      <c r="AE32" s="9"/>
    </row>
    <row r="33" spans="1:31" s="10" customFormat="1" ht="47.25" x14ac:dyDescent="0.25">
      <c r="A33" s="3">
        <v>30</v>
      </c>
      <c r="B33" s="3" t="s">
        <v>28</v>
      </c>
      <c r="C33" s="5" t="s">
        <v>468</v>
      </c>
      <c r="D33" s="4" t="s">
        <v>469</v>
      </c>
      <c r="E33" s="6">
        <v>3</v>
      </c>
      <c r="F33" s="6">
        <v>173</v>
      </c>
      <c r="G33" s="6">
        <v>422.6</v>
      </c>
      <c r="H33" s="6" t="s">
        <v>75</v>
      </c>
      <c r="I33" s="7">
        <v>45699</v>
      </c>
      <c r="J33" s="3"/>
      <c r="K33" s="3"/>
      <c r="L33" s="3"/>
      <c r="M33" s="3"/>
      <c r="N33" s="3"/>
      <c r="O33" s="3"/>
      <c r="P33" s="3" t="s">
        <v>52</v>
      </c>
      <c r="Q33" s="6" t="s">
        <v>133</v>
      </c>
      <c r="R33" s="7"/>
      <c r="S33" s="7"/>
      <c r="T33" s="7"/>
      <c r="U33" s="6"/>
      <c r="V33" s="11"/>
      <c r="W33" s="6"/>
      <c r="X33" s="6"/>
      <c r="Y33" s="6"/>
      <c r="Z33" s="6"/>
      <c r="AA33" s="8"/>
      <c r="AB33" s="8"/>
      <c r="AC33" s="6" t="s">
        <v>621</v>
      </c>
      <c r="AD33" s="6"/>
      <c r="AE33" s="9"/>
    </row>
    <row r="34" spans="1:31" s="10" customFormat="1" ht="63" x14ac:dyDescent="0.25">
      <c r="A34" s="3">
        <v>31</v>
      </c>
      <c r="B34" s="3" t="s">
        <v>28</v>
      </c>
      <c r="C34" s="5" t="s">
        <v>473</v>
      </c>
      <c r="D34" s="4" t="s">
        <v>474</v>
      </c>
      <c r="E34" s="6">
        <v>36</v>
      </c>
      <c r="F34" s="6">
        <v>3</v>
      </c>
      <c r="G34" s="6">
        <v>146.19999999999999</v>
      </c>
      <c r="H34" s="6" t="s">
        <v>55</v>
      </c>
      <c r="I34" s="7">
        <v>45699</v>
      </c>
      <c r="J34" s="3" t="s">
        <v>141</v>
      </c>
      <c r="K34" s="3"/>
      <c r="L34" s="3"/>
      <c r="M34" s="3"/>
      <c r="N34" s="3"/>
      <c r="O34" s="3"/>
      <c r="P34" s="3"/>
      <c r="Q34" s="6" t="s">
        <v>133</v>
      </c>
      <c r="R34" s="7">
        <v>45715</v>
      </c>
      <c r="S34" s="7">
        <v>45716</v>
      </c>
      <c r="T34" s="7">
        <v>45716</v>
      </c>
      <c r="U34" s="6">
        <v>1120</v>
      </c>
      <c r="V34" s="11">
        <v>809727</v>
      </c>
      <c r="W34" s="6"/>
      <c r="X34" s="6"/>
      <c r="Y34" s="6"/>
      <c r="Z34" s="6" t="s">
        <v>797</v>
      </c>
      <c r="AA34" s="8" t="s">
        <v>877</v>
      </c>
      <c r="AB34" s="8" t="s">
        <v>810</v>
      </c>
      <c r="AC34" s="6"/>
      <c r="AD34" s="6"/>
      <c r="AE34" s="9"/>
    </row>
    <row r="35" spans="1:31" s="10" customFormat="1" ht="33" customHeight="1" x14ac:dyDescent="0.25">
      <c r="A35" s="3">
        <v>32</v>
      </c>
      <c r="B35" s="3" t="s">
        <v>28</v>
      </c>
      <c r="C35" s="5" t="s">
        <v>476</v>
      </c>
      <c r="D35" s="4" t="s">
        <v>477</v>
      </c>
      <c r="E35" s="6">
        <v>4</v>
      </c>
      <c r="F35" s="6">
        <v>41</v>
      </c>
      <c r="G35" s="6">
        <v>446.4</v>
      </c>
      <c r="H35" s="6" t="s">
        <v>75</v>
      </c>
      <c r="I35" s="7">
        <v>45699</v>
      </c>
      <c r="J35" s="3" t="s">
        <v>76</v>
      </c>
      <c r="K35" s="3"/>
      <c r="L35" s="3"/>
      <c r="M35" s="3"/>
      <c r="N35" s="3"/>
      <c r="O35" s="3"/>
      <c r="P35" s="3"/>
      <c r="Q35" s="6" t="s">
        <v>133</v>
      </c>
      <c r="R35" s="7">
        <v>45715</v>
      </c>
      <c r="S35" s="7">
        <v>45715</v>
      </c>
      <c r="T35" s="7">
        <v>45715</v>
      </c>
      <c r="U35" s="6">
        <v>1106</v>
      </c>
      <c r="V35" s="11">
        <v>2581005</v>
      </c>
      <c r="W35" s="6"/>
      <c r="X35" s="6"/>
      <c r="Y35" s="6"/>
      <c r="Z35" s="6" t="s">
        <v>891</v>
      </c>
      <c r="AA35" s="8" t="s">
        <v>925</v>
      </c>
      <c r="AB35" s="8" t="s">
        <v>892</v>
      </c>
      <c r="AC35" s="6"/>
      <c r="AD35" s="6"/>
      <c r="AE35" s="9"/>
    </row>
    <row r="36" spans="1:31" s="10" customFormat="1" ht="47.25" x14ac:dyDescent="0.25">
      <c r="A36" s="3">
        <v>33</v>
      </c>
      <c r="B36" s="3" t="s">
        <v>28</v>
      </c>
      <c r="C36" s="19" t="s">
        <v>501</v>
      </c>
      <c r="D36" s="4" t="s">
        <v>502</v>
      </c>
      <c r="E36" s="3">
        <v>14</v>
      </c>
      <c r="F36" s="3">
        <v>93</v>
      </c>
      <c r="G36" s="3">
        <v>123.6</v>
      </c>
      <c r="H36" s="3" t="s">
        <v>75</v>
      </c>
      <c r="I36" s="7">
        <v>45701</v>
      </c>
      <c r="J36" s="3"/>
      <c r="K36" s="3"/>
      <c r="L36" s="3"/>
      <c r="M36" s="3"/>
      <c r="N36" s="3"/>
      <c r="O36" s="3"/>
      <c r="P36" s="3" t="s">
        <v>52</v>
      </c>
      <c r="Q36" s="6" t="s">
        <v>133</v>
      </c>
      <c r="R36" s="7">
        <v>45832</v>
      </c>
      <c r="S36" s="7">
        <v>45832</v>
      </c>
      <c r="T36" s="7">
        <v>45832</v>
      </c>
      <c r="U36" s="6">
        <v>1855</v>
      </c>
      <c r="V36" s="11">
        <v>2523992</v>
      </c>
      <c r="W36" s="6"/>
      <c r="X36" s="6"/>
      <c r="Y36" s="6"/>
      <c r="Z36" s="6"/>
      <c r="AA36" s="8"/>
      <c r="AB36" s="6" t="s">
        <v>2705</v>
      </c>
      <c r="AC36" s="6" t="s">
        <v>791</v>
      </c>
      <c r="AD36" s="6" t="s">
        <v>794</v>
      </c>
      <c r="AE36" s="9"/>
    </row>
    <row r="37" spans="1:31" s="10" customFormat="1" ht="31.5" x14ac:dyDescent="0.25">
      <c r="A37" s="3">
        <v>34</v>
      </c>
      <c r="B37" s="3" t="s">
        <v>28</v>
      </c>
      <c r="C37" s="5" t="s">
        <v>508</v>
      </c>
      <c r="D37" s="4" t="s">
        <v>509</v>
      </c>
      <c r="E37" s="6">
        <v>20</v>
      </c>
      <c r="F37" s="6">
        <v>700</v>
      </c>
      <c r="G37" s="6">
        <v>611.9</v>
      </c>
      <c r="H37" s="6" t="s">
        <v>51</v>
      </c>
      <c r="I37" s="7">
        <v>45701</v>
      </c>
      <c r="J37" s="3"/>
      <c r="K37" s="3" t="s">
        <v>62</v>
      </c>
      <c r="L37" s="3"/>
      <c r="M37" s="3"/>
      <c r="N37" s="3"/>
      <c r="O37" s="3"/>
      <c r="P37" s="3"/>
      <c r="Q37" s="6" t="s">
        <v>133</v>
      </c>
      <c r="R37" s="7">
        <v>45715</v>
      </c>
      <c r="S37" s="7">
        <v>45721</v>
      </c>
      <c r="T37" s="7">
        <v>45721</v>
      </c>
      <c r="U37" s="6">
        <v>1235</v>
      </c>
      <c r="V37" s="11">
        <v>1019155</v>
      </c>
      <c r="W37" s="6"/>
      <c r="X37" s="6"/>
      <c r="Y37" s="6"/>
      <c r="Z37" s="6" t="s">
        <v>1387</v>
      </c>
      <c r="AA37" s="8" t="s">
        <v>1398</v>
      </c>
      <c r="AB37" s="8"/>
      <c r="AC37" s="6"/>
      <c r="AD37" s="6"/>
      <c r="AE37" s="9"/>
    </row>
    <row r="38" spans="1:31" s="10" customFormat="1" ht="31.5" x14ac:dyDescent="0.25">
      <c r="A38" s="3">
        <v>35</v>
      </c>
      <c r="B38" s="3" t="s">
        <v>28</v>
      </c>
      <c r="C38" s="5" t="s">
        <v>534</v>
      </c>
      <c r="D38" s="4" t="s">
        <v>535</v>
      </c>
      <c r="E38" s="6">
        <v>14</v>
      </c>
      <c r="F38" s="6">
        <v>844</v>
      </c>
      <c r="G38" s="3">
        <v>275</v>
      </c>
      <c r="H38" s="3" t="s">
        <v>51</v>
      </c>
      <c r="I38" s="7"/>
      <c r="J38" s="3"/>
      <c r="K38" s="3"/>
      <c r="L38" s="3"/>
      <c r="M38" s="3"/>
      <c r="N38" s="3"/>
      <c r="O38" s="3"/>
      <c r="P38" s="3"/>
      <c r="Q38" s="6" t="s">
        <v>190</v>
      </c>
      <c r="R38" s="7">
        <v>45666</v>
      </c>
      <c r="S38" s="7"/>
      <c r="T38" s="7"/>
      <c r="U38" s="6"/>
      <c r="V38" s="11"/>
      <c r="W38" s="6"/>
      <c r="X38" s="6"/>
      <c r="Y38" s="6"/>
      <c r="Z38" s="6" t="s">
        <v>536</v>
      </c>
      <c r="AA38" s="8" t="s">
        <v>537</v>
      </c>
      <c r="AB38" s="8"/>
      <c r="AC38" s="6"/>
      <c r="AD38" s="6"/>
      <c r="AE38" s="9"/>
    </row>
    <row r="39" spans="1:31" s="10" customFormat="1" ht="31.5" x14ac:dyDescent="0.25">
      <c r="A39" s="3">
        <v>36</v>
      </c>
      <c r="B39" s="3" t="s">
        <v>28</v>
      </c>
      <c r="C39" s="5" t="s">
        <v>544</v>
      </c>
      <c r="D39" s="4" t="s">
        <v>545</v>
      </c>
      <c r="E39" s="6">
        <v>6</v>
      </c>
      <c r="F39" s="6">
        <v>47</v>
      </c>
      <c r="G39" s="6">
        <v>79.7</v>
      </c>
      <c r="H39" s="6" t="s">
        <v>51</v>
      </c>
      <c r="I39" s="7">
        <v>45702</v>
      </c>
      <c r="J39" s="3"/>
      <c r="K39" s="3"/>
      <c r="L39" s="3" t="s">
        <v>98</v>
      </c>
      <c r="M39" s="3"/>
      <c r="N39" s="3"/>
      <c r="O39" s="3"/>
      <c r="P39" s="3"/>
      <c r="Q39" s="15" t="s">
        <v>133</v>
      </c>
      <c r="R39" s="7">
        <v>45708</v>
      </c>
      <c r="S39" s="7">
        <v>45712</v>
      </c>
      <c r="T39" s="7">
        <v>45712</v>
      </c>
      <c r="U39" s="20">
        <v>1011</v>
      </c>
      <c r="V39" s="11">
        <v>2235043</v>
      </c>
      <c r="W39" s="6"/>
      <c r="X39" s="6"/>
      <c r="Y39" s="6"/>
      <c r="Z39" s="6"/>
      <c r="AA39" s="8"/>
      <c r="AB39" s="8"/>
      <c r="AC39" s="6" t="s">
        <v>546</v>
      </c>
      <c r="AD39" s="6"/>
      <c r="AE39" s="9"/>
    </row>
    <row r="40" spans="1:31" s="10" customFormat="1" ht="31.5" x14ac:dyDescent="0.25">
      <c r="A40" s="3">
        <v>37</v>
      </c>
      <c r="B40" s="3" t="s">
        <v>28</v>
      </c>
      <c r="C40" s="5" t="s">
        <v>547</v>
      </c>
      <c r="D40" s="4" t="s">
        <v>548</v>
      </c>
      <c r="E40" s="6">
        <v>20</v>
      </c>
      <c r="F40" s="6">
        <v>120</v>
      </c>
      <c r="G40" s="6">
        <v>2045.7</v>
      </c>
      <c r="H40" s="6" t="s">
        <v>51</v>
      </c>
      <c r="I40" s="7">
        <v>45702</v>
      </c>
      <c r="J40" s="3"/>
      <c r="K40" s="3" t="s">
        <v>62</v>
      </c>
      <c r="L40" s="3"/>
      <c r="M40" s="3"/>
      <c r="N40" s="3"/>
      <c r="O40" s="3"/>
      <c r="P40" s="3"/>
      <c r="Q40" s="15" t="s">
        <v>133</v>
      </c>
      <c r="R40" s="7">
        <v>45743</v>
      </c>
      <c r="S40" s="7">
        <v>45747</v>
      </c>
      <c r="T40" s="7">
        <v>45747</v>
      </c>
      <c r="U40" s="6">
        <v>1851</v>
      </c>
      <c r="V40" s="11">
        <v>1980706</v>
      </c>
      <c r="W40" s="6"/>
      <c r="X40" s="6"/>
      <c r="Y40" s="6"/>
      <c r="Z40" s="6" t="s">
        <v>1845</v>
      </c>
      <c r="AA40" s="8" t="s">
        <v>1847</v>
      </c>
      <c r="AB40" s="8"/>
      <c r="AC40" s="6"/>
      <c r="AD40" s="6"/>
      <c r="AE40" s="9"/>
    </row>
    <row r="41" spans="1:31" s="10" customFormat="1" ht="47.25" x14ac:dyDescent="0.25">
      <c r="A41" s="3">
        <v>38</v>
      </c>
      <c r="B41" s="3" t="s">
        <v>28</v>
      </c>
      <c r="C41" s="5" t="s">
        <v>572</v>
      </c>
      <c r="D41" s="4" t="s">
        <v>573</v>
      </c>
      <c r="E41" s="6">
        <v>3</v>
      </c>
      <c r="F41" s="6">
        <v>731</v>
      </c>
      <c r="G41" s="6">
        <v>289.3</v>
      </c>
      <c r="H41" s="6" t="s">
        <v>75</v>
      </c>
      <c r="I41" s="7" t="s">
        <v>2315</v>
      </c>
      <c r="J41" s="3"/>
      <c r="K41" s="3"/>
      <c r="L41" s="3" t="s">
        <v>1</v>
      </c>
      <c r="M41" s="3"/>
      <c r="N41" s="3"/>
      <c r="O41" s="3"/>
      <c r="P41" s="3"/>
      <c r="Q41" s="15" t="s">
        <v>133</v>
      </c>
      <c r="R41" s="6"/>
      <c r="S41" s="6"/>
      <c r="T41" s="6"/>
      <c r="U41" s="6"/>
      <c r="V41" s="11"/>
      <c r="W41" s="6"/>
      <c r="X41" s="6"/>
      <c r="Y41" s="6"/>
      <c r="Z41" s="6"/>
      <c r="AA41" s="8"/>
      <c r="AB41" s="8"/>
      <c r="AC41" s="6" t="s">
        <v>742</v>
      </c>
      <c r="AD41" s="6"/>
      <c r="AE41" s="9"/>
    </row>
    <row r="42" spans="1:31" s="10" customFormat="1" ht="31.5" x14ac:dyDescent="0.25">
      <c r="A42" s="3">
        <v>39</v>
      </c>
      <c r="B42" s="3" t="s">
        <v>28</v>
      </c>
      <c r="C42" s="5" t="s">
        <v>600</v>
      </c>
      <c r="D42" s="4" t="s">
        <v>601</v>
      </c>
      <c r="E42" s="6">
        <v>3</v>
      </c>
      <c r="F42" s="6">
        <v>467</v>
      </c>
      <c r="G42" s="6">
        <v>200</v>
      </c>
      <c r="H42" s="6" t="s">
        <v>55</v>
      </c>
      <c r="I42" s="7">
        <v>45707</v>
      </c>
      <c r="J42" s="3"/>
      <c r="K42" s="3"/>
      <c r="L42" s="3" t="s">
        <v>98</v>
      </c>
      <c r="M42" s="3"/>
      <c r="N42" s="3"/>
      <c r="O42" s="3"/>
      <c r="P42" s="3"/>
      <c r="Q42" s="15" t="s">
        <v>133</v>
      </c>
      <c r="R42" s="7">
        <v>45712</v>
      </c>
      <c r="S42" s="7">
        <v>45715</v>
      </c>
      <c r="T42" s="7">
        <v>45715</v>
      </c>
      <c r="U42" s="6">
        <v>1086</v>
      </c>
      <c r="V42" s="11">
        <v>2583973</v>
      </c>
      <c r="W42" s="6"/>
      <c r="X42" s="6"/>
      <c r="Y42" s="6"/>
      <c r="Z42" s="6"/>
      <c r="AA42" s="8"/>
      <c r="AB42" s="8"/>
      <c r="AC42" s="6" t="s">
        <v>602</v>
      </c>
      <c r="AD42" s="6"/>
      <c r="AE42" s="9"/>
    </row>
    <row r="43" spans="1:31" s="10" customFormat="1" ht="31.5" x14ac:dyDescent="0.25">
      <c r="A43" s="3">
        <v>40</v>
      </c>
      <c r="B43" s="3" t="s">
        <v>28</v>
      </c>
      <c r="C43" s="5" t="s">
        <v>653</v>
      </c>
      <c r="D43" s="4" t="s">
        <v>654</v>
      </c>
      <c r="E43" s="6">
        <v>13</v>
      </c>
      <c r="F43" s="6">
        <v>327</v>
      </c>
      <c r="G43" s="6">
        <v>158.80000000000001</v>
      </c>
      <c r="H43" s="6" t="s">
        <v>55</v>
      </c>
      <c r="I43" s="7">
        <v>45709</v>
      </c>
      <c r="J43" s="3"/>
      <c r="K43" s="3"/>
      <c r="L43" s="3" t="s">
        <v>1</v>
      </c>
      <c r="M43" s="3"/>
      <c r="N43" s="3"/>
      <c r="O43" s="3"/>
      <c r="P43" s="3"/>
      <c r="Q43" s="15" t="s">
        <v>133</v>
      </c>
      <c r="R43" s="6"/>
      <c r="S43" s="6"/>
      <c r="T43" s="6"/>
      <c r="U43" s="6"/>
      <c r="V43" s="11"/>
      <c r="W43" s="6"/>
      <c r="X43" s="6"/>
      <c r="Y43" s="6"/>
      <c r="Z43" s="6"/>
      <c r="AA43" s="8"/>
      <c r="AB43" s="8"/>
      <c r="AC43" s="6"/>
      <c r="AD43" s="6"/>
      <c r="AE43" s="9"/>
    </row>
    <row r="44" spans="1:31" s="10" customFormat="1" ht="47.25" x14ac:dyDescent="0.25">
      <c r="A44" s="3">
        <v>41</v>
      </c>
      <c r="B44" s="3" t="s">
        <v>28</v>
      </c>
      <c r="C44" s="5" t="s">
        <v>670</v>
      </c>
      <c r="D44" s="4" t="s">
        <v>460</v>
      </c>
      <c r="E44" s="6">
        <v>3</v>
      </c>
      <c r="F44" s="6">
        <v>271</v>
      </c>
      <c r="G44" s="6">
        <v>76.3</v>
      </c>
      <c r="H44" s="6" t="s">
        <v>55</v>
      </c>
      <c r="I44" s="7">
        <v>45709</v>
      </c>
      <c r="J44" s="3"/>
      <c r="K44" s="3"/>
      <c r="L44" s="3" t="s">
        <v>1</v>
      </c>
      <c r="M44" s="3"/>
      <c r="N44" s="3"/>
      <c r="O44" s="3"/>
      <c r="P44" s="3"/>
      <c r="Q44" s="15" t="s">
        <v>133</v>
      </c>
      <c r="R44" s="6"/>
      <c r="S44" s="6"/>
      <c r="T44" s="6"/>
      <c r="U44" s="6"/>
      <c r="V44" s="11"/>
      <c r="W44" s="6"/>
      <c r="X44" s="6"/>
      <c r="Y44" s="6"/>
      <c r="Z44" s="6"/>
      <c r="AA44" s="8"/>
      <c r="AB44" s="8"/>
      <c r="AC44" s="6" t="s">
        <v>733</v>
      </c>
      <c r="AD44" s="6"/>
      <c r="AE44" s="9"/>
    </row>
    <row r="45" spans="1:31" s="10" customFormat="1" ht="16.5" x14ac:dyDescent="0.25">
      <c r="A45" s="3">
        <v>42</v>
      </c>
      <c r="B45" s="3" t="s">
        <v>28</v>
      </c>
      <c r="C45" s="5" t="s">
        <v>688</v>
      </c>
      <c r="D45" s="4" t="s">
        <v>689</v>
      </c>
      <c r="E45" s="6">
        <v>11</v>
      </c>
      <c r="F45" s="6">
        <v>247</v>
      </c>
      <c r="G45" s="6">
        <v>869.8</v>
      </c>
      <c r="H45" s="6" t="s">
        <v>75</v>
      </c>
      <c r="I45" s="7">
        <v>45712</v>
      </c>
      <c r="J45" s="3" t="s">
        <v>76</v>
      </c>
      <c r="K45" s="3"/>
      <c r="L45" s="3"/>
      <c r="M45" s="3"/>
      <c r="N45" s="3"/>
      <c r="O45" s="3"/>
      <c r="P45" s="3"/>
      <c r="Q45" s="15" t="s">
        <v>133</v>
      </c>
      <c r="R45" s="7">
        <v>45832</v>
      </c>
      <c r="S45" s="6"/>
      <c r="T45" s="6"/>
      <c r="U45" s="6"/>
      <c r="V45" s="11"/>
      <c r="W45" s="6"/>
      <c r="X45" s="6"/>
      <c r="Y45" s="6"/>
      <c r="Z45" s="6"/>
      <c r="AA45" s="8"/>
      <c r="AB45" s="8"/>
      <c r="AC45" s="6"/>
      <c r="AD45" s="6"/>
      <c r="AE45" s="9" t="s">
        <v>514</v>
      </c>
    </row>
    <row r="46" spans="1:31" s="10" customFormat="1" ht="49.5" customHeight="1" x14ac:dyDescent="0.25">
      <c r="A46" s="3">
        <v>43</v>
      </c>
      <c r="B46" s="3" t="s">
        <v>28</v>
      </c>
      <c r="C46" s="5" t="s">
        <v>700</v>
      </c>
      <c r="D46" s="4" t="s">
        <v>701</v>
      </c>
      <c r="E46" s="6">
        <v>6</v>
      </c>
      <c r="F46" s="6">
        <v>39</v>
      </c>
      <c r="G46" s="6">
        <v>199.1</v>
      </c>
      <c r="H46" s="6" t="s">
        <v>55</v>
      </c>
      <c r="I46" s="7">
        <v>45713</v>
      </c>
      <c r="J46" s="3"/>
      <c r="K46" s="3"/>
      <c r="L46" s="3"/>
      <c r="M46" s="3"/>
      <c r="N46" s="3"/>
      <c r="O46" s="3"/>
      <c r="P46" s="3" t="s">
        <v>52</v>
      </c>
      <c r="Q46" s="15" t="s">
        <v>133</v>
      </c>
      <c r="R46" s="6"/>
      <c r="S46" s="6"/>
      <c r="T46" s="6"/>
      <c r="U46" s="6"/>
      <c r="V46" s="11"/>
      <c r="W46" s="6"/>
      <c r="X46" s="6"/>
      <c r="Y46" s="6"/>
      <c r="Z46" s="6"/>
      <c r="AA46" s="8"/>
      <c r="AB46" s="8"/>
      <c r="AC46" s="6" t="s">
        <v>799</v>
      </c>
      <c r="AD46" s="6"/>
      <c r="AE46" s="9"/>
    </row>
    <row r="47" spans="1:31" s="10" customFormat="1" ht="31.5" x14ac:dyDescent="0.25">
      <c r="A47" s="3">
        <v>44</v>
      </c>
      <c r="B47" s="3" t="s">
        <v>28</v>
      </c>
      <c r="C47" s="5" t="s">
        <v>702</v>
      </c>
      <c r="D47" s="4" t="s">
        <v>703</v>
      </c>
      <c r="E47" s="6">
        <v>8</v>
      </c>
      <c r="F47" s="6">
        <v>1455</v>
      </c>
      <c r="G47" s="6">
        <v>90.1</v>
      </c>
      <c r="H47" s="6" t="s">
        <v>55</v>
      </c>
      <c r="I47" s="7">
        <v>45713</v>
      </c>
      <c r="J47" s="3"/>
      <c r="K47" s="3"/>
      <c r="L47" s="3"/>
      <c r="M47" s="3"/>
      <c r="N47" s="3"/>
      <c r="O47" s="3"/>
      <c r="P47" s="3" t="s">
        <v>52</v>
      </c>
      <c r="Q47" s="15" t="s">
        <v>133</v>
      </c>
      <c r="R47" s="6"/>
      <c r="S47" s="6"/>
      <c r="T47" s="6"/>
      <c r="U47" s="6"/>
      <c r="V47" s="11"/>
      <c r="W47" s="6"/>
      <c r="X47" s="6"/>
      <c r="Y47" s="6"/>
      <c r="Z47" s="6"/>
      <c r="AA47" s="8"/>
      <c r="AB47" s="8" t="s">
        <v>956</v>
      </c>
      <c r="AC47" s="6" t="s">
        <v>945</v>
      </c>
      <c r="AD47" s="6"/>
      <c r="AE47" s="9"/>
    </row>
    <row r="48" spans="1:31" s="10" customFormat="1" ht="31.5" x14ac:dyDescent="0.25">
      <c r="A48" s="3">
        <v>45</v>
      </c>
      <c r="B48" s="3" t="s">
        <v>28</v>
      </c>
      <c r="C48" s="5" t="s">
        <v>704</v>
      </c>
      <c r="D48" s="4" t="s">
        <v>705</v>
      </c>
      <c r="E48" s="6">
        <v>31</v>
      </c>
      <c r="F48" s="6">
        <v>106</v>
      </c>
      <c r="G48" s="6">
        <v>199</v>
      </c>
      <c r="H48" s="6" t="s">
        <v>55</v>
      </c>
      <c r="I48" s="7">
        <v>45713</v>
      </c>
      <c r="J48" s="3" t="s">
        <v>60</v>
      </c>
      <c r="K48" s="3"/>
      <c r="L48" s="3"/>
      <c r="M48" s="3"/>
      <c r="N48" s="3"/>
      <c r="O48" s="3"/>
      <c r="P48" s="3"/>
      <c r="Q48" s="15" t="s">
        <v>133</v>
      </c>
      <c r="R48" s="7" t="s">
        <v>2344</v>
      </c>
      <c r="S48" s="7">
        <v>45812</v>
      </c>
      <c r="T48" s="7">
        <v>45812</v>
      </c>
      <c r="U48" s="20">
        <v>1253</v>
      </c>
      <c r="V48" s="11">
        <v>1771278</v>
      </c>
      <c r="W48" s="6"/>
      <c r="X48" s="6"/>
      <c r="Y48" s="6"/>
      <c r="Z48" s="6" t="s">
        <v>2560</v>
      </c>
      <c r="AA48" s="8" t="s">
        <v>2561</v>
      </c>
      <c r="AB48" s="8"/>
      <c r="AC48" s="6"/>
      <c r="AD48" s="6"/>
      <c r="AE48" s="9"/>
    </row>
    <row r="49" spans="1:31" ht="16.5" x14ac:dyDescent="0.25">
      <c r="A49" s="12"/>
      <c r="B49" s="73" t="s">
        <v>706</v>
      </c>
      <c r="C49" s="74"/>
      <c r="D49" s="74"/>
      <c r="E49" s="74"/>
      <c r="F49" s="74"/>
      <c r="G49" s="74"/>
      <c r="H49" s="75"/>
      <c r="I49" s="13"/>
      <c r="J49" s="14">
        <f>COUNTIF(J28:J48,"CN")+COUNTIF(J28:J48,"CT")+COUNTIF(J28:J48,"TT")</f>
        <v>4</v>
      </c>
      <c r="K49" s="14">
        <f>COUNTIF(K28:K48,"CMĐ")</f>
        <v>3</v>
      </c>
      <c r="L49" s="14">
        <f>COUNTIF(L28:L48,"XMDT")+COUNTIF(L28:L48,"Mốc")</f>
        <v>5</v>
      </c>
      <c r="M49" s="14">
        <f>COUNTIF(M14,"THÁn")</f>
        <v>0</v>
      </c>
      <c r="N49" s="14">
        <f>COUNTIF(N14,"TÒA")</f>
        <v>0</v>
      </c>
      <c r="O49" s="14">
        <f>COUNTIF(O28:O48,"Cấp GCN")</f>
        <v>0</v>
      </c>
      <c r="P49" s="14">
        <f>COUNTIF(P28:P48,"SHN")</f>
        <v>5</v>
      </c>
      <c r="Q49" s="15"/>
      <c r="R49" s="13"/>
      <c r="S49" s="15"/>
      <c r="T49" s="15"/>
      <c r="U49" s="16"/>
      <c r="V49" s="11"/>
      <c r="W49" s="17"/>
      <c r="X49" s="2"/>
      <c r="AD49" s="14">
        <f>COUNTIF(AD14,"kt")</f>
        <v>0</v>
      </c>
    </row>
    <row r="50" spans="1:31" s="10" customFormat="1" ht="47.25" x14ac:dyDescent="0.25">
      <c r="A50" s="3">
        <v>46</v>
      </c>
      <c r="B50" s="3" t="s">
        <v>28</v>
      </c>
      <c r="C50" s="5" t="s">
        <v>736</v>
      </c>
      <c r="D50" s="4" t="s">
        <v>737</v>
      </c>
      <c r="E50" s="6">
        <v>16</v>
      </c>
      <c r="F50" s="6" t="s">
        <v>738</v>
      </c>
      <c r="G50" s="6" t="s">
        <v>739</v>
      </c>
      <c r="H50" s="6" t="s">
        <v>75</v>
      </c>
      <c r="I50" s="7" t="s">
        <v>2159</v>
      </c>
      <c r="J50" s="3"/>
      <c r="K50" s="3"/>
      <c r="L50" s="3" t="s">
        <v>1</v>
      </c>
      <c r="M50" s="3"/>
      <c r="N50" s="3" t="s">
        <v>366</v>
      </c>
      <c r="O50" s="3"/>
      <c r="P50" s="3"/>
      <c r="Q50" s="15" t="s">
        <v>133</v>
      </c>
      <c r="R50" s="6"/>
      <c r="S50" s="6"/>
      <c r="T50" s="6"/>
      <c r="U50" s="6"/>
      <c r="V50" s="11"/>
      <c r="W50" s="6"/>
      <c r="X50" s="6"/>
      <c r="Y50" s="6"/>
      <c r="Z50" s="6"/>
      <c r="AA50" s="8"/>
      <c r="AB50" s="8"/>
      <c r="AC50" s="6" t="s">
        <v>1242</v>
      </c>
      <c r="AD50" s="6"/>
      <c r="AE50" s="9"/>
    </row>
    <row r="51" spans="1:31" s="10" customFormat="1" ht="37.5" customHeight="1" x14ac:dyDescent="0.25">
      <c r="A51" s="3">
        <v>47</v>
      </c>
      <c r="B51" s="3" t="s">
        <v>28</v>
      </c>
      <c r="C51" s="5" t="s">
        <v>740</v>
      </c>
      <c r="D51" s="4" t="s">
        <v>741</v>
      </c>
      <c r="E51" s="6">
        <v>18</v>
      </c>
      <c r="F51" s="6">
        <v>47</v>
      </c>
      <c r="G51" s="6">
        <v>76.5</v>
      </c>
      <c r="H51" s="6" t="s">
        <v>55</v>
      </c>
      <c r="I51" s="7">
        <v>45714</v>
      </c>
      <c r="J51" s="3"/>
      <c r="K51" s="3"/>
      <c r="L51" s="3"/>
      <c r="M51" s="3"/>
      <c r="N51" s="3"/>
      <c r="O51" s="3"/>
      <c r="P51" s="3" t="s">
        <v>52</v>
      </c>
      <c r="Q51" s="15" t="s">
        <v>133</v>
      </c>
      <c r="R51" s="7">
        <v>45743</v>
      </c>
      <c r="S51" s="6" t="s">
        <v>1374</v>
      </c>
      <c r="T51" s="6" t="s">
        <v>1374</v>
      </c>
      <c r="U51" s="6">
        <v>1873</v>
      </c>
      <c r="V51" s="11">
        <v>2125468</v>
      </c>
      <c r="W51" s="6"/>
      <c r="X51" s="6"/>
      <c r="Y51" s="6"/>
      <c r="Z51" s="6"/>
      <c r="AA51" s="8"/>
      <c r="AB51" s="8" t="s">
        <v>1372</v>
      </c>
      <c r="AC51" s="6" t="s">
        <v>978</v>
      </c>
      <c r="AD51" s="6"/>
      <c r="AE51" s="9"/>
    </row>
    <row r="52" spans="1:31" s="10" customFormat="1" ht="35.25" customHeight="1" x14ac:dyDescent="0.25">
      <c r="A52" s="3">
        <v>48</v>
      </c>
      <c r="B52" s="3" t="s">
        <v>28</v>
      </c>
      <c r="C52" s="5" t="s">
        <v>740</v>
      </c>
      <c r="D52" s="4" t="s">
        <v>741</v>
      </c>
      <c r="E52" s="6">
        <v>18</v>
      </c>
      <c r="F52" s="6">
        <v>48</v>
      </c>
      <c r="G52" s="6">
        <v>76.5</v>
      </c>
      <c r="H52" s="6" t="s">
        <v>55</v>
      </c>
      <c r="I52" s="7">
        <v>45714</v>
      </c>
      <c r="J52" s="3"/>
      <c r="K52" s="3"/>
      <c r="L52" s="3"/>
      <c r="M52" s="3"/>
      <c r="N52" s="3"/>
      <c r="O52" s="3"/>
      <c r="P52" s="3" t="s">
        <v>52</v>
      </c>
      <c r="Q52" s="15" t="s">
        <v>133</v>
      </c>
      <c r="R52" s="7">
        <v>45743</v>
      </c>
      <c r="S52" s="6" t="s">
        <v>1374</v>
      </c>
      <c r="T52" s="6" t="s">
        <v>1374</v>
      </c>
      <c r="U52" s="6">
        <v>1877</v>
      </c>
      <c r="V52" s="11">
        <v>2125468</v>
      </c>
      <c r="W52" s="6"/>
      <c r="X52" s="6"/>
      <c r="Y52" s="6"/>
      <c r="Z52" s="6"/>
      <c r="AA52" s="8"/>
      <c r="AB52" s="8" t="s">
        <v>1372</v>
      </c>
      <c r="AC52" s="6" t="s">
        <v>978</v>
      </c>
      <c r="AD52" s="6"/>
      <c r="AE52" s="9"/>
    </row>
    <row r="53" spans="1:31" s="10" customFormat="1" ht="31.5" customHeight="1" x14ac:dyDescent="0.25">
      <c r="A53" s="3">
        <v>49</v>
      </c>
      <c r="B53" s="3" t="s">
        <v>28</v>
      </c>
      <c r="C53" s="5" t="s">
        <v>740</v>
      </c>
      <c r="D53" s="4" t="s">
        <v>741</v>
      </c>
      <c r="E53" s="6">
        <v>18</v>
      </c>
      <c r="F53" s="6">
        <v>50</v>
      </c>
      <c r="G53" s="6">
        <v>76.5</v>
      </c>
      <c r="H53" s="6" t="s">
        <v>55</v>
      </c>
      <c r="I53" s="7">
        <v>45714</v>
      </c>
      <c r="J53" s="3"/>
      <c r="K53" s="3"/>
      <c r="L53" s="3"/>
      <c r="M53" s="3"/>
      <c r="N53" s="3"/>
      <c r="O53" s="3"/>
      <c r="P53" s="3" t="s">
        <v>52</v>
      </c>
      <c r="Q53" s="15" t="s">
        <v>133</v>
      </c>
      <c r="R53" s="7">
        <v>45743</v>
      </c>
      <c r="S53" s="6" t="s">
        <v>1374</v>
      </c>
      <c r="T53" s="6" t="s">
        <v>1374</v>
      </c>
      <c r="U53" s="6">
        <v>1876</v>
      </c>
      <c r="V53" s="11">
        <v>2125468</v>
      </c>
      <c r="W53" s="6"/>
      <c r="X53" s="6"/>
      <c r="Y53" s="6"/>
      <c r="Z53" s="6"/>
      <c r="AA53" s="8"/>
      <c r="AB53" s="8" t="s">
        <v>1372</v>
      </c>
      <c r="AC53" s="6" t="s">
        <v>978</v>
      </c>
      <c r="AD53" s="6"/>
      <c r="AE53" s="9"/>
    </row>
    <row r="54" spans="1:31" s="10" customFormat="1" ht="30.75" customHeight="1" x14ac:dyDescent="0.25">
      <c r="A54" s="3">
        <v>50</v>
      </c>
      <c r="B54" s="3" t="s">
        <v>28</v>
      </c>
      <c r="C54" s="5" t="s">
        <v>740</v>
      </c>
      <c r="D54" s="4" t="s">
        <v>741</v>
      </c>
      <c r="E54" s="6">
        <v>18</v>
      </c>
      <c r="F54" s="6">
        <v>49</v>
      </c>
      <c r="G54" s="6">
        <v>76.5</v>
      </c>
      <c r="H54" s="6" t="s">
        <v>55</v>
      </c>
      <c r="I54" s="7">
        <v>45714</v>
      </c>
      <c r="J54" s="3"/>
      <c r="K54" s="3"/>
      <c r="L54" s="3"/>
      <c r="M54" s="3"/>
      <c r="N54" s="3"/>
      <c r="O54" s="3"/>
      <c r="P54" s="3" t="s">
        <v>52</v>
      </c>
      <c r="Q54" s="15" t="s">
        <v>133</v>
      </c>
      <c r="R54" s="7">
        <v>45743</v>
      </c>
      <c r="S54" s="6" t="s">
        <v>1374</v>
      </c>
      <c r="T54" s="6" t="s">
        <v>1374</v>
      </c>
      <c r="U54" s="6">
        <v>1878</v>
      </c>
      <c r="V54" s="11">
        <v>2125468</v>
      </c>
      <c r="W54" s="6"/>
      <c r="X54" s="6"/>
      <c r="Y54" s="6"/>
      <c r="Z54" s="6"/>
      <c r="AA54" s="8"/>
      <c r="AB54" s="8" t="s">
        <v>1372</v>
      </c>
      <c r="AC54" s="6" t="s">
        <v>978</v>
      </c>
      <c r="AD54" s="6"/>
      <c r="AE54" s="9"/>
    </row>
    <row r="55" spans="1:31" s="10" customFormat="1" ht="36" customHeight="1" x14ac:dyDescent="0.25">
      <c r="A55" s="3">
        <v>51</v>
      </c>
      <c r="B55" s="3" t="s">
        <v>28</v>
      </c>
      <c r="C55" s="5" t="s">
        <v>740</v>
      </c>
      <c r="D55" s="4" t="s">
        <v>741</v>
      </c>
      <c r="E55" s="6">
        <v>12</v>
      </c>
      <c r="F55" s="6">
        <v>396</v>
      </c>
      <c r="G55" s="6">
        <v>76.5</v>
      </c>
      <c r="H55" s="6" t="s">
        <v>55</v>
      </c>
      <c r="I55" s="7">
        <v>45714</v>
      </c>
      <c r="J55" s="3"/>
      <c r="K55" s="3"/>
      <c r="L55" s="3"/>
      <c r="M55" s="3"/>
      <c r="N55" s="3"/>
      <c r="O55" s="3"/>
      <c r="P55" s="3" t="s">
        <v>52</v>
      </c>
      <c r="Q55" s="15" t="s">
        <v>133</v>
      </c>
      <c r="R55" s="7">
        <v>45743</v>
      </c>
      <c r="S55" s="6" t="s">
        <v>1374</v>
      </c>
      <c r="T55" s="6" t="s">
        <v>1374</v>
      </c>
      <c r="U55" s="6">
        <v>1879</v>
      </c>
      <c r="V55" s="11">
        <v>2125468</v>
      </c>
      <c r="W55" s="6"/>
      <c r="X55" s="6"/>
      <c r="Y55" s="6"/>
      <c r="Z55" s="6"/>
      <c r="AA55" s="8"/>
      <c r="AB55" s="8" t="s">
        <v>1372</v>
      </c>
      <c r="AC55" s="6" t="s">
        <v>978</v>
      </c>
      <c r="AD55" s="6"/>
      <c r="AE55" s="9"/>
    </row>
    <row r="56" spans="1:31" s="10" customFormat="1" ht="36" customHeight="1" x14ac:dyDescent="0.25">
      <c r="A56" s="3">
        <v>52</v>
      </c>
      <c r="B56" s="3" t="s">
        <v>28</v>
      </c>
      <c r="C56" s="5" t="s">
        <v>740</v>
      </c>
      <c r="D56" s="4" t="s">
        <v>741</v>
      </c>
      <c r="E56" s="6">
        <v>18</v>
      </c>
      <c r="F56" s="6">
        <v>45</v>
      </c>
      <c r="G56" s="6">
        <v>76.099999999999994</v>
      </c>
      <c r="H56" s="6" t="s">
        <v>55</v>
      </c>
      <c r="I56" s="7">
        <v>45714</v>
      </c>
      <c r="J56" s="3"/>
      <c r="K56" s="3"/>
      <c r="L56" s="3"/>
      <c r="M56" s="3"/>
      <c r="N56" s="3"/>
      <c r="O56" s="3"/>
      <c r="P56" s="3" t="s">
        <v>52</v>
      </c>
      <c r="Q56" s="15" t="s">
        <v>133</v>
      </c>
      <c r="R56" s="7">
        <v>45743</v>
      </c>
      <c r="S56" s="6" t="s">
        <v>1374</v>
      </c>
      <c r="T56" s="6" t="s">
        <v>1374</v>
      </c>
      <c r="U56" s="6">
        <v>1880</v>
      </c>
      <c r="V56" s="11">
        <v>1416978</v>
      </c>
      <c r="W56" s="6"/>
      <c r="X56" s="6"/>
      <c r="Y56" s="6"/>
      <c r="Z56" s="6"/>
      <c r="AA56" s="8"/>
      <c r="AB56" s="8" t="s">
        <v>1372</v>
      </c>
      <c r="AC56" s="6" t="s">
        <v>978</v>
      </c>
      <c r="AD56" s="6"/>
      <c r="AE56" s="9"/>
    </row>
    <row r="57" spans="1:31" s="10" customFormat="1" ht="28.5" customHeight="1" x14ac:dyDescent="0.25">
      <c r="A57" s="3">
        <v>53</v>
      </c>
      <c r="B57" s="3" t="s">
        <v>28</v>
      </c>
      <c r="C57" s="5" t="s">
        <v>740</v>
      </c>
      <c r="D57" s="4" t="s">
        <v>741</v>
      </c>
      <c r="E57" s="6">
        <v>18</v>
      </c>
      <c r="F57" s="6">
        <v>46</v>
      </c>
      <c r="G57" s="6">
        <v>76.5</v>
      </c>
      <c r="H57" s="6" t="s">
        <v>55</v>
      </c>
      <c r="I57" s="7">
        <v>45714</v>
      </c>
      <c r="J57" s="3"/>
      <c r="K57" s="3"/>
      <c r="L57" s="3"/>
      <c r="M57" s="3"/>
      <c r="N57" s="3"/>
      <c r="O57" s="3"/>
      <c r="P57" s="3" t="s">
        <v>52</v>
      </c>
      <c r="Q57" s="15" t="s">
        <v>133</v>
      </c>
      <c r="R57" s="7">
        <v>45743</v>
      </c>
      <c r="S57" s="6" t="s">
        <v>1374</v>
      </c>
      <c r="T57" s="6" t="s">
        <v>1374</v>
      </c>
      <c r="U57" s="6">
        <v>1881</v>
      </c>
      <c r="V57" s="11">
        <v>2125468</v>
      </c>
      <c r="W57" s="6"/>
      <c r="X57" s="6"/>
      <c r="Y57" s="6"/>
      <c r="Z57" s="6"/>
      <c r="AA57" s="8"/>
      <c r="AB57" s="8" t="s">
        <v>1372</v>
      </c>
      <c r="AC57" s="6" t="s">
        <v>978</v>
      </c>
      <c r="AD57" s="6"/>
      <c r="AE57" s="9"/>
    </row>
    <row r="58" spans="1:31" s="10" customFormat="1" ht="30.75" customHeight="1" x14ac:dyDescent="0.25">
      <c r="A58" s="3">
        <v>54</v>
      </c>
      <c r="B58" s="3" t="s">
        <v>28</v>
      </c>
      <c r="C58" s="5" t="s">
        <v>740</v>
      </c>
      <c r="D58" s="4" t="s">
        <v>741</v>
      </c>
      <c r="E58" s="6">
        <v>12</v>
      </c>
      <c r="F58" s="6">
        <v>397</v>
      </c>
      <c r="G58" s="6">
        <v>76.5</v>
      </c>
      <c r="H58" s="6" t="s">
        <v>55</v>
      </c>
      <c r="I58" s="7">
        <v>45714</v>
      </c>
      <c r="J58" s="3"/>
      <c r="K58" s="3"/>
      <c r="L58" s="3"/>
      <c r="M58" s="3"/>
      <c r="N58" s="3"/>
      <c r="O58" s="3"/>
      <c r="P58" s="3" t="s">
        <v>52</v>
      </c>
      <c r="Q58" s="15" t="s">
        <v>133</v>
      </c>
      <c r="R58" s="7">
        <v>45743</v>
      </c>
      <c r="S58" s="6" t="s">
        <v>1374</v>
      </c>
      <c r="T58" s="6" t="s">
        <v>1374</v>
      </c>
      <c r="U58" s="6">
        <v>1882</v>
      </c>
      <c r="V58" s="11">
        <v>2125468</v>
      </c>
      <c r="W58" s="6"/>
      <c r="X58" s="6"/>
      <c r="Y58" s="6"/>
      <c r="Z58" s="6"/>
      <c r="AA58" s="8"/>
      <c r="AB58" s="8" t="s">
        <v>1372</v>
      </c>
      <c r="AC58" s="6" t="s">
        <v>978</v>
      </c>
      <c r="AD58" s="6"/>
      <c r="AE58" s="9"/>
    </row>
    <row r="59" spans="1:31" s="10" customFormat="1" ht="31.5" customHeight="1" x14ac:dyDescent="0.25">
      <c r="A59" s="3">
        <v>55</v>
      </c>
      <c r="B59" s="3" t="s">
        <v>28</v>
      </c>
      <c r="C59" s="5" t="s">
        <v>740</v>
      </c>
      <c r="D59" s="4" t="s">
        <v>741</v>
      </c>
      <c r="E59" s="6">
        <v>12</v>
      </c>
      <c r="F59" s="6">
        <v>399</v>
      </c>
      <c r="G59" s="6">
        <v>76.5</v>
      </c>
      <c r="H59" s="6" t="s">
        <v>55</v>
      </c>
      <c r="I59" s="7">
        <v>45714</v>
      </c>
      <c r="J59" s="3"/>
      <c r="K59" s="3"/>
      <c r="L59" s="3"/>
      <c r="M59" s="3"/>
      <c r="N59" s="3"/>
      <c r="O59" s="3"/>
      <c r="P59" s="3" t="s">
        <v>52</v>
      </c>
      <c r="Q59" s="15" t="s">
        <v>133</v>
      </c>
      <c r="R59" s="7">
        <v>45743</v>
      </c>
      <c r="S59" s="6" t="s">
        <v>1374</v>
      </c>
      <c r="T59" s="6" t="s">
        <v>1374</v>
      </c>
      <c r="U59" s="6">
        <v>1884</v>
      </c>
      <c r="V59" s="11">
        <v>2125468</v>
      </c>
      <c r="W59" s="6"/>
      <c r="X59" s="6"/>
      <c r="Y59" s="6"/>
      <c r="Z59" s="6"/>
      <c r="AA59" s="8"/>
      <c r="AB59" s="8" t="s">
        <v>1372</v>
      </c>
      <c r="AC59" s="6" t="s">
        <v>978</v>
      </c>
      <c r="AD59" s="6"/>
      <c r="AE59" s="9"/>
    </row>
    <row r="60" spans="1:31" s="10" customFormat="1" ht="31.5" customHeight="1" x14ac:dyDescent="0.25">
      <c r="A60" s="3">
        <v>56</v>
      </c>
      <c r="B60" s="3" t="s">
        <v>28</v>
      </c>
      <c r="C60" s="5" t="s">
        <v>740</v>
      </c>
      <c r="D60" s="4" t="s">
        <v>741</v>
      </c>
      <c r="E60" s="6">
        <v>12</v>
      </c>
      <c r="F60" s="6">
        <v>398</v>
      </c>
      <c r="G60" s="6">
        <v>76.5</v>
      </c>
      <c r="H60" s="6" t="s">
        <v>55</v>
      </c>
      <c r="I60" s="7">
        <v>45714</v>
      </c>
      <c r="J60" s="3"/>
      <c r="K60" s="3"/>
      <c r="L60" s="3"/>
      <c r="M60" s="3"/>
      <c r="N60" s="3"/>
      <c r="O60" s="3"/>
      <c r="P60" s="3" t="s">
        <v>52</v>
      </c>
      <c r="Q60" s="15" t="s">
        <v>133</v>
      </c>
      <c r="R60" s="7">
        <v>45743</v>
      </c>
      <c r="S60" s="6" t="s">
        <v>1374</v>
      </c>
      <c r="T60" s="6" t="s">
        <v>1374</v>
      </c>
      <c r="U60" s="6">
        <v>1886</v>
      </c>
      <c r="V60" s="11">
        <v>2125468</v>
      </c>
      <c r="W60" s="6"/>
      <c r="X60" s="6"/>
      <c r="Y60" s="6"/>
      <c r="Z60" s="6"/>
      <c r="AA60" s="8"/>
      <c r="AB60" s="8" t="s">
        <v>1372</v>
      </c>
      <c r="AC60" s="6" t="s">
        <v>978</v>
      </c>
      <c r="AD60" s="6"/>
      <c r="AE60" s="9"/>
    </row>
    <row r="61" spans="1:31" s="10" customFormat="1" ht="47.25" x14ac:dyDescent="0.25">
      <c r="A61" s="3">
        <v>57</v>
      </c>
      <c r="B61" s="3" t="s">
        <v>28</v>
      </c>
      <c r="C61" s="5" t="s">
        <v>758</v>
      </c>
      <c r="D61" s="4" t="s">
        <v>759</v>
      </c>
      <c r="E61" s="6">
        <v>3</v>
      </c>
      <c r="F61" s="6">
        <v>365</v>
      </c>
      <c r="G61" s="6">
        <v>721.3</v>
      </c>
      <c r="H61" s="6" t="s">
        <v>51</v>
      </c>
      <c r="I61" s="7">
        <v>45715</v>
      </c>
      <c r="J61" s="3"/>
      <c r="K61" s="3" t="s">
        <v>62</v>
      </c>
      <c r="L61" s="3"/>
      <c r="M61" s="3"/>
      <c r="N61" s="3"/>
      <c r="O61" s="3"/>
      <c r="P61" s="3"/>
      <c r="Q61" s="15" t="s">
        <v>133</v>
      </c>
      <c r="R61" s="6"/>
      <c r="S61" s="6"/>
      <c r="T61" s="6"/>
      <c r="U61" s="6"/>
      <c r="V61" s="11"/>
      <c r="W61" s="6"/>
      <c r="X61" s="6"/>
      <c r="Y61" s="6"/>
      <c r="Z61" s="6"/>
      <c r="AA61" s="8"/>
      <c r="AB61" s="8"/>
      <c r="AC61" s="6" t="s">
        <v>1210</v>
      </c>
      <c r="AD61" s="6"/>
      <c r="AE61" s="9"/>
    </row>
    <row r="62" spans="1:31" s="10" customFormat="1" ht="31.5" x14ac:dyDescent="0.25">
      <c r="A62" s="3">
        <v>58</v>
      </c>
      <c r="B62" s="3" t="s">
        <v>28</v>
      </c>
      <c r="C62" s="5" t="s">
        <v>776</v>
      </c>
      <c r="D62" s="4"/>
      <c r="E62" s="6">
        <v>14</v>
      </c>
      <c r="F62" s="6">
        <v>1164</v>
      </c>
      <c r="G62" s="6">
        <v>94</v>
      </c>
      <c r="H62" s="6" t="s">
        <v>55</v>
      </c>
      <c r="I62" s="7">
        <v>45716</v>
      </c>
      <c r="J62" s="3"/>
      <c r="K62" s="3"/>
      <c r="L62" s="3"/>
      <c r="M62" s="3"/>
      <c r="N62" s="3"/>
      <c r="O62" s="3"/>
      <c r="P62" s="3" t="s">
        <v>52</v>
      </c>
      <c r="Q62" s="15" t="s">
        <v>133</v>
      </c>
      <c r="R62" s="7">
        <v>45736</v>
      </c>
      <c r="S62" s="7">
        <v>45737</v>
      </c>
      <c r="T62" s="7">
        <v>45737</v>
      </c>
      <c r="U62" s="6">
        <v>1654</v>
      </c>
      <c r="V62" s="11">
        <v>2833958</v>
      </c>
      <c r="W62" s="6"/>
      <c r="X62" s="6"/>
      <c r="Y62" s="6"/>
      <c r="Z62" s="6"/>
      <c r="AA62" s="8" t="s">
        <v>1727</v>
      </c>
      <c r="AB62" s="8" t="s">
        <v>953</v>
      </c>
      <c r="AC62" s="6" t="s">
        <v>945</v>
      </c>
      <c r="AD62" s="6"/>
      <c r="AE62" s="9"/>
    </row>
    <row r="63" spans="1:31" s="10" customFormat="1" ht="31.5" x14ac:dyDescent="0.25">
      <c r="A63" s="3">
        <v>59</v>
      </c>
      <c r="B63" s="3" t="s">
        <v>28</v>
      </c>
      <c r="C63" s="5" t="s">
        <v>781</v>
      </c>
      <c r="D63" s="4" t="s">
        <v>782</v>
      </c>
      <c r="E63" s="6">
        <v>38</v>
      </c>
      <c r="F63" s="6">
        <v>25</v>
      </c>
      <c r="G63" s="6">
        <v>99.6</v>
      </c>
      <c r="H63" s="6" t="s">
        <v>55</v>
      </c>
      <c r="I63" s="7">
        <v>45716</v>
      </c>
      <c r="J63" s="3"/>
      <c r="K63" s="3"/>
      <c r="L63" s="3"/>
      <c r="M63" s="3"/>
      <c r="N63" s="3"/>
      <c r="O63" s="3"/>
      <c r="P63" s="3" t="s">
        <v>52</v>
      </c>
      <c r="Q63" s="15" t="s">
        <v>133</v>
      </c>
      <c r="R63" s="7">
        <v>45727</v>
      </c>
      <c r="S63" s="7">
        <v>45728</v>
      </c>
      <c r="T63" s="7">
        <v>45728</v>
      </c>
      <c r="U63" s="6">
        <v>1408</v>
      </c>
      <c r="V63" s="11">
        <v>2125468</v>
      </c>
      <c r="W63" s="6"/>
      <c r="X63" s="6"/>
      <c r="Y63" s="6"/>
      <c r="Z63" s="6"/>
      <c r="AA63" s="8"/>
      <c r="AB63" s="8"/>
      <c r="AC63" s="6" t="s">
        <v>975</v>
      </c>
      <c r="AD63" s="6"/>
      <c r="AE63" s="9"/>
    </row>
    <row r="64" spans="1:31" s="10" customFormat="1" ht="31.5" x14ac:dyDescent="0.25">
      <c r="A64" s="3">
        <v>60</v>
      </c>
      <c r="B64" s="3" t="s">
        <v>28</v>
      </c>
      <c r="C64" s="5" t="s">
        <v>783</v>
      </c>
      <c r="D64" s="4" t="s">
        <v>784</v>
      </c>
      <c r="E64" s="6">
        <v>17</v>
      </c>
      <c r="F64" s="6">
        <v>454</v>
      </c>
      <c r="G64" s="6">
        <v>2477.4</v>
      </c>
      <c r="H64" s="6" t="s">
        <v>75</v>
      </c>
      <c r="I64" s="7">
        <v>45716</v>
      </c>
      <c r="J64" s="3"/>
      <c r="K64" s="3" t="s">
        <v>62</v>
      </c>
      <c r="L64" s="3"/>
      <c r="M64" s="3"/>
      <c r="N64" s="3"/>
      <c r="O64" s="3"/>
      <c r="P64" s="3"/>
      <c r="Q64" s="15" t="s">
        <v>133</v>
      </c>
      <c r="R64" s="7">
        <v>45791</v>
      </c>
      <c r="S64" s="6"/>
      <c r="T64" s="6"/>
      <c r="U64" s="6"/>
      <c r="V64" s="11"/>
      <c r="W64" s="6"/>
      <c r="X64" s="6"/>
      <c r="Y64" s="6"/>
      <c r="Z64" s="6"/>
      <c r="AA64" s="8"/>
      <c r="AB64" s="8" t="s">
        <v>1043</v>
      </c>
      <c r="AC64" s="6"/>
      <c r="AD64" s="6"/>
      <c r="AE64" s="9"/>
    </row>
    <row r="65" spans="1:31" s="10" customFormat="1" ht="33.75" customHeight="1" x14ac:dyDescent="0.25">
      <c r="A65" s="3">
        <v>61</v>
      </c>
      <c r="B65" s="3" t="s">
        <v>28</v>
      </c>
      <c r="C65" s="5" t="s">
        <v>740</v>
      </c>
      <c r="D65" s="4" t="s">
        <v>741</v>
      </c>
      <c r="E65" s="6">
        <v>18</v>
      </c>
      <c r="F65" s="6">
        <v>46</v>
      </c>
      <c r="G65" s="6">
        <v>76.5</v>
      </c>
      <c r="H65" s="6" t="s">
        <v>55</v>
      </c>
      <c r="I65" s="7">
        <v>45716</v>
      </c>
      <c r="J65" s="3"/>
      <c r="K65" s="3"/>
      <c r="L65" s="3"/>
      <c r="M65" s="3"/>
      <c r="N65" s="3"/>
      <c r="O65" s="3"/>
      <c r="P65" s="3" t="s">
        <v>52</v>
      </c>
      <c r="Q65" s="15" t="s">
        <v>133</v>
      </c>
      <c r="R65" s="7">
        <v>45743</v>
      </c>
      <c r="S65" s="6" t="s">
        <v>1374</v>
      </c>
      <c r="T65" s="6" t="s">
        <v>1374</v>
      </c>
      <c r="U65" s="6">
        <v>1887</v>
      </c>
      <c r="V65" s="11">
        <v>2125468</v>
      </c>
      <c r="W65" s="6"/>
      <c r="X65" s="6"/>
      <c r="Y65" s="6"/>
      <c r="Z65" s="6"/>
      <c r="AA65" s="8"/>
      <c r="AB65" s="8" t="s">
        <v>1372</v>
      </c>
      <c r="AC65" s="6" t="s">
        <v>978</v>
      </c>
      <c r="AD65" s="6"/>
      <c r="AE65" s="9"/>
    </row>
    <row r="66" spans="1:31" s="10" customFormat="1" ht="227.25" customHeight="1" x14ac:dyDescent="0.25">
      <c r="A66" s="3">
        <v>62</v>
      </c>
      <c r="B66" s="3" t="s">
        <v>28</v>
      </c>
      <c r="C66" s="5" t="s">
        <v>700</v>
      </c>
      <c r="D66" s="4" t="s">
        <v>701</v>
      </c>
      <c r="E66" s="6">
        <v>6</v>
      </c>
      <c r="F66" s="6">
        <v>39</v>
      </c>
      <c r="G66" s="6">
        <v>199.1</v>
      </c>
      <c r="H66" s="6" t="s">
        <v>55</v>
      </c>
      <c r="I66" s="7">
        <v>45719</v>
      </c>
      <c r="J66" s="3"/>
      <c r="K66" s="3"/>
      <c r="L66" s="3" t="s">
        <v>1</v>
      </c>
      <c r="M66" s="3"/>
      <c r="N66" s="3"/>
      <c r="O66" s="3"/>
      <c r="P66" s="3"/>
      <c r="Q66" s="15" t="s">
        <v>133</v>
      </c>
      <c r="R66" s="6"/>
      <c r="S66" s="6"/>
      <c r="T66" s="6"/>
      <c r="U66" s="6"/>
      <c r="V66" s="11"/>
      <c r="W66" s="6"/>
      <c r="X66" s="6"/>
      <c r="Y66" s="6"/>
      <c r="Z66" s="6"/>
      <c r="AA66" s="8"/>
      <c r="AB66" s="8"/>
      <c r="AC66" s="6"/>
      <c r="AD66" s="6"/>
      <c r="AE66" s="9"/>
    </row>
    <row r="67" spans="1:31" s="10" customFormat="1" ht="31.5" x14ac:dyDescent="0.25">
      <c r="A67" s="3">
        <v>63</v>
      </c>
      <c r="B67" s="3" t="s">
        <v>28</v>
      </c>
      <c r="C67" s="5" t="s">
        <v>811</v>
      </c>
      <c r="D67" s="4" t="s">
        <v>812</v>
      </c>
      <c r="E67" s="6">
        <v>13</v>
      </c>
      <c r="F67" s="6">
        <v>586</v>
      </c>
      <c r="G67" s="6">
        <v>65.7</v>
      </c>
      <c r="H67" s="6" t="s">
        <v>75</v>
      </c>
      <c r="I67" s="7">
        <v>45719</v>
      </c>
      <c r="J67" s="3"/>
      <c r="K67" s="3"/>
      <c r="L67" s="3"/>
      <c r="M67" s="3"/>
      <c r="N67" s="3"/>
      <c r="O67" s="3"/>
      <c r="P67" s="3" t="s">
        <v>52</v>
      </c>
      <c r="Q67" s="15" t="s">
        <v>133</v>
      </c>
      <c r="R67" s="7">
        <v>45742</v>
      </c>
      <c r="S67" s="7">
        <v>45742</v>
      </c>
      <c r="T67" s="7">
        <v>45742</v>
      </c>
      <c r="U67" s="6">
        <v>1737</v>
      </c>
      <c r="V67" s="11">
        <v>2125468</v>
      </c>
      <c r="W67" s="6"/>
      <c r="X67" s="6"/>
      <c r="Y67" s="6"/>
      <c r="Z67" s="6"/>
      <c r="AA67" s="8"/>
      <c r="AB67" s="8"/>
      <c r="AC67" s="6" t="s">
        <v>1365</v>
      </c>
      <c r="AD67" s="6"/>
      <c r="AE67" s="9"/>
    </row>
    <row r="68" spans="1:31" s="10" customFormat="1" ht="31.5" x14ac:dyDescent="0.25">
      <c r="A68" s="3">
        <v>64</v>
      </c>
      <c r="B68" s="3" t="s">
        <v>28</v>
      </c>
      <c r="C68" s="5" t="s">
        <v>817</v>
      </c>
      <c r="D68" s="4" t="s">
        <v>818</v>
      </c>
      <c r="E68" s="6">
        <v>20</v>
      </c>
      <c r="F68" s="6">
        <v>688</v>
      </c>
      <c r="G68" s="6">
        <v>288.10000000000002</v>
      </c>
      <c r="H68" s="6" t="s">
        <v>55</v>
      </c>
      <c r="I68" s="7">
        <v>45719</v>
      </c>
      <c r="J68" s="3" t="s">
        <v>153</v>
      </c>
      <c r="K68" s="3"/>
      <c r="L68" s="3"/>
      <c r="M68" s="3"/>
      <c r="N68" s="3"/>
      <c r="O68" s="3"/>
      <c r="P68" s="3"/>
      <c r="Q68" s="15" t="s">
        <v>133</v>
      </c>
      <c r="R68" s="7">
        <v>45749</v>
      </c>
      <c r="S68" s="7">
        <v>45751</v>
      </c>
      <c r="T68" s="7">
        <v>45751</v>
      </c>
      <c r="U68" s="6">
        <v>2031</v>
      </c>
      <c r="V68" s="11">
        <v>2429180</v>
      </c>
      <c r="W68" s="6"/>
      <c r="X68" s="6"/>
      <c r="Y68" s="6"/>
      <c r="Z68" s="6" t="s">
        <v>1445</v>
      </c>
      <c r="AA68" s="8" t="s">
        <v>1446</v>
      </c>
      <c r="AB68" s="8"/>
      <c r="AC68" s="6"/>
      <c r="AD68" s="6"/>
      <c r="AE68" s="9"/>
    </row>
    <row r="69" spans="1:31" s="10" customFormat="1" ht="31.5" x14ac:dyDescent="0.25">
      <c r="A69" s="3">
        <v>65</v>
      </c>
      <c r="B69" s="3" t="s">
        <v>28</v>
      </c>
      <c r="C69" s="5" t="s">
        <v>826</v>
      </c>
      <c r="D69" s="4" t="s">
        <v>827</v>
      </c>
      <c r="E69" s="6">
        <v>10</v>
      </c>
      <c r="F69" s="6">
        <v>116</v>
      </c>
      <c r="G69" s="6">
        <v>889.4</v>
      </c>
      <c r="H69" s="6" t="s">
        <v>75</v>
      </c>
      <c r="I69" s="7">
        <v>45719</v>
      </c>
      <c r="J69" s="3"/>
      <c r="K69" s="3"/>
      <c r="L69" s="3"/>
      <c r="M69" s="3"/>
      <c r="N69" s="3"/>
      <c r="O69" s="3"/>
      <c r="P69" s="3" t="s">
        <v>52</v>
      </c>
      <c r="Q69" s="15" t="s">
        <v>133</v>
      </c>
      <c r="R69" s="7">
        <v>45742</v>
      </c>
      <c r="S69" s="7">
        <v>45748</v>
      </c>
      <c r="T69" s="7">
        <v>45748</v>
      </c>
      <c r="U69" s="6">
        <v>1924</v>
      </c>
      <c r="V69" s="11">
        <v>1682662</v>
      </c>
      <c r="W69" s="6"/>
      <c r="X69" s="6"/>
      <c r="Y69" s="6"/>
      <c r="Z69" s="6"/>
      <c r="AA69" s="8"/>
      <c r="AB69" s="8"/>
      <c r="AC69" s="6" t="s">
        <v>1646</v>
      </c>
      <c r="AD69" s="6"/>
      <c r="AE69" s="9"/>
    </row>
    <row r="70" spans="1:31" s="10" customFormat="1" ht="31.5" x14ac:dyDescent="0.25">
      <c r="A70" s="3">
        <v>66</v>
      </c>
      <c r="B70" s="3" t="s">
        <v>28</v>
      </c>
      <c r="C70" s="5" t="s">
        <v>835</v>
      </c>
      <c r="D70" s="4"/>
      <c r="E70" s="6">
        <v>19</v>
      </c>
      <c r="F70" s="6">
        <v>809</v>
      </c>
      <c r="G70" s="6">
        <v>540</v>
      </c>
      <c r="H70" s="6" t="s">
        <v>51</v>
      </c>
      <c r="I70" s="7"/>
      <c r="J70" s="3"/>
      <c r="K70" s="3"/>
      <c r="L70" s="3"/>
      <c r="M70" s="3"/>
      <c r="N70" s="3"/>
      <c r="O70" s="3"/>
      <c r="P70" s="3"/>
      <c r="Q70" s="15" t="s">
        <v>190</v>
      </c>
      <c r="R70" s="7">
        <v>45663</v>
      </c>
      <c r="S70" s="6"/>
      <c r="T70" s="6"/>
      <c r="U70" s="6"/>
      <c r="V70" s="11"/>
      <c r="W70" s="6"/>
      <c r="X70" s="6"/>
      <c r="Y70" s="6"/>
      <c r="Z70" s="6" t="s">
        <v>836</v>
      </c>
      <c r="AA70" s="8" t="s">
        <v>837</v>
      </c>
      <c r="AB70" s="8"/>
      <c r="AC70" s="6"/>
      <c r="AD70" s="6"/>
      <c r="AE70" s="9"/>
    </row>
    <row r="71" spans="1:31" s="10" customFormat="1" ht="31.5" x14ac:dyDescent="0.25">
      <c r="A71" s="3">
        <v>67</v>
      </c>
      <c r="B71" s="3" t="s">
        <v>28</v>
      </c>
      <c r="C71" s="5" t="s">
        <v>838</v>
      </c>
      <c r="D71" s="4" t="s">
        <v>839</v>
      </c>
      <c r="E71" s="6">
        <v>24</v>
      </c>
      <c r="F71" s="6">
        <v>342</v>
      </c>
      <c r="G71" s="6">
        <v>113.9</v>
      </c>
      <c r="H71" s="6" t="s">
        <v>51</v>
      </c>
      <c r="I71" s="7">
        <v>45720</v>
      </c>
      <c r="J71" s="3"/>
      <c r="K71" s="3"/>
      <c r="L71" s="3" t="s">
        <v>1</v>
      </c>
      <c r="M71" s="3"/>
      <c r="N71" s="3"/>
      <c r="O71" s="3"/>
      <c r="P71" s="3"/>
      <c r="Q71" s="15" t="s">
        <v>133</v>
      </c>
      <c r="R71" s="7">
        <v>45761</v>
      </c>
      <c r="S71" s="7">
        <v>45761</v>
      </c>
      <c r="T71" s="7">
        <v>45761</v>
      </c>
      <c r="U71" s="6">
        <v>2236</v>
      </c>
      <c r="V71" s="11">
        <v>961551</v>
      </c>
      <c r="W71" s="6"/>
      <c r="X71" s="6"/>
      <c r="Y71" s="6"/>
      <c r="Z71" s="6"/>
      <c r="AA71" s="8"/>
      <c r="AB71" s="8"/>
      <c r="AC71" s="6" t="s">
        <v>1573</v>
      </c>
      <c r="AD71" s="6"/>
      <c r="AE71" s="9"/>
    </row>
    <row r="72" spans="1:31" s="10" customFormat="1" ht="31.5" x14ac:dyDescent="0.25">
      <c r="A72" s="3">
        <v>68</v>
      </c>
      <c r="B72" s="3" t="s">
        <v>28</v>
      </c>
      <c r="C72" s="5" t="s">
        <v>856</v>
      </c>
      <c r="D72" s="4" t="s">
        <v>857</v>
      </c>
      <c r="E72" s="6">
        <v>11</v>
      </c>
      <c r="F72" s="6">
        <v>588</v>
      </c>
      <c r="G72" s="6">
        <v>217.3</v>
      </c>
      <c r="H72" s="6" t="s">
        <v>51</v>
      </c>
      <c r="I72" s="7">
        <v>45721</v>
      </c>
      <c r="J72" s="3"/>
      <c r="K72" s="3" t="s">
        <v>62</v>
      </c>
      <c r="L72" s="3"/>
      <c r="M72" s="3"/>
      <c r="N72" s="3"/>
      <c r="O72" s="3"/>
      <c r="P72" s="3"/>
      <c r="Q72" s="15" t="s">
        <v>133</v>
      </c>
      <c r="R72" s="7">
        <v>45748</v>
      </c>
      <c r="S72" s="7">
        <v>45748</v>
      </c>
      <c r="T72" s="7">
        <v>45748</v>
      </c>
      <c r="U72" s="6">
        <v>1908</v>
      </c>
      <c r="V72" s="11">
        <v>809727</v>
      </c>
      <c r="W72" s="6"/>
      <c r="X72" s="6"/>
      <c r="Y72" s="6"/>
      <c r="Z72" s="6" t="s">
        <v>1914</v>
      </c>
      <c r="AA72" s="8" t="s">
        <v>1915</v>
      </c>
      <c r="AB72" s="8"/>
      <c r="AC72" s="6"/>
      <c r="AD72" s="6"/>
      <c r="AE72" s="9"/>
    </row>
    <row r="73" spans="1:31" s="10" customFormat="1" ht="47.25" x14ac:dyDescent="0.25">
      <c r="A73" s="3">
        <v>69</v>
      </c>
      <c r="B73" s="3" t="s">
        <v>28</v>
      </c>
      <c r="C73" s="5" t="s">
        <v>868</v>
      </c>
      <c r="D73" s="4" t="s">
        <v>869</v>
      </c>
      <c r="E73" s="6">
        <v>16</v>
      </c>
      <c r="F73" s="6">
        <v>93</v>
      </c>
      <c r="G73" s="6">
        <v>794.3</v>
      </c>
      <c r="H73" s="6" t="s">
        <v>51</v>
      </c>
      <c r="I73" s="7">
        <v>45721</v>
      </c>
      <c r="J73" s="3"/>
      <c r="K73" s="3" t="s">
        <v>62</v>
      </c>
      <c r="L73" s="3"/>
      <c r="M73" s="3"/>
      <c r="N73" s="3"/>
      <c r="O73" s="3"/>
      <c r="P73" s="3"/>
      <c r="Q73" s="15" t="s">
        <v>133</v>
      </c>
      <c r="R73" s="6"/>
      <c r="S73" s="6"/>
      <c r="T73" s="6"/>
      <c r="U73" s="6"/>
      <c r="V73" s="11"/>
      <c r="W73" s="6"/>
      <c r="X73" s="6"/>
      <c r="Y73" s="6"/>
      <c r="Z73" s="6"/>
      <c r="AA73" s="8"/>
      <c r="AB73" s="8"/>
      <c r="AC73" s="6" t="s">
        <v>1831</v>
      </c>
      <c r="AD73" s="6"/>
      <c r="AE73" s="9"/>
    </row>
    <row r="74" spans="1:31" s="10" customFormat="1" ht="74.25" customHeight="1" x14ac:dyDescent="0.25">
      <c r="A74" s="3">
        <v>70</v>
      </c>
      <c r="B74" s="3" t="s">
        <v>28</v>
      </c>
      <c r="C74" s="5" t="s">
        <v>883</v>
      </c>
      <c r="D74" s="4" t="s">
        <v>884</v>
      </c>
      <c r="E74" s="6">
        <v>14</v>
      </c>
      <c r="F74" s="6">
        <v>389</v>
      </c>
      <c r="G74" s="6">
        <v>1257.5999999999999</v>
      </c>
      <c r="H74" s="6" t="s">
        <v>51</v>
      </c>
      <c r="I74" s="7">
        <v>45722</v>
      </c>
      <c r="J74" s="3" t="s">
        <v>76</v>
      </c>
      <c r="K74" s="3"/>
      <c r="L74" s="3"/>
      <c r="M74" s="3"/>
      <c r="N74" s="3"/>
      <c r="O74" s="3"/>
      <c r="P74" s="3"/>
      <c r="Q74" s="15" t="s">
        <v>133</v>
      </c>
      <c r="R74" s="7">
        <v>45747</v>
      </c>
      <c r="S74" s="7" t="s">
        <v>1424</v>
      </c>
      <c r="T74" s="7" t="s">
        <v>1424</v>
      </c>
      <c r="U74" s="6" t="s">
        <v>1425</v>
      </c>
      <c r="V74" s="11" t="s">
        <v>1426</v>
      </c>
      <c r="W74" s="6"/>
      <c r="X74" s="6"/>
      <c r="Y74" s="6"/>
      <c r="Z74" s="6" t="s">
        <v>1450</v>
      </c>
      <c r="AA74" s="8" t="s">
        <v>1451</v>
      </c>
      <c r="AB74" s="8"/>
      <c r="AC74" s="6" t="s">
        <v>1338</v>
      </c>
      <c r="AD74" s="6"/>
      <c r="AE74" s="9"/>
    </row>
    <row r="75" spans="1:31" s="10" customFormat="1" ht="31.5" x14ac:dyDescent="0.25">
      <c r="A75" s="3">
        <v>71</v>
      </c>
      <c r="B75" s="3" t="s">
        <v>28</v>
      </c>
      <c r="C75" s="5" t="s">
        <v>893</v>
      </c>
      <c r="D75" s="4"/>
      <c r="E75" s="6">
        <v>19</v>
      </c>
      <c r="F75" s="6">
        <v>225</v>
      </c>
      <c r="G75" s="6">
        <v>175.3</v>
      </c>
      <c r="H75" s="6" t="s">
        <v>51</v>
      </c>
      <c r="I75" s="7"/>
      <c r="J75" s="3"/>
      <c r="K75" s="3"/>
      <c r="L75" s="3"/>
      <c r="M75" s="3"/>
      <c r="N75" s="3"/>
      <c r="O75" s="3"/>
      <c r="P75" s="3"/>
      <c r="Q75" s="15" t="s">
        <v>190</v>
      </c>
      <c r="R75" s="7">
        <v>45660</v>
      </c>
      <c r="S75" s="7"/>
      <c r="T75" s="7"/>
      <c r="U75" s="6"/>
      <c r="V75" s="11"/>
      <c r="W75" s="6"/>
      <c r="X75" s="6"/>
      <c r="Y75" s="6"/>
      <c r="Z75" s="6" t="s">
        <v>894</v>
      </c>
      <c r="AA75" s="8" t="s">
        <v>895</v>
      </c>
      <c r="AB75" s="8"/>
      <c r="AC75" s="6"/>
      <c r="AD75" s="6"/>
      <c r="AE75" s="9"/>
    </row>
    <row r="76" spans="1:31" s="10" customFormat="1" ht="31.5" x14ac:dyDescent="0.25">
      <c r="A76" s="3">
        <v>72</v>
      </c>
      <c r="B76" s="3" t="s">
        <v>28</v>
      </c>
      <c r="C76" s="5" t="s">
        <v>926</v>
      </c>
      <c r="D76" s="4"/>
      <c r="E76" s="6">
        <v>24</v>
      </c>
      <c r="F76" s="6">
        <v>167</v>
      </c>
      <c r="G76" s="6">
        <v>6127.4</v>
      </c>
      <c r="H76" s="6" t="s">
        <v>51</v>
      </c>
      <c r="I76" s="7"/>
      <c r="J76" s="3"/>
      <c r="K76" s="3"/>
      <c r="L76" s="3"/>
      <c r="M76" s="3"/>
      <c r="N76" s="3"/>
      <c r="O76" s="3"/>
      <c r="P76" s="3"/>
      <c r="Q76" s="6" t="s">
        <v>190</v>
      </c>
      <c r="R76" s="7">
        <v>45653</v>
      </c>
      <c r="S76" s="6"/>
      <c r="T76" s="6"/>
      <c r="U76" s="6"/>
      <c r="V76" s="11"/>
      <c r="W76" s="6"/>
      <c r="X76" s="6"/>
      <c r="Y76" s="6"/>
      <c r="Z76" s="6" t="s">
        <v>927</v>
      </c>
      <c r="AA76" s="8" t="s">
        <v>929</v>
      </c>
      <c r="AB76" s="8"/>
      <c r="AC76" s="6"/>
      <c r="AD76" s="6"/>
      <c r="AE76" s="9"/>
    </row>
    <row r="77" spans="1:31" s="10" customFormat="1" ht="31.5" x14ac:dyDescent="0.25">
      <c r="A77" s="3">
        <v>73</v>
      </c>
      <c r="B77" s="3" t="s">
        <v>28</v>
      </c>
      <c r="C77" s="5" t="s">
        <v>930</v>
      </c>
      <c r="D77" s="4" t="s">
        <v>931</v>
      </c>
      <c r="E77" s="6">
        <v>36</v>
      </c>
      <c r="F77" s="6">
        <v>265</v>
      </c>
      <c r="G77" s="6">
        <v>96.6</v>
      </c>
      <c r="H77" s="6" t="s">
        <v>51</v>
      </c>
      <c r="I77" s="7">
        <v>45723</v>
      </c>
      <c r="J77" s="3"/>
      <c r="K77" s="3" t="s">
        <v>62</v>
      </c>
      <c r="L77" s="3"/>
      <c r="M77" s="3"/>
      <c r="N77" s="3"/>
      <c r="O77" s="3"/>
      <c r="P77" s="3"/>
      <c r="Q77" s="15" t="s">
        <v>133</v>
      </c>
      <c r="R77" s="6"/>
      <c r="S77" s="6"/>
      <c r="T77" s="6"/>
      <c r="U77" s="6"/>
      <c r="V77" s="11"/>
      <c r="W77" s="6"/>
      <c r="X77" s="6"/>
      <c r="Y77" s="6"/>
      <c r="Z77" s="6"/>
      <c r="AA77" s="8"/>
      <c r="AB77" s="8"/>
      <c r="AC77" s="6"/>
      <c r="AD77" s="6"/>
      <c r="AE77" s="9"/>
    </row>
    <row r="78" spans="1:31" s="10" customFormat="1" ht="16.5" x14ac:dyDescent="0.25">
      <c r="A78" s="3">
        <v>74</v>
      </c>
      <c r="B78" s="3" t="s">
        <v>28</v>
      </c>
      <c r="C78" s="5" t="s">
        <v>932</v>
      </c>
      <c r="D78" s="4" t="s">
        <v>931</v>
      </c>
      <c r="E78" s="6">
        <v>260</v>
      </c>
      <c r="F78" s="6">
        <v>8</v>
      </c>
      <c r="G78" s="6">
        <v>96.6</v>
      </c>
      <c r="H78" s="6" t="s">
        <v>51</v>
      </c>
      <c r="I78" s="7">
        <v>45723</v>
      </c>
      <c r="J78" s="3"/>
      <c r="K78" s="3" t="s">
        <v>62</v>
      </c>
      <c r="L78" s="3"/>
      <c r="M78" s="3"/>
      <c r="N78" s="3"/>
      <c r="O78" s="3"/>
      <c r="P78" s="3"/>
      <c r="Q78" s="15" t="s">
        <v>133</v>
      </c>
      <c r="R78" s="6"/>
      <c r="S78" s="6"/>
      <c r="T78" s="6"/>
      <c r="U78" s="6"/>
      <c r="V78" s="11"/>
      <c r="W78" s="6"/>
      <c r="X78" s="6"/>
      <c r="Y78" s="6"/>
      <c r="Z78" s="6"/>
      <c r="AA78" s="8"/>
      <c r="AB78" s="8"/>
      <c r="AC78" s="6"/>
      <c r="AD78" s="6"/>
      <c r="AE78" s="9"/>
    </row>
    <row r="79" spans="1:31" s="10" customFormat="1" ht="16.5" x14ac:dyDescent="0.25">
      <c r="A79" s="3">
        <v>75</v>
      </c>
      <c r="B79" s="3" t="s">
        <v>28</v>
      </c>
      <c r="C79" s="5" t="s">
        <v>933</v>
      </c>
      <c r="D79" s="4" t="s">
        <v>931</v>
      </c>
      <c r="E79" s="6">
        <v>36</v>
      </c>
      <c r="F79" s="6">
        <v>153</v>
      </c>
      <c r="G79" s="6">
        <v>231.2</v>
      </c>
      <c r="H79" s="6" t="s">
        <v>51</v>
      </c>
      <c r="I79" s="7">
        <v>45723</v>
      </c>
      <c r="J79" s="3"/>
      <c r="K79" s="3" t="s">
        <v>62</v>
      </c>
      <c r="L79" s="3"/>
      <c r="M79" s="3"/>
      <c r="N79" s="3"/>
      <c r="O79" s="3"/>
      <c r="P79" s="3"/>
      <c r="Q79" s="15" t="s">
        <v>133</v>
      </c>
      <c r="R79" s="7">
        <v>45763</v>
      </c>
      <c r="S79" s="7">
        <v>45769</v>
      </c>
      <c r="T79" s="7">
        <v>45769</v>
      </c>
      <c r="U79" s="6">
        <v>62</v>
      </c>
      <c r="V79" s="11">
        <v>961551</v>
      </c>
      <c r="W79" s="6"/>
      <c r="X79" s="6"/>
      <c r="Y79" s="6"/>
      <c r="Z79" s="6"/>
      <c r="AA79" s="8"/>
      <c r="AB79" s="8"/>
      <c r="AC79" s="6"/>
      <c r="AD79" s="6"/>
      <c r="AE79" s="9"/>
    </row>
    <row r="80" spans="1:31" s="10" customFormat="1" ht="16.5" x14ac:dyDescent="0.25">
      <c r="A80" s="3">
        <v>76</v>
      </c>
      <c r="B80" s="3" t="s">
        <v>28</v>
      </c>
      <c r="C80" s="5" t="s">
        <v>688</v>
      </c>
      <c r="D80" s="4" t="s">
        <v>689</v>
      </c>
      <c r="E80" s="6">
        <v>11</v>
      </c>
      <c r="F80" s="6">
        <v>247</v>
      </c>
      <c r="G80" s="6">
        <v>869.8</v>
      </c>
      <c r="H80" s="6" t="s">
        <v>75</v>
      </c>
      <c r="I80" s="7">
        <v>45726</v>
      </c>
      <c r="J80" s="3" t="s">
        <v>76</v>
      </c>
      <c r="K80" s="3"/>
      <c r="L80" s="3"/>
      <c r="M80" s="3"/>
      <c r="N80" s="3"/>
      <c r="O80" s="3"/>
      <c r="P80" s="3"/>
      <c r="Q80" s="15" t="s">
        <v>133</v>
      </c>
      <c r="R80" s="6"/>
      <c r="S80" s="6"/>
      <c r="T80" s="6"/>
      <c r="U80" s="6"/>
      <c r="V80" s="11"/>
      <c r="W80" s="6"/>
      <c r="X80" s="6"/>
      <c r="Y80" s="6"/>
      <c r="Z80" s="6"/>
      <c r="AA80" s="8"/>
      <c r="AB80" s="8"/>
      <c r="AC80" s="6"/>
      <c r="AD80" s="6"/>
      <c r="AE80" s="9"/>
    </row>
    <row r="81" spans="1:31" s="10" customFormat="1" ht="31.5" x14ac:dyDescent="0.25">
      <c r="A81" s="3">
        <v>77</v>
      </c>
      <c r="B81" s="3" t="s">
        <v>28</v>
      </c>
      <c r="C81" s="5" t="s">
        <v>948</v>
      </c>
      <c r="D81" s="4" t="s">
        <v>949</v>
      </c>
      <c r="E81" s="6">
        <v>13</v>
      </c>
      <c r="F81" s="6">
        <v>291</v>
      </c>
      <c r="G81" s="6">
        <v>150.30000000000001</v>
      </c>
      <c r="H81" s="6" t="s">
        <v>51</v>
      </c>
      <c r="I81" s="7" t="s">
        <v>2271</v>
      </c>
      <c r="J81" s="3"/>
      <c r="K81" s="3"/>
      <c r="L81" s="3" t="s">
        <v>1</v>
      </c>
      <c r="M81" s="3"/>
      <c r="N81" s="3"/>
      <c r="O81" s="3"/>
      <c r="P81" s="3"/>
      <c r="Q81" s="15" t="s">
        <v>133</v>
      </c>
      <c r="R81" s="6"/>
      <c r="S81" s="6"/>
      <c r="T81" s="6"/>
      <c r="U81" s="6"/>
      <c r="V81" s="11"/>
      <c r="W81" s="6"/>
      <c r="X81" s="6"/>
      <c r="Y81" s="6"/>
      <c r="Z81" s="6"/>
      <c r="AA81" s="8"/>
      <c r="AB81" s="8"/>
      <c r="AC81" s="6"/>
      <c r="AD81" s="6"/>
      <c r="AE81" s="9"/>
    </row>
    <row r="82" spans="1:31" s="10" customFormat="1" ht="31.5" x14ac:dyDescent="0.25">
      <c r="A82" s="3">
        <v>78</v>
      </c>
      <c r="B82" s="3" t="s">
        <v>28</v>
      </c>
      <c r="C82" s="5" t="s">
        <v>948</v>
      </c>
      <c r="D82" s="4" t="s">
        <v>949</v>
      </c>
      <c r="E82" s="6">
        <v>13</v>
      </c>
      <c r="F82" s="6">
        <v>268</v>
      </c>
      <c r="G82" s="6">
        <v>101</v>
      </c>
      <c r="H82" s="6" t="s">
        <v>199</v>
      </c>
      <c r="I82" s="7" t="s">
        <v>2271</v>
      </c>
      <c r="J82" s="3"/>
      <c r="K82" s="3"/>
      <c r="L82" s="3" t="s">
        <v>1</v>
      </c>
      <c r="M82" s="3"/>
      <c r="N82" s="3"/>
      <c r="O82" s="3"/>
      <c r="P82" s="3"/>
      <c r="Q82" s="15" t="s">
        <v>133</v>
      </c>
      <c r="R82" s="6"/>
      <c r="S82" s="6"/>
      <c r="T82" s="6"/>
      <c r="U82" s="6"/>
      <c r="V82" s="11"/>
      <c r="W82" s="6"/>
      <c r="X82" s="6"/>
      <c r="Y82" s="6"/>
      <c r="Z82" s="6"/>
      <c r="AA82" s="8"/>
      <c r="AB82" s="8"/>
      <c r="AC82" s="6"/>
      <c r="AD82" s="6"/>
      <c r="AE82" s="9"/>
    </row>
    <row r="83" spans="1:31" s="10" customFormat="1" ht="47.25" x14ac:dyDescent="0.25">
      <c r="A83" s="3">
        <v>79</v>
      </c>
      <c r="B83" s="3" t="s">
        <v>28</v>
      </c>
      <c r="C83" s="5" t="s">
        <v>994</v>
      </c>
      <c r="D83" s="4" t="s">
        <v>995</v>
      </c>
      <c r="E83" s="6">
        <v>21</v>
      </c>
      <c r="F83" s="6" t="s">
        <v>996</v>
      </c>
      <c r="G83" s="6" t="s">
        <v>997</v>
      </c>
      <c r="H83" s="6" t="s">
        <v>55</v>
      </c>
      <c r="I83" s="7">
        <v>45728</v>
      </c>
      <c r="J83" s="3"/>
      <c r="K83" s="3"/>
      <c r="L83" s="3" t="s">
        <v>1</v>
      </c>
      <c r="M83" s="3"/>
      <c r="N83" s="3"/>
      <c r="O83" s="3"/>
      <c r="P83" s="3"/>
      <c r="Q83" s="15" t="s">
        <v>133</v>
      </c>
      <c r="R83" s="7">
        <v>45791</v>
      </c>
      <c r="S83" s="7">
        <v>45791</v>
      </c>
      <c r="T83" s="7">
        <v>45791</v>
      </c>
      <c r="U83" s="6">
        <v>607</v>
      </c>
      <c r="V83" s="11">
        <v>2631612</v>
      </c>
      <c r="W83" s="6"/>
      <c r="X83" s="6"/>
      <c r="Y83" s="6"/>
      <c r="Z83" s="6"/>
      <c r="AA83" s="8"/>
      <c r="AB83" s="8"/>
      <c r="AC83" s="6"/>
      <c r="AD83" s="6"/>
      <c r="AE83" s="9"/>
    </row>
    <row r="84" spans="1:31" s="10" customFormat="1" ht="16.5" x14ac:dyDescent="0.25">
      <c r="A84" s="3">
        <v>80</v>
      </c>
      <c r="B84" s="3" t="s">
        <v>28</v>
      </c>
      <c r="C84" s="5" t="s">
        <v>1003</v>
      </c>
      <c r="D84" s="4" t="s">
        <v>1004</v>
      </c>
      <c r="E84" s="6">
        <v>11</v>
      </c>
      <c r="F84" s="6">
        <v>85</v>
      </c>
      <c r="G84" s="6">
        <v>145.5</v>
      </c>
      <c r="H84" s="6" t="s">
        <v>51</v>
      </c>
      <c r="I84" s="7">
        <v>45729</v>
      </c>
      <c r="J84" s="3" t="s">
        <v>153</v>
      </c>
      <c r="K84" s="3"/>
      <c r="L84" s="3"/>
      <c r="M84" s="3"/>
      <c r="N84" s="3"/>
      <c r="O84" s="3"/>
      <c r="P84" s="3"/>
      <c r="Q84" s="15" t="s">
        <v>133</v>
      </c>
      <c r="R84" s="7">
        <v>45748</v>
      </c>
      <c r="S84" s="7">
        <v>45748</v>
      </c>
      <c r="T84" s="7">
        <v>45748</v>
      </c>
      <c r="U84" s="6">
        <v>1914</v>
      </c>
      <c r="V84" s="11">
        <v>1619454</v>
      </c>
      <c r="W84" s="6"/>
      <c r="X84" s="6"/>
      <c r="Y84" s="6"/>
      <c r="Z84" s="6"/>
      <c r="AA84" s="8"/>
      <c r="AB84" s="8"/>
      <c r="AC84" s="6"/>
      <c r="AD84" s="6"/>
      <c r="AE84" s="9"/>
    </row>
    <row r="85" spans="1:31" s="10" customFormat="1" ht="31.5" x14ac:dyDescent="0.25">
      <c r="A85" s="3">
        <v>81</v>
      </c>
      <c r="B85" s="3" t="s">
        <v>28</v>
      </c>
      <c r="C85" s="5" t="s">
        <v>1014</v>
      </c>
      <c r="D85" s="4" t="s">
        <v>1015</v>
      </c>
      <c r="E85" s="6">
        <v>11</v>
      </c>
      <c r="F85" s="6">
        <v>371</v>
      </c>
      <c r="G85" s="6">
        <v>101.5</v>
      </c>
      <c r="H85" s="6" t="s">
        <v>51</v>
      </c>
      <c r="I85" s="7">
        <v>45729</v>
      </c>
      <c r="J85" s="3"/>
      <c r="K85" s="3"/>
      <c r="L85" s="3" t="s">
        <v>1</v>
      </c>
      <c r="M85" s="3"/>
      <c r="N85" s="3"/>
      <c r="O85" s="3"/>
      <c r="P85" s="3"/>
      <c r="Q85" s="15" t="s">
        <v>133</v>
      </c>
      <c r="R85" s="6"/>
      <c r="S85" s="6"/>
      <c r="T85" s="6"/>
      <c r="U85" s="6"/>
      <c r="V85" s="11"/>
      <c r="W85" s="6"/>
      <c r="X85" s="6"/>
      <c r="Y85" s="6"/>
      <c r="Z85" s="6"/>
      <c r="AA85" s="8"/>
      <c r="AB85" s="8"/>
      <c r="AC85" s="6" t="s">
        <v>1242</v>
      </c>
      <c r="AD85" s="6"/>
      <c r="AE85" s="9"/>
    </row>
    <row r="86" spans="1:31" s="10" customFormat="1" ht="31.5" x14ac:dyDescent="0.25">
      <c r="A86" s="3">
        <v>82</v>
      </c>
      <c r="B86" s="3" t="s">
        <v>28</v>
      </c>
      <c r="C86" s="5" t="s">
        <v>1018</v>
      </c>
      <c r="D86" s="4" t="s">
        <v>1019</v>
      </c>
      <c r="E86" s="6">
        <v>7</v>
      </c>
      <c r="F86" s="6">
        <v>369</v>
      </c>
      <c r="G86" s="6">
        <v>289.39999999999998</v>
      </c>
      <c r="H86" s="6" t="s">
        <v>55</v>
      </c>
      <c r="I86" s="7">
        <v>45729</v>
      </c>
      <c r="J86" s="3"/>
      <c r="K86" s="3"/>
      <c r="L86" s="3" t="s">
        <v>98</v>
      </c>
      <c r="M86" s="3"/>
      <c r="N86" s="3"/>
      <c r="O86" s="3"/>
      <c r="P86" s="3"/>
      <c r="Q86" s="15" t="s">
        <v>133</v>
      </c>
      <c r="R86" s="7">
        <v>45730</v>
      </c>
      <c r="S86" s="7">
        <v>45736</v>
      </c>
      <c r="T86" s="7">
        <v>45736</v>
      </c>
      <c r="U86" s="6">
        <v>1623</v>
      </c>
      <c r="V86" s="11">
        <v>2583973</v>
      </c>
      <c r="W86" s="6"/>
      <c r="X86" s="6"/>
      <c r="Y86" s="6"/>
      <c r="Z86" s="6"/>
      <c r="AA86" s="8"/>
      <c r="AB86" s="8"/>
      <c r="AC86" s="6" t="s">
        <v>1020</v>
      </c>
      <c r="AD86" s="6"/>
      <c r="AE86" s="9"/>
    </row>
    <row r="87" spans="1:31" s="10" customFormat="1" ht="31.5" x14ac:dyDescent="0.25">
      <c r="A87" s="3">
        <v>83</v>
      </c>
      <c r="B87" s="3" t="s">
        <v>28</v>
      </c>
      <c r="C87" s="5" t="s">
        <v>783</v>
      </c>
      <c r="D87" s="4" t="s">
        <v>784</v>
      </c>
      <c r="E87" s="6">
        <v>17</v>
      </c>
      <c r="F87" s="6">
        <v>454</v>
      </c>
      <c r="G87" s="6">
        <v>2477.4</v>
      </c>
      <c r="H87" s="6" t="s">
        <v>75</v>
      </c>
      <c r="I87" s="7">
        <v>45730</v>
      </c>
      <c r="J87" s="3"/>
      <c r="K87" s="3"/>
      <c r="L87" s="3" t="s">
        <v>1</v>
      </c>
      <c r="M87" s="3"/>
      <c r="N87" s="3"/>
      <c r="O87" s="3"/>
      <c r="P87" s="3"/>
      <c r="Q87" s="15" t="s">
        <v>133</v>
      </c>
      <c r="R87" s="7">
        <v>45791</v>
      </c>
      <c r="S87" s="7">
        <v>45791</v>
      </c>
      <c r="T87" s="7">
        <v>45791</v>
      </c>
      <c r="U87" s="6">
        <v>608</v>
      </c>
      <c r="V87" s="11">
        <v>1713674</v>
      </c>
      <c r="W87" s="6"/>
      <c r="X87" s="6"/>
      <c r="Y87" s="6"/>
      <c r="Z87" s="6"/>
      <c r="AA87" s="8"/>
      <c r="AB87" s="8"/>
      <c r="AC87" s="6" t="s">
        <v>2061</v>
      </c>
      <c r="AD87" s="6"/>
      <c r="AE87" s="9"/>
    </row>
    <row r="88" spans="1:31" s="10" customFormat="1" ht="78.75" x14ac:dyDescent="0.25">
      <c r="A88" s="3">
        <v>84</v>
      </c>
      <c r="B88" s="3" t="s">
        <v>28</v>
      </c>
      <c r="C88" s="5" t="s">
        <v>1048</v>
      </c>
      <c r="D88" s="4" t="s">
        <v>54</v>
      </c>
      <c r="E88" s="6">
        <v>14</v>
      </c>
      <c r="F88" s="6">
        <v>397</v>
      </c>
      <c r="G88" s="6">
        <v>913</v>
      </c>
      <c r="H88" s="6"/>
      <c r="I88" s="7">
        <v>45730</v>
      </c>
      <c r="J88" s="3"/>
      <c r="K88" s="3"/>
      <c r="L88" s="3"/>
      <c r="M88" s="3"/>
      <c r="N88" s="3" t="s">
        <v>56</v>
      </c>
      <c r="O88" s="3"/>
      <c r="P88" s="3"/>
      <c r="Q88" s="15" t="s">
        <v>133</v>
      </c>
      <c r="R88" s="6"/>
      <c r="S88" s="6"/>
      <c r="T88" s="6"/>
      <c r="U88" s="6"/>
      <c r="V88" s="11"/>
      <c r="W88" s="6"/>
      <c r="X88" s="6"/>
      <c r="Y88" s="6"/>
      <c r="Z88" s="6"/>
      <c r="AA88" s="8"/>
      <c r="AB88" s="8"/>
      <c r="AC88" s="6" t="s">
        <v>1049</v>
      </c>
      <c r="AD88" s="6"/>
      <c r="AE88" s="9"/>
    </row>
    <row r="89" spans="1:31" s="10" customFormat="1" ht="16.5" x14ac:dyDescent="0.25">
      <c r="A89" s="3">
        <v>85</v>
      </c>
      <c r="B89" s="3" t="s">
        <v>28</v>
      </c>
      <c r="C89" s="5" t="s">
        <v>1066</v>
      </c>
      <c r="D89" s="4" t="s">
        <v>1067</v>
      </c>
      <c r="E89" s="6">
        <v>16</v>
      </c>
      <c r="F89" s="6">
        <v>388</v>
      </c>
      <c r="G89" s="6">
        <v>125.4</v>
      </c>
      <c r="H89" s="6" t="s">
        <v>51</v>
      </c>
      <c r="I89" s="7">
        <v>45733</v>
      </c>
      <c r="J89" s="3"/>
      <c r="K89" s="3"/>
      <c r="L89" s="3" t="s">
        <v>1</v>
      </c>
      <c r="M89" s="3"/>
      <c r="N89" s="3"/>
      <c r="O89" s="3"/>
      <c r="P89" s="3"/>
      <c r="Q89" s="15" t="s">
        <v>133</v>
      </c>
      <c r="R89" s="6"/>
      <c r="S89" s="6"/>
      <c r="T89" s="6"/>
      <c r="U89" s="6"/>
      <c r="V89" s="11"/>
      <c r="W89" s="6"/>
      <c r="X89" s="6"/>
      <c r="Y89" s="6"/>
      <c r="Z89" s="6"/>
      <c r="AA89" s="8"/>
      <c r="AB89" s="8"/>
      <c r="AC89" s="6"/>
      <c r="AD89" s="6"/>
      <c r="AE89" s="9"/>
    </row>
    <row r="90" spans="1:31" s="10" customFormat="1" ht="47.25" x14ac:dyDescent="0.25">
      <c r="A90" s="3">
        <v>86</v>
      </c>
      <c r="B90" s="3" t="s">
        <v>28</v>
      </c>
      <c r="C90" s="5" t="s">
        <v>1068</v>
      </c>
      <c r="D90" s="4" t="s">
        <v>1069</v>
      </c>
      <c r="E90" s="6">
        <v>14</v>
      </c>
      <c r="F90" s="6">
        <v>729</v>
      </c>
      <c r="G90" s="6">
        <v>85.6</v>
      </c>
      <c r="H90" s="6" t="s">
        <v>51</v>
      </c>
      <c r="I90" s="7">
        <v>45733</v>
      </c>
      <c r="J90" s="3"/>
      <c r="K90" s="3"/>
      <c r="L90" s="3" t="s">
        <v>98</v>
      </c>
      <c r="M90" s="3"/>
      <c r="N90" s="3"/>
      <c r="O90" s="3"/>
      <c r="P90" s="3"/>
      <c r="Q90" s="15" t="s">
        <v>133</v>
      </c>
      <c r="R90" s="7">
        <v>45744</v>
      </c>
      <c r="S90" s="7">
        <v>45804</v>
      </c>
      <c r="T90" s="7">
        <v>45804</v>
      </c>
      <c r="U90" s="6">
        <v>995</v>
      </c>
      <c r="V90" s="11">
        <v>2583973</v>
      </c>
      <c r="W90" s="6"/>
      <c r="X90" s="6"/>
      <c r="Y90" s="6"/>
      <c r="Z90" s="6"/>
      <c r="AA90" s="8"/>
      <c r="AB90" s="8"/>
      <c r="AC90" s="6" t="s">
        <v>1070</v>
      </c>
      <c r="AD90" s="6"/>
      <c r="AE90" s="9"/>
    </row>
    <row r="91" spans="1:31" s="10" customFormat="1" ht="31.5" x14ac:dyDescent="0.25">
      <c r="A91" s="3">
        <v>87</v>
      </c>
      <c r="B91" s="3" t="s">
        <v>28</v>
      </c>
      <c r="C91" s="5" t="s">
        <v>1073</v>
      </c>
      <c r="D91" s="4" t="s">
        <v>1074</v>
      </c>
      <c r="E91" s="6">
        <v>20</v>
      </c>
      <c r="F91" s="6">
        <v>216</v>
      </c>
      <c r="G91" s="6">
        <v>62.9</v>
      </c>
      <c r="H91" s="6" t="s">
        <v>55</v>
      </c>
      <c r="I91" s="7">
        <v>45733</v>
      </c>
      <c r="J91" s="3"/>
      <c r="K91" s="3"/>
      <c r="L91" s="3"/>
      <c r="M91" s="3"/>
      <c r="N91" s="3"/>
      <c r="O91" s="3"/>
      <c r="P91" s="3" t="s">
        <v>52</v>
      </c>
      <c r="Q91" s="15" t="s">
        <v>133</v>
      </c>
      <c r="R91" s="7">
        <v>45832</v>
      </c>
      <c r="S91" s="7">
        <v>45833</v>
      </c>
      <c r="T91" s="7">
        <v>45833</v>
      </c>
      <c r="U91" s="20">
        <v>1783</v>
      </c>
      <c r="V91" s="11">
        <v>1416978</v>
      </c>
      <c r="W91" s="6"/>
      <c r="X91" s="6"/>
      <c r="Y91" s="6"/>
      <c r="Z91" s="6"/>
      <c r="AA91" s="8"/>
      <c r="AB91" s="8"/>
      <c r="AC91" s="8" t="s">
        <v>2715</v>
      </c>
      <c r="AD91" s="6"/>
      <c r="AE91" s="9"/>
    </row>
    <row r="92" spans="1:31" s="10" customFormat="1" ht="47.25" x14ac:dyDescent="0.25">
      <c r="A92" s="3">
        <v>88</v>
      </c>
      <c r="B92" s="3" t="s">
        <v>28</v>
      </c>
      <c r="C92" s="5" t="s">
        <v>1077</v>
      </c>
      <c r="D92" s="4" t="s">
        <v>1078</v>
      </c>
      <c r="E92" s="6">
        <v>13</v>
      </c>
      <c r="F92" s="6">
        <v>856</v>
      </c>
      <c r="G92" s="6">
        <v>912.5</v>
      </c>
      <c r="H92" s="6" t="s">
        <v>75</v>
      </c>
      <c r="I92" s="7">
        <v>45733</v>
      </c>
      <c r="J92" s="3"/>
      <c r="K92" s="3" t="s">
        <v>62</v>
      </c>
      <c r="L92" s="3"/>
      <c r="M92" s="3"/>
      <c r="N92" s="3"/>
      <c r="O92" s="3"/>
      <c r="P92" s="3"/>
      <c r="Q92" s="15" t="s">
        <v>133</v>
      </c>
      <c r="R92" s="6"/>
      <c r="S92" s="6"/>
      <c r="T92" s="6"/>
      <c r="U92" s="6"/>
      <c r="V92" s="11"/>
      <c r="W92" s="6"/>
      <c r="X92" s="6"/>
      <c r="Y92" s="6"/>
      <c r="Z92" s="6"/>
      <c r="AA92" s="8"/>
      <c r="AB92" s="8"/>
      <c r="AC92" s="6" t="s">
        <v>1658</v>
      </c>
      <c r="AD92" s="6"/>
      <c r="AE92" s="9"/>
    </row>
    <row r="93" spans="1:31" s="10" customFormat="1" ht="31.5" x14ac:dyDescent="0.25">
      <c r="A93" s="3">
        <v>89</v>
      </c>
      <c r="B93" s="3" t="s">
        <v>28</v>
      </c>
      <c r="C93" s="5" t="s">
        <v>1123</v>
      </c>
      <c r="D93" s="4" t="s">
        <v>1124</v>
      </c>
      <c r="E93" s="6">
        <v>12</v>
      </c>
      <c r="F93" s="6">
        <v>772</v>
      </c>
      <c r="G93" s="6">
        <v>166.3</v>
      </c>
      <c r="H93" s="6" t="s">
        <v>55</v>
      </c>
      <c r="I93" s="7">
        <v>45735</v>
      </c>
      <c r="J93" s="3"/>
      <c r="K93" s="3"/>
      <c r="L93" s="3" t="s">
        <v>1</v>
      </c>
      <c r="M93" s="3"/>
      <c r="N93" s="3"/>
      <c r="O93" s="3"/>
      <c r="P93" s="3"/>
      <c r="Q93" s="15" t="s">
        <v>133</v>
      </c>
      <c r="R93" s="7">
        <v>45791</v>
      </c>
      <c r="S93" s="7">
        <v>45799</v>
      </c>
      <c r="T93" s="7">
        <v>45799</v>
      </c>
      <c r="U93" s="20">
        <v>834</v>
      </c>
      <c r="V93" s="11">
        <v>2644213</v>
      </c>
      <c r="W93" s="6"/>
      <c r="X93" s="6"/>
      <c r="Y93" s="6"/>
      <c r="Z93" s="6"/>
      <c r="AA93" s="8"/>
      <c r="AB93" s="8"/>
      <c r="AC93" s="6" t="s">
        <v>2285</v>
      </c>
      <c r="AD93" s="6"/>
      <c r="AE93" s="9"/>
    </row>
    <row r="94" spans="1:31" s="10" customFormat="1" ht="47.25" x14ac:dyDescent="0.25">
      <c r="A94" s="3">
        <v>90</v>
      </c>
      <c r="B94" s="3" t="s">
        <v>28</v>
      </c>
      <c r="C94" s="5" t="s">
        <v>1131</v>
      </c>
      <c r="D94" s="4" t="s">
        <v>1132</v>
      </c>
      <c r="E94" s="6">
        <v>3</v>
      </c>
      <c r="F94" s="6">
        <v>409</v>
      </c>
      <c r="G94" s="6">
        <v>184.3</v>
      </c>
      <c r="H94" s="6" t="s">
        <v>55</v>
      </c>
      <c r="I94" s="7">
        <v>45735</v>
      </c>
      <c r="J94" s="3" t="s">
        <v>823</v>
      </c>
      <c r="K94" s="3"/>
      <c r="L94" s="3"/>
      <c r="M94" s="3"/>
      <c r="N94" s="3"/>
      <c r="O94" s="3"/>
      <c r="P94" s="3"/>
      <c r="Q94" s="15" t="s">
        <v>133</v>
      </c>
      <c r="R94" s="6"/>
      <c r="S94" s="6"/>
      <c r="T94" s="6"/>
      <c r="U94" s="6"/>
      <c r="V94" s="11"/>
      <c r="W94" s="6"/>
      <c r="X94" s="6"/>
      <c r="Y94" s="6"/>
      <c r="Z94" s="6"/>
      <c r="AA94" s="8"/>
      <c r="AB94" s="8"/>
      <c r="AC94" s="6" t="s">
        <v>1515</v>
      </c>
      <c r="AD94" s="6"/>
      <c r="AE94" s="9" t="s">
        <v>1133</v>
      </c>
    </row>
    <row r="95" spans="1:31" s="10" customFormat="1" ht="31.5" x14ac:dyDescent="0.25">
      <c r="A95" s="3">
        <v>91</v>
      </c>
      <c r="B95" s="3" t="s">
        <v>28</v>
      </c>
      <c r="C95" s="5" t="s">
        <v>1134</v>
      </c>
      <c r="D95" s="4" t="s">
        <v>1135</v>
      </c>
      <c r="E95" s="6">
        <v>7</v>
      </c>
      <c r="F95" s="6">
        <v>284</v>
      </c>
      <c r="G95" s="6">
        <v>520.20000000000005</v>
      </c>
      <c r="H95" s="6" t="s">
        <v>75</v>
      </c>
      <c r="I95" s="7">
        <v>45735</v>
      </c>
      <c r="J95" s="3" t="s">
        <v>153</v>
      </c>
      <c r="K95" s="3"/>
      <c r="L95" s="3"/>
      <c r="M95" s="3"/>
      <c r="N95" s="3"/>
      <c r="O95" s="3"/>
      <c r="P95" s="3"/>
      <c r="Q95" s="15" t="s">
        <v>133</v>
      </c>
      <c r="R95" s="7">
        <v>45791</v>
      </c>
      <c r="S95" s="7">
        <v>45792</v>
      </c>
      <c r="T95" s="7">
        <v>45792</v>
      </c>
      <c r="U95" s="6">
        <v>632</v>
      </c>
      <c r="V95" s="11">
        <v>1248329</v>
      </c>
      <c r="W95" s="6"/>
      <c r="X95" s="6"/>
      <c r="Y95" s="6"/>
      <c r="Z95" s="6"/>
      <c r="AA95" s="8"/>
      <c r="AB95" s="8"/>
      <c r="AC95" s="8" t="s">
        <v>2084</v>
      </c>
      <c r="AD95" s="6"/>
      <c r="AE95" s="9" t="s">
        <v>1136</v>
      </c>
    </row>
    <row r="96" spans="1:31" s="10" customFormat="1" ht="31.5" x14ac:dyDescent="0.25">
      <c r="A96" s="3">
        <v>92</v>
      </c>
      <c r="B96" s="3" t="s">
        <v>28</v>
      </c>
      <c r="C96" s="5" t="s">
        <v>264</v>
      </c>
      <c r="D96" s="4" t="s">
        <v>265</v>
      </c>
      <c r="E96" s="6">
        <v>15</v>
      </c>
      <c r="F96" s="6">
        <v>29</v>
      </c>
      <c r="G96" s="6">
        <v>232.5</v>
      </c>
      <c r="H96" s="6" t="s">
        <v>55</v>
      </c>
      <c r="I96" s="7"/>
      <c r="J96" s="3"/>
      <c r="K96" s="3"/>
      <c r="L96" s="3"/>
      <c r="M96" s="3"/>
      <c r="N96" s="3"/>
      <c r="O96" s="3"/>
      <c r="P96" s="3"/>
      <c r="Q96" s="15" t="s">
        <v>190</v>
      </c>
      <c r="R96" s="7">
        <v>45729</v>
      </c>
      <c r="S96" s="6"/>
      <c r="T96" s="6"/>
      <c r="U96" s="6"/>
      <c r="V96" s="11"/>
      <c r="W96" s="6"/>
      <c r="X96" s="6"/>
      <c r="Y96" s="6"/>
      <c r="Z96" s="6" t="s">
        <v>1161</v>
      </c>
      <c r="AA96" s="8" t="s">
        <v>1160</v>
      </c>
      <c r="AB96" s="8"/>
      <c r="AC96" s="6"/>
      <c r="AD96" s="6"/>
      <c r="AE96" s="9"/>
    </row>
    <row r="97" spans="1:31" s="10" customFormat="1" ht="31.5" x14ac:dyDescent="0.25">
      <c r="A97" s="3">
        <v>93</v>
      </c>
      <c r="B97" s="3" t="s">
        <v>28</v>
      </c>
      <c r="C97" s="5" t="s">
        <v>1166</v>
      </c>
      <c r="D97" s="4" t="s">
        <v>1167</v>
      </c>
      <c r="E97" s="6">
        <v>39</v>
      </c>
      <c r="F97" s="6">
        <v>414</v>
      </c>
      <c r="G97" s="6">
        <v>190.9</v>
      </c>
      <c r="H97" s="6" t="s">
        <v>55</v>
      </c>
      <c r="I97" s="7">
        <v>45737</v>
      </c>
      <c r="J97" s="3" t="s">
        <v>823</v>
      </c>
      <c r="K97" s="3"/>
      <c r="L97" s="3"/>
      <c r="M97" s="3"/>
      <c r="N97" s="3"/>
      <c r="O97" s="3"/>
      <c r="P97" s="3"/>
      <c r="Q97" s="15" t="s">
        <v>133</v>
      </c>
      <c r="R97" s="7">
        <v>45776</v>
      </c>
      <c r="S97" s="7">
        <v>45776</v>
      </c>
      <c r="T97" s="7">
        <v>45776</v>
      </c>
      <c r="U97" s="6">
        <v>313</v>
      </c>
      <c r="V97" s="11">
        <v>809727</v>
      </c>
      <c r="W97" s="6"/>
      <c r="X97" s="6"/>
      <c r="Y97" s="6"/>
      <c r="Z97" s="6" t="s">
        <v>1816</v>
      </c>
      <c r="AA97" s="8" t="s">
        <v>1815</v>
      </c>
      <c r="AB97" s="8"/>
      <c r="AC97" s="6"/>
      <c r="AD97" s="6"/>
      <c r="AE97" s="9"/>
    </row>
    <row r="98" spans="1:31" s="10" customFormat="1" ht="31.5" x14ac:dyDescent="0.25">
      <c r="A98" s="3">
        <v>94</v>
      </c>
      <c r="B98" s="3" t="s">
        <v>28</v>
      </c>
      <c r="C98" s="5" t="s">
        <v>1213</v>
      </c>
      <c r="D98" s="4" t="s">
        <v>1214</v>
      </c>
      <c r="E98" s="6">
        <v>30</v>
      </c>
      <c r="F98" s="6">
        <v>370</v>
      </c>
      <c r="G98" s="6">
        <v>40.4</v>
      </c>
      <c r="H98" s="6" t="s">
        <v>55</v>
      </c>
      <c r="I98" s="7">
        <v>45741</v>
      </c>
      <c r="J98" s="3"/>
      <c r="K98" s="3"/>
      <c r="L98" s="3"/>
      <c r="M98" s="3"/>
      <c r="N98" s="3"/>
      <c r="O98" s="3"/>
      <c r="P98" s="3" t="s">
        <v>52</v>
      </c>
      <c r="Q98" s="15" t="s">
        <v>133</v>
      </c>
      <c r="R98" s="7">
        <v>45783</v>
      </c>
      <c r="S98" s="7">
        <v>45783</v>
      </c>
      <c r="T98" s="7">
        <v>45783</v>
      </c>
      <c r="U98" s="20">
        <v>396</v>
      </c>
      <c r="V98" s="11">
        <v>2125468</v>
      </c>
      <c r="W98" s="6"/>
      <c r="X98" s="6"/>
      <c r="Y98" s="6"/>
      <c r="Z98" s="6"/>
      <c r="AA98" s="8"/>
      <c r="AB98" s="8"/>
      <c r="AC98" s="6" t="s">
        <v>1940</v>
      </c>
      <c r="AD98" s="6"/>
      <c r="AE98" s="9"/>
    </row>
    <row r="99" spans="1:31" s="10" customFormat="1" ht="16.5" x14ac:dyDescent="0.25">
      <c r="A99" s="3">
        <v>95</v>
      </c>
      <c r="B99" s="3" t="s">
        <v>28</v>
      </c>
      <c r="C99" s="5" t="s">
        <v>1215</v>
      </c>
      <c r="D99" s="4" t="s">
        <v>827</v>
      </c>
      <c r="E99" s="6">
        <v>7</v>
      </c>
      <c r="F99" s="6">
        <v>120</v>
      </c>
      <c r="G99" s="6">
        <v>2751.6</v>
      </c>
      <c r="H99" s="6" t="s">
        <v>55</v>
      </c>
      <c r="I99" s="7">
        <v>45741</v>
      </c>
      <c r="J99" s="3"/>
      <c r="K99" s="3"/>
      <c r="L99" s="3"/>
      <c r="M99" s="3"/>
      <c r="N99" s="3"/>
      <c r="O99" s="3"/>
      <c r="P99" s="3" t="s">
        <v>52</v>
      </c>
      <c r="Q99" s="15" t="s">
        <v>133</v>
      </c>
      <c r="R99" s="7">
        <v>45828</v>
      </c>
      <c r="S99" s="7">
        <v>45832</v>
      </c>
      <c r="T99" s="7">
        <v>45832</v>
      </c>
      <c r="U99" s="6">
        <v>1834</v>
      </c>
      <c r="V99" s="11">
        <v>5965636</v>
      </c>
      <c r="W99" s="6"/>
      <c r="X99" s="6"/>
      <c r="Y99" s="6"/>
      <c r="Z99" s="6"/>
      <c r="AA99" s="8"/>
      <c r="AB99" s="8"/>
      <c r="AC99" s="6"/>
      <c r="AD99" s="6"/>
      <c r="AE99" s="9"/>
    </row>
    <row r="100" spans="1:31" s="10" customFormat="1" ht="31.5" x14ac:dyDescent="0.25">
      <c r="A100" s="3">
        <v>96</v>
      </c>
      <c r="B100" s="3" t="s">
        <v>28</v>
      </c>
      <c r="C100" s="5" t="s">
        <v>1257</v>
      </c>
      <c r="D100" s="4"/>
      <c r="E100" s="6">
        <v>14</v>
      </c>
      <c r="F100" s="6">
        <v>1191</v>
      </c>
      <c r="G100" s="6">
        <v>333.3</v>
      </c>
      <c r="H100" s="6" t="s">
        <v>55</v>
      </c>
      <c r="I100" s="7">
        <v>45743</v>
      </c>
      <c r="J100" s="3"/>
      <c r="K100" s="3"/>
      <c r="L100" s="3"/>
      <c r="M100" s="3"/>
      <c r="N100" s="3"/>
      <c r="O100" s="3"/>
      <c r="P100" s="3" t="s">
        <v>52</v>
      </c>
      <c r="Q100" s="15" t="s">
        <v>133</v>
      </c>
      <c r="R100" s="7">
        <v>45819</v>
      </c>
      <c r="S100" s="7">
        <v>45819</v>
      </c>
      <c r="T100" s="7">
        <v>45819</v>
      </c>
      <c r="U100" s="6">
        <v>1457</v>
      </c>
      <c r="V100" s="11">
        <v>3365323</v>
      </c>
      <c r="W100" s="6"/>
      <c r="X100" s="6"/>
      <c r="Y100" s="6"/>
      <c r="Z100" s="6"/>
      <c r="AA100" s="8"/>
      <c r="AB100" s="8"/>
      <c r="AC100" s="6" t="s">
        <v>2586</v>
      </c>
      <c r="AD100" s="6"/>
      <c r="AE100" s="9"/>
    </row>
    <row r="101" spans="1:31" s="10" customFormat="1" ht="31.5" x14ac:dyDescent="0.25">
      <c r="A101" s="3">
        <v>97</v>
      </c>
      <c r="B101" s="3" t="s">
        <v>28</v>
      </c>
      <c r="C101" s="5" t="s">
        <v>1286</v>
      </c>
      <c r="D101" s="4" t="s">
        <v>1287</v>
      </c>
      <c r="E101" s="6">
        <v>18</v>
      </c>
      <c r="F101" s="6">
        <v>336</v>
      </c>
      <c r="G101" s="6">
        <v>675.8</v>
      </c>
      <c r="H101" s="6" t="s">
        <v>75</v>
      </c>
      <c r="I101" s="7">
        <v>45742</v>
      </c>
      <c r="J101" s="3" t="s">
        <v>76</v>
      </c>
      <c r="K101" s="3"/>
      <c r="L101" s="3"/>
      <c r="M101" s="3"/>
      <c r="N101" s="3"/>
      <c r="O101" s="3"/>
      <c r="P101" s="3"/>
      <c r="Q101" s="15" t="s">
        <v>133</v>
      </c>
      <c r="R101" s="7">
        <v>45805</v>
      </c>
      <c r="S101" s="7">
        <v>45810</v>
      </c>
      <c r="T101" s="7">
        <v>45810</v>
      </c>
      <c r="U101" s="6">
        <v>1177</v>
      </c>
      <c r="V101" s="11">
        <v>1019155</v>
      </c>
      <c r="W101" s="6"/>
      <c r="X101" s="6"/>
      <c r="Y101" s="6"/>
      <c r="Z101" s="6" t="s">
        <v>2514</v>
      </c>
      <c r="AA101" s="8" t="s">
        <v>2513</v>
      </c>
      <c r="AB101" s="8"/>
      <c r="AC101" s="6"/>
      <c r="AD101" s="6"/>
      <c r="AE101" s="9" t="s">
        <v>1087</v>
      </c>
    </row>
    <row r="102" spans="1:31" ht="16.5" x14ac:dyDescent="0.25">
      <c r="A102" s="12"/>
      <c r="B102" s="73" t="s">
        <v>1258</v>
      </c>
      <c r="C102" s="74"/>
      <c r="D102" s="74"/>
      <c r="E102" s="74"/>
      <c r="F102" s="74"/>
      <c r="G102" s="74"/>
      <c r="H102" s="75"/>
      <c r="I102" s="13"/>
      <c r="J102" s="14">
        <f>COUNTIF(J50:J101,"CQ")+COUNTIF(J50:J101,"CT")+COUNTIF(J50:J101,"IG")</f>
        <v>8</v>
      </c>
      <c r="K102" s="14">
        <f>COUNTIF(K50:K101,"CMĐ")</f>
        <v>8</v>
      </c>
      <c r="L102" s="14">
        <f>COUNTIF(L50:L101,"XMDT")+COUNTIF(L80:L101,"Mốc")</f>
        <v>12</v>
      </c>
      <c r="M102" s="14">
        <f>COUNTIF(M66,"THÁn")</f>
        <v>0</v>
      </c>
      <c r="N102" s="14">
        <f>COUNTIF(N50:N101,"TÒA")</f>
        <v>1</v>
      </c>
      <c r="O102" s="14">
        <f>COUNTIF(O50:O101,"Cấp GCN")</f>
        <v>0</v>
      </c>
      <c r="P102" s="14">
        <f>COUNTIF(P50:P101,"SHN")</f>
        <v>19</v>
      </c>
      <c r="Q102" s="15"/>
      <c r="R102" s="13"/>
      <c r="S102" s="15"/>
      <c r="T102" s="15"/>
      <c r="U102" s="16"/>
      <c r="V102" s="11"/>
      <c r="W102" s="17"/>
      <c r="X102" s="2"/>
      <c r="AD102" s="14">
        <f>COUNTIF(AD66,"kt")</f>
        <v>0</v>
      </c>
    </row>
    <row r="103" spans="1:31" s="10" customFormat="1" ht="63" x14ac:dyDescent="0.25">
      <c r="A103" s="3">
        <v>98</v>
      </c>
      <c r="B103" s="3" t="s">
        <v>28</v>
      </c>
      <c r="C103" s="5" t="s">
        <v>1265</v>
      </c>
      <c r="D103" s="4" t="s">
        <v>1264</v>
      </c>
      <c r="E103" s="6">
        <v>4</v>
      </c>
      <c r="F103" s="6">
        <v>400</v>
      </c>
      <c r="G103" s="6">
        <v>1155.0999999999999</v>
      </c>
      <c r="H103" s="6" t="s">
        <v>51</v>
      </c>
      <c r="I103" s="7">
        <v>45723</v>
      </c>
      <c r="J103" s="3"/>
      <c r="K103" s="3" t="s">
        <v>62</v>
      </c>
      <c r="L103" s="3"/>
      <c r="M103" s="3"/>
      <c r="N103" s="3"/>
      <c r="O103" s="3"/>
      <c r="P103" s="3"/>
      <c r="Q103" s="15" t="s">
        <v>133</v>
      </c>
      <c r="R103" s="6"/>
      <c r="S103" s="6"/>
      <c r="T103" s="6"/>
      <c r="U103" s="6"/>
      <c r="V103" s="11"/>
      <c r="W103" s="6"/>
      <c r="X103" s="6"/>
      <c r="Y103" s="6"/>
      <c r="Z103" s="6"/>
      <c r="AA103" s="8"/>
      <c r="AB103" s="6" t="s">
        <v>1267</v>
      </c>
      <c r="AC103" s="6" t="s">
        <v>2727</v>
      </c>
      <c r="AD103" s="6"/>
      <c r="AE103" s="9"/>
    </row>
    <row r="104" spans="1:31" s="10" customFormat="1" ht="31.5" x14ac:dyDescent="0.25">
      <c r="A104" s="3">
        <v>99</v>
      </c>
      <c r="B104" s="3" t="s">
        <v>28</v>
      </c>
      <c r="C104" s="5" t="s">
        <v>1272</v>
      </c>
      <c r="D104" s="4" t="s">
        <v>1273</v>
      </c>
      <c r="E104" s="6"/>
      <c r="F104" s="6">
        <v>72</v>
      </c>
      <c r="G104" s="6">
        <v>71.900000000000006</v>
      </c>
      <c r="H104" s="6" t="s">
        <v>55</v>
      </c>
      <c r="I104" s="7">
        <v>45744</v>
      </c>
      <c r="J104" s="3"/>
      <c r="K104" s="3"/>
      <c r="L104" s="3" t="s">
        <v>1</v>
      </c>
      <c r="M104" s="3"/>
      <c r="N104" s="3"/>
      <c r="O104" s="3"/>
      <c r="P104" s="3"/>
      <c r="Q104" s="15" t="s">
        <v>133</v>
      </c>
      <c r="R104" s="7">
        <v>45776</v>
      </c>
      <c r="S104" s="7">
        <v>45776</v>
      </c>
      <c r="T104" s="7">
        <v>45776</v>
      </c>
      <c r="U104" s="6">
        <v>317</v>
      </c>
      <c r="V104" s="11">
        <v>809727</v>
      </c>
      <c r="W104" s="6"/>
      <c r="X104" s="6"/>
      <c r="Y104" s="6"/>
      <c r="Z104" s="6"/>
      <c r="AA104" s="8"/>
      <c r="AB104" s="8"/>
      <c r="AC104" s="6" t="s">
        <v>1833</v>
      </c>
      <c r="AD104" s="6"/>
      <c r="AE104" s="9"/>
    </row>
    <row r="105" spans="1:31" s="10" customFormat="1" ht="47.25" x14ac:dyDescent="0.25">
      <c r="A105" s="3">
        <v>100</v>
      </c>
      <c r="B105" s="3" t="s">
        <v>28</v>
      </c>
      <c r="C105" s="5" t="s">
        <v>1274</v>
      </c>
      <c r="D105" s="4" t="s">
        <v>1275</v>
      </c>
      <c r="E105" s="6">
        <v>19</v>
      </c>
      <c r="F105" s="6">
        <v>790</v>
      </c>
      <c r="G105" s="6">
        <v>308</v>
      </c>
      <c r="H105" s="6" t="s">
        <v>55</v>
      </c>
      <c r="I105" s="7"/>
      <c r="J105" s="3"/>
      <c r="K105" s="3"/>
      <c r="L105" s="3"/>
      <c r="M105" s="3"/>
      <c r="N105" s="3"/>
      <c r="O105" s="3"/>
      <c r="P105" s="3"/>
      <c r="Q105" s="15" t="s">
        <v>1276</v>
      </c>
      <c r="R105" s="7">
        <v>45196</v>
      </c>
      <c r="S105" s="6"/>
      <c r="T105" s="6"/>
      <c r="U105" s="6"/>
      <c r="V105" s="11"/>
      <c r="W105" s="6"/>
      <c r="X105" s="6"/>
      <c r="Y105" s="6"/>
      <c r="Z105" s="6"/>
      <c r="AA105" s="8"/>
      <c r="AB105" s="8"/>
      <c r="AC105" s="6" t="s">
        <v>2713</v>
      </c>
      <c r="AD105" s="6" t="s">
        <v>1277</v>
      </c>
      <c r="AE105" s="9"/>
    </row>
    <row r="106" spans="1:31" s="10" customFormat="1" ht="31.5" x14ac:dyDescent="0.25">
      <c r="A106" s="3">
        <v>101</v>
      </c>
      <c r="B106" s="3" t="s">
        <v>28</v>
      </c>
      <c r="C106" s="5" t="s">
        <v>835</v>
      </c>
      <c r="D106" s="4"/>
      <c r="E106" s="6">
        <v>19</v>
      </c>
      <c r="F106" s="6">
        <v>815</v>
      </c>
      <c r="G106" s="6">
        <v>262.39999999999998</v>
      </c>
      <c r="H106" s="6" t="s">
        <v>55</v>
      </c>
      <c r="I106" s="7">
        <v>45747</v>
      </c>
      <c r="J106" s="3" t="s">
        <v>153</v>
      </c>
      <c r="K106" s="3"/>
      <c r="L106" s="3"/>
      <c r="M106" s="3"/>
      <c r="N106" s="3"/>
      <c r="O106" s="3"/>
      <c r="P106" s="3"/>
      <c r="Q106" s="15" t="s">
        <v>133</v>
      </c>
      <c r="R106" s="7">
        <v>45775</v>
      </c>
      <c r="S106" s="7">
        <v>45775</v>
      </c>
      <c r="T106" s="7">
        <v>45775</v>
      </c>
      <c r="U106" s="6">
        <v>251</v>
      </c>
      <c r="V106" s="11">
        <v>1619454</v>
      </c>
      <c r="W106" s="6"/>
      <c r="X106" s="6"/>
      <c r="Y106" s="6"/>
      <c r="Z106" s="6" t="s">
        <v>1910</v>
      </c>
      <c r="AA106" s="8" t="s">
        <v>1911</v>
      </c>
      <c r="AB106" s="8"/>
      <c r="AC106" s="6"/>
      <c r="AD106" s="6"/>
      <c r="AE106" s="9"/>
    </row>
    <row r="107" spans="1:31" s="10" customFormat="1" ht="32.25" customHeight="1" x14ac:dyDescent="0.25">
      <c r="A107" s="3">
        <v>102</v>
      </c>
      <c r="B107" s="3" t="s">
        <v>28</v>
      </c>
      <c r="C107" s="5" t="s">
        <v>1332</v>
      </c>
      <c r="D107" s="4" t="s">
        <v>1329</v>
      </c>
      <c r="E107" s="6">
        <v>14</v>
      </c>
      <c r="F107" s="6">
        <v>195</v>
      </c>
      <c r="G107" s="6">
        <v>178.6</v>
      </c>
      <c r="H107" s="6" t="s">
        <v>55</v>
      </c>
      <c r="I107" s="7">
        <v>45747</v>
      </c>
      <c r="J107" s="3" t="s">
        <v>76</v>
      </c>
      <c r="K107" s="3"/>
      <c r="L107" s="3"/>
      <c r="M107" s="3"/>
      <c r="N107" s="3"/>
      <c r="O107" s="3"/>
      <c r="P107" s="3"/>
      <c r="Q107" s="15" t="s">
        <v>133</v>
      </c>
      <c r="R107" s="7">
        <v>45805</v>
      </c>
      <c r="S107" s="7">
        <v>45805</v>
      </c>
      <c r="T107" s="7">
        <v>45805</v>
      </c>
      <c r="U107" s="6">
        <v>1042</v>
      </c>
      <c r="V107" s="11">
        <v>809727</v>
      </c>
      <c r="W107" s="6"/>
      <c r="X107" s="6"/>
      <c r="Y107" s="6"/>
      <c r="Z107" s="6" t="s">
        <v>2331</v>
      </c>
      <c r="AA107" s="8" t="s">
        <v>2332</v>
      </c>
      <c r="AB107" s="8"/>
      <c r="AC107" s="6"/>
      <c r="AD107" s="6"/>
      <c r="AE107" s="9"/>
    </row>
    <row r="108" spans="1:31" s="10" customFormat="1" ht="31.5" x14ac:dyDescent="0.25">
      <c r="A108" s="3">
        <v>103</v>
      </c>
      <c r="B108" s="3" t="s">
        <v>28</v>
      </c>
      <c r="C108" s="5" t="s">
        <v>1331</v>
      </c>
      <c r="D108" s="4" t="s">
        <v>1135</v>
      </c>
      <c r="E108" s="6">
        <v>7</v>
      </c>
      <c r="F108" s="6">
        <v>150</v>
      </c>
      <c r="G108" s="6">
        <v>152.19999999999999</v>
      </c>
      <c r="H108" s="6" t="s">
        <v>51</v>
      </c>
      <c r="I108" s="7">
        <v>45748</v>
      </c>
      <c r="J108" s="3"/>
      <c r="K108" s="3"/>
      <c r="L108" s="3" t="s">
        <v>1</v>
      </c>
      <c r="M108" s="3"/>
      <c r="N108" s="3"/>
      <c r="O108" s="3"/>
      <c r="P108" s="3"/>
      <c r="Q108" s="15" t="s">
        <v>133</v>
      </c>
      <c r="R108" s="7">
        <v>45791</v>
      </c>
      <c r="S108" s="7">
        <v>45792</v>
      </c>
      <c r="T108" s="7">
        <v>45792</v>
      </c>
      <c r="U108" s="6">
        <v>631</v>
      </c>
      <c r="V108" s="11">
        <v>961551</v>
      </c>
      <c r="W108" s="6"/>
      <c r="X108" s="6"/>
      <c r="Y108" s="6"/>
      <c r="Z108" s="6"/>
      <c r="AA108" s="8"/>
      <c r="AB108" s="8" t="s">
        <v>2084</v>
      </c>
      <c r="AC108" s="6"/>
      <c r="AD108" s="6"/>
      <c r="AE108" s="9" t="s">
        <v>1087</v>
      </c>
    </row>
    <row r="109" spans="1:31" s="10" customFormat="1" ht="16.5" x14ac:dyDescent="0.25">
      <c r="A109" s="3">
        <v>104</v>
      </c>
      <c r="B109" s="3" t="s">
        <v>28</v>
      </c>
      <c r="C109" s="5" t="s">
        <v>1341</v>
      </c>
      <c r="D109" s="4" t="s">
        <v>1342</v>
      </c>
      <c r="E109" s="6">
        <v>30</v>
      </c>
      <c r="F109" s="6">
        <v>42</v>
      </c>
      <c r="G109" s="6">
        <v>129.19999999999999</v>
      </c>
      <c r="H109" s="6" t="s">
        <v>75</v>
      </c>
      <c r="I109" s="7">
        <v>45748</v>
      </c>
      <c r="J109" s="3"/>
      <c r="K109" s="3"/>
      <c r="L109" s="3"/>
      <c r="M109" s="3"/>
      <c r="N109" s="3"/>
      <c r="O109" s="3"/>
      <c r="P109" s="3" t="s">
        <v>52</v>
      </c>
      <c r="Q109" s="15" t="s">
        <v>133</v>
      </c>
      <c r="R109" s="7">
        <v>45833</v>
      </c>
      <c r="S109" s="6"/>
      <c r="T109" s="6"/>
      <c r="U109" s="6"/>
      <c r="V109" s="11"/>
      <c r="W109" s="6"/>
      <c r="X109" s="6"/>
      <c r="Y109" s="6"/>
      <c r="Z109" s="6"/>
      <c r="AA109" s="8"/>
      <c r="AB109" s="8"/>
      <c r="AC109" s="6"/>
      <c r="AD109" s="6"/>
      <c r="AE109" s="9"/>
    </row>
    <row r="110" spans="1:31" s="10" customFormat="1" ht="16.5" x14ac:dyDescent="0.25">
      <c r="A110" s="3">
        <v>105</v>
      </c>
      <c r="B110" s="3" t="s">
        <v>28</v>
      </c>
      <c r="C110" s="5" t="s">
        <v>1351</v>
      </c>
      <c r="D110" s="4" t="s">
        <v>1352</v>
      </c>
      <c r="E110" s="6">
        <v>13</v>
      </c>
      <c r="F110" s="6">
        <v>1016</v>
      </c>
      <c r="G110" s="6">
        <v>132.69999999999999</v>
      </c>
      <c r="H110" s="6" t="s">
        <v>55</v>
      </c>
      <c r="I110" s="7">
        <v>45744</v>
      </c>
      <c r="J110" s="3"/>
      <c r="K110" s="3"/>
      <c r="L110" s="3" t="s">
        <v>1</v>
      </c>
      <c r="M110" s="3"/>
      <c r="N110" s="3"/>
      <c r="O110" s="3"/>
      <c r="P110" s="3"/>
      <c r="Q110" s="15" t="s">
        <v>133</v>
      </c>
      <c r="R110" s="6"/>
      <c r="S110" s="6"/>
      <c r="T110" s="6"/>
      <c r="U110" s="6"/>
      <c r="V110" s="11"/>
      <c r="W110" s="6"/>
      <c r="X110" s="6"/>
      <c r="Y110" s="6"/>
      <c r="Z110" s="6"/>
      <c r="AA110" s="8"/>
      <c r="AB110" s="8"/>
      <c r="AC110" s="6"/>
      <c r="AD110" s="6"/>
      <c r="AE110" s="9"/>
    </row>
    <row r="111" spans="1:31" s="10" customFormat="1" ht="16.5" x14ac:dyDescent="0.25">
      <c r="A111" s="3">
        <v>106</v>
      </c>
      <c r="B111" s="3" t="s">
        <v>28</v>
      </c>
      <c r="C111" s="5" t="s">
        <v>1376</v>
      </c>
      <c r="D111" s="4" t="s">
        <v>1377</v>
      </c>
      <c r="E111" s="6">
        <v>28</v>
      </c>
      <c r="F111" s="6">
        <v>12</v>
      </c>
      <c r="G111" s="6">
        <v>63.1</v>
      </c>
      <c r="H111" s="6" t="s">
        <v>55</v>
      </c>
      <c r="I111" s="7">
        <v>45749</v>
      </c>
      <c r="J111" s="3"/>
      <c r="K111" s="3"/>
      <c r="L111" s="3"/>
      <c r="M111" s="3"/>
      <c r="N111" s="3"/>
      <c r="O111" s="3"/>
      <c r="P111" s="3" t="s">
        <v>52</v>
      </c>
      <c r="Q111" s="15" t="s">
        <v>133</v>
      </c>
      <c r="R111" s="6"/>
      <c r="S111" s="6"/>
      <c r="T111" s="6"/>
      <c r="U111" s="6"/>
      <c r="V111" s="11"/>
      <c r="W111" s="6"/>
      <c r="X111" s="6"/>
      <c r="Y111" s="6"/>
      <c r="Z111" s="6"/>
      <c r="AA111" s="8"/>
      <c r="AB111" s="8"/>
      <c r="AC111" s="6"/>
      <c r="AD111" s="6"/>
      <c r="AE111" s="9"/>
    </row>
    <row r="112" spans="1:31" s="10" customFormat="1" ht="16.5" x14ac:dyDescent="0.25">
      <c r="A112" s="3">
        <v>107</v>
      </c>
      <c r="B112" s="3" t="s">
        <v>28</v>
      </c>
      <c r="C112" s="5" t="s">
        <v>1376</v>
      </c>
      <c r="D112" s="4" t="s">
        <v>1377</v>
      </c>
      <c r="E112" s="6">
        <v>28</v>
      </c>
      <c r="F112" s="6">
        <v>12</v>
      </c>
      <c r="G112" s="6">
        <v>631</v>
      </c>
      <c r="H112" s="6" t="s">
        <v>55</v>
      </c>
      <c r="I112" s="7">
        <v>45749</v>
      </c>
      <c r="J112" s="3"/>
      <c r="K112" s="3"/>
      <c r="L112" s="3"/>
      <c r="M112" s="3"/>
      <c r="N112" s="3"/>
      <c r="O112" s="3"/>
      <c r="P112" s="3" t="s">
        <v>52</v>
      </c>
      <c r="Q112" s="15" t="s">
        <v>133</v>
      </c>
      <c r="R112" s="7">
        <v>45832</v>
      </c>
      <c r="S112" s="6"/>
      <c r="T112" s="6"/>
      <c r="U112" s="6"/>
      <c r="V112" s="11"/>
      <c r="W112" s="6"/>
      <c r="X112" s="6"/>
      <c r="Y112" s="6"/>
      <c r="Z112" s="6"/>
      <c r="AA112" s="8"/>
      <c r="AB112" s="8"/>
      <c r="AC112" s="6"/>
      <c r="AD112" s="6"/>
      <c r="AE112" s="9"/>
    </row>
    <row r="113" spans="1:31" s="10" customFormat="1" ht="31.5" x14ac:dyDescent="0.25">
      <c r="A113" s="3">
        <v>108</v>
      </c>
      <c r="B113" s="3" t="s">
        <v>28</v>
      </c>
      <c r="C113" s="5" t="s">
        <v>1460</v>
      </c>
      <c r="D113" s="4" t="s">
        <v>1461</v>
      </c>
      <c r="E113" s="6">
        <v>18</v>
      </c>
      <c r="F113" s="6">
        <v>1128</v>
      </c>
      <c r="G113" s="6">
        <v>317.3</v>
      </c>
      <c r="H113" s="6" t="s">
        <v>75</v>
      </c>
      <c r="I113" s="7">
        <v>45755</v>
      </c>
      <c r="J113" s="3"/>
      <c r="K113" s="3" t="s">
        <v>62</v>
      </c>
      <c r="L113" s="3"/>
      <c r="M113" s="3"/>
      <c r="N113" s="3"/>
      <c r="O113" s="3"/>
      <c r="P113" s="3"/>
      <c r="Q113" s="15" t="s">
        <v>133</v>
      </c>
      <c r="R113" s="7">
        <v>45807</v>
      </c>
      <c r="S113" s="7">
        <v>45810</v>
      </c>
      <c r="T113" s="7">
        <v>45810</v>
      </c>
      <c r="U113" s="6">
        <v>1147</v>
      </c>
      <c r="V113" s="11">
        <v>961551</v>
      </c>
      <c r="W113" s="6"/>
      <c r="X113" s="6"/>
      <c r="Y113" s="6"/>
      <c r="Z113" s="6"/>
      <c r="AA113" s="8"/>
      <c r="AB113" s="8"/>
      <c r="AC113" s="6" t="s">
        <v>1459</v>
      </c>
      <c r="AD113" s="6"/>
      <c r="AE113" s="9"/>
    </row>
    <row r="114" spans="1:31" s="10" customFormat="1" ht="31.5" x14ac:dyDescent="0.25">
      <c r="A114" s="3">
        <v>109</v>
      </c>
      <c r="B114" s="3" t="s">
        <v>28</v>
      </c>
      <c r="C114" s="5" t="s">
        <v>1473</v>
      </c>
      <c r="D114" s="4" t="s">
        <v>1474</v>
      </c>
      <c r="E114" s="6">
        <v>18</v>
      </c>
      <c r="F114" s="6">
        <v>807</v>
      </c>
      <c r="G114" s="6">
        <v>176.9</v>
      </c>
      <c r="H114" s="6" t="s">
        <v>51</v>
      </c>
      <c r="I114" s="7">
        <v>45755</v>
      </c>
      <c r="J114" s="3"/>
      <c r="K114" s="3"/>
      <c r="L114" s="3"/>
      <c r="M114" s="3"/>
      <c r="N114" s="3"/>
      <c r="O114" s="3"/>
      <c r="P114" s="3" t="s">
        <v>52</v>
      </c>
      <c r="Q114" s="15" t="s">
        <v>133</v>
      </c>
      <c r="R114" s="6"/>
      <c r="S114" s="6"/>
      <c r="T114" s="6"/>
      <c r="U114" s="6"/>
      <c r="V114" s="11"/>
      <c r="W114" s="6"/>
      <c r="X114" s="6"/>
      <c r="Y114" s="6"/>
      <c r="Z114" s="6"/>
      <c r="AA114" s="8"/>
      <c r="AB114" s="8"/>
      <c r="AC114" s="6" t="s">
        <v>1906</v>
      </c>
      <c r="AD114" s="6"/>
      <c r="AE114" s="9"/>
    </row>
    <row r="115" spans="1:31" s="10" customFormat="1" ht="31.5" x14ac:dyDescent="0.25">
      <c r="A115" s="3">
        <v>110</v>
      </c>
      <c r="B115" s="3" t="s">
        <v>28</v>
      </c>
      <c r="C115" s="5" t="s">
        <v>1475</v>
      </c>
      <c r="D115" s="4"/>
      <c r="E115" s="6">
        <v>3</v>
      </c>
      <c r="F115" s="6" t="s">
        <v>1476</v>
      </c>
      <c r="G115" s="6" t="s">
        <v>1477</v>
      </c>
      <c r="H115" s="6" t="s">
        <v>55</v>
      </c>
      <c r="I115" s="7">
        <v>45755</v>
      </c>
      <c r="J115" s="3"/>
      <c r="K115" s="3"/>
      <c r="L115" s="3" t="s">
        <v>1</v>
      </c>
      <c r="M115" s="3"/>
      <c r="N115" s="3"/>
      <c r="O115" s="3"/>
      <c r="P115" s="3"/>
      <c r="Q115" s="15" t="s">
        <v>133</v>
      </c>
      <c r="R115" s="7">
        <v>45790</v>
      </c>
      <c r="S115" s="7">
        <v>45820</v>
      </c>
      <c r="T115" s="7">
        <v>45820</v>
      </c>
      <c r="U115" s="6">
        <v>1479</v>
      </c>
      <c r="V115" s="11">
        <v>2644213</v>
      </c>
      <c r="W115" s="6"/>
      <c r="X115" s="6"/>
      <c r="Y115" s="6"/>
      <c r="Z115" s="6"/>
      <c r="AA115" s="8"/>
      <c r="AB115" s="8"/>
      <c r="AC115" s="6"/>
      <c r="AD115" s="6"/>
      <c r="AE115" s="9" t="s">
        <v>1284</v>
      </c>
    </row>
    <row r="116" spans="1:31" ht="16.5" x14ac:dyDescent="0.25">
      <c r="A116" s="12"/>
      <c r="B116" s="73" t="s">
        <v>1478</v>
      </c>
      <c r="C116" s="74"/>
      <c r="D116" s="74"/>
      <c r="E116" s="74"/>
      <c r="F116" s="74"/>
      <c r="G116" s="74"/>
      <c r="H116" s="75"/>
      <c r="I116" s="13"/>
      <c r="J116" s="14">
        <f>COUNTIF(J103:J115,"CQ")+COUNTIF(J103:J115,"CT")+COUNTIF(J103:J115,"IG")</f>
        <v>2</v>
      </c>
      <c r="K116" s="14">
        <f>COUNTIF(K103:K115,"CMĐ")</f>
        <v>2</v>
      </c>
      <c r="L116" s="14">
        <f>COUNTIF(L103:L115,"XMDT")+COUNTIF(L94:L115,"Mốc")</f>
        <v>4</v>
      </c>
      <c r="M116" s="14">
        <f>COUNTIF(M80,"THÁn")</f>
        <v>0</v>
      </c>
      <c r="N116" s="14">
        <f ca="1">COUNTIF(N103:N116,"TÒA")</f>
        <v>0</v>
      </c>
      <c r="O116" s="14">
        <f>COUNTIF(O64:O115,"Cấp GCN")</f>
        <v>0</v>
      </c>
      <c r="P116" s="14">
        <f>COUNTIF(P103:P115,"SHN")</f>
        <v>4</v>
      </c>
      <c r="Q116" s="15"/>
      <c r="R116" s="13"/>
      <c r="S116" s="15"/>
      <c r="T116" s="15"/>
      <c r="U116" s="16"/>
      <c r="V116" s="11"/>
      <c r="W116" s="17"/>
      <c r="X116" s="2"/>
      <c r="AD116" s="14">
        <f>COUNTIF(AD80,"kt")</f>
        <v>0</v>
      </c>
    </row>
    <row r="117" spans="1:31" s="10" customFormat="1" ht="47.25" x14ac:dyDescent="0.25">
      <c r="A117" s="3">
        <v>111</v>
      </c>
      <c r="B117" s="3" t="s">
        <v>28</v>
      </c>
      <c r="C117" s="5" t="s">
        <v>1496</v>
      </c>
      <c r="D117" s="4" t="s">
        <v>1497</v>
      </c>
      <c r="E117" s="6">
        <v>4</v>
      </c>
      <c r="F117" s="6">
        <v>348</v>
      </c>
      <c r="G117" s="6">
        <v>443</v>
      </c>
      <c r="H117" s="6" t="s">
        <v>75</v>
      </c>
      <c r="I117" s="7">
        <v>45756</v>
      </c>
      <c r="J117" s="3"/>
      <c r="K117" s="3"/>
      <c r="L117" s="3" t="s">
        <v>1</v>
      </c>
      <c r="M117" s="3"/>
      <c r="N117" s="3"/>
      <c r="O117" s="3"/>
      <c r="P117" s="3"/>
      <c r="Q117" s="15" t="s">
        <v>133</v>
      </c>
      <c r="R117" s="7">
        <v>45790</v>
      </c>
      <c r="S117" s="7">
        <v>45791</v>
      </c>
      <c r="T117" s="7">
        <v>45791</v>
      </c>
      <c r="U117" s="6">
        <v>596</v>
      </c>
      <c r="V117" s="11">
        <v>1019155</v>
      </c>
      <c r="W117" s="6"/>
      <c r="X117" s="6"/>
      <c r="Y117" s="6"/>
      <c r="Z117" s="6"/>
      <c r="AA117" s="8"/>
      <c r="AB117" s="8"/>
      <c r="AC117" s="6"/>
      <c r="AD117" s="6"/>
      <c r="AE117" s="9"/>
    </row>
    <row r="118" spans="1:31" s="10" customFormat="1" ht="63" x14ac:dyDescent="0.25">
      <c r="A118" s="3">
        <v>112</v>
      </c>
      <c r="B118" s="3" t="s">
        <v>28</v>
      </c>
      <c r="C118" s="5" t="s">
        <v>1502</v>
      </c>
      <c r="D118" s="4" t="s">
        <v>491</v>
      </c>
      <c r="E118" s="6">
        <v>17</v>
      </c>
      <c r="F118" s="6">
        <v>392</v>
      </c>
      <c r="G118" s="6">
        <v>134.9</v>
      </c>
      <c r="H118" s="6"/>
      <c r="I118" s="7">
        <v>45756</v>
      </c>
      <c r="J118" s="3"/>
      <c r="K118" s="3"/>
      <c r="L118" s="3"/>
      <c r="M118" s="3" t="s">
        <v>491</v>
      </c>
      <c r="N118" s="3"/>
      <c r="O118" s="3"/>
      <c r="P118" s="3"/>
      <c r="Q118" s="15" t="s">
        <v>133</v>
      </c>
      <c r="R118" s="7">
        <v>45805</v>
      </c>
      <c r="S118" s="6"/>
      <c r="T118" s="6"/>
      <c r="U118" s="6"/>
      <c r="V118" s="11"/>
      <c r="W118" s="6"/>
      <c r="X118" s="6"/>
      <c r="Y118" s="6"/>
      <c r="Z118" s="6"/>
      <c r="AA118" s="8"/>
      <c r="AB118" s="8"/>
      <c r="AC118" s="6" t="s">
        <v>1503</v>
      </c>
      <c r="AD118" s="6"/>
      <c r="AE118" s="9"/>
    </row>
    <row r="119" spans="1:31" s="10" customFormat="1" ht="31.5" x14ac:dyDescent="0.25">
      <c r="A119" s="3">
        <v>113</v>
      </c>
      <c r="B119" s="3" t="s">
        <v>28</v>
      </c>
      <c r="C119" s="5" t="s">
        <v>264</v>
      </c>
      <c r="D119" s="4"/>
      <c r="E119" s="6">
        <v>27</v>
      </c>
      <c r="F119" s="6">
        <v>326</v>
      </c>
      <c r="G119" s="6">
        <v>129.19999999999999</v>
      </c>
      <c r="H119" s="6" t="s">
        <v>55</v>
      </c>
      <c r="I119" s="7">
        <v>45756</v>
      </c>
      <c r="J119" s="3" t="s">
        <v>153</v>
      </c>
      <c r="K119" s="3"/>
      <c r="L119" s="3"/>
      <c r="M119" s="3"/>
      <c r="N119" s="3"/>
      <c r="O119" s="3"/>
      <c r="P119" s="3"/>
      <c r="Q119" s="15" t="s">
        <v>133</v>
      </c>
      <c r="R119" s="7">
        <v>45805</v>
      </c>
      <c r="S119" s="7">
        <v>45805</v>
      </c>
      <c r="T119" s="7">
        <v>45805</v>
      </c>
      <c r="U119" s="6">
        <v>1028</v>
      </c>
      <c r="V119" s="11">
        <v>1619454</v>
      </c>
      <c r="W119" s="6"/>
      <c r="X119" s="6"/>
      <c r="Y119" s="6"/>
      <c r="Z119" s="6" t="s">
        <v>2313</v>
      </c>
      <c r="AA119" s="8" t="s">
        <v>2314</v>
      </c>
      <c r="AB119" s="8"/>
      <c r="AC119" s="6"/>
      <c r="AD119" s="6"/>
      <c r="AE119" s="9" t="s">
        <v>1504</v>
      </c>
    </row>
    <row r="120" spans="1:31" s="10" customFormat="1" ht="16.5" x14ac:dyDescent="0.25">
      <c r="A120" s="3">
        <v>114</v>
      </c>
      <c r="B120" s="3" t="s">
        <v>28</v>
      </c>
      <c r="C120" s="5" t="s">
        <v>1510</v>
      </c>
      <c r="D120" s="4"/>
      <c r="E120" s="6">
        <v>20</v>
      </c>
      <c r="F120" s="6">
        <v>575</v>
      </c>
      <c r="G120" s="6">
        <v>66.099999999999994</v>
      </c>
      <c r="H120" s="6" t="s">
        <v>55</v>
      </c>
      <c r="I120" s="7">
        <v>45757</v>
      </c>
      <c r="J120" s="3"/>
      <c r="K120" s="3"/>
      <c r="L120" s="3"/>
      <c r="M120" s="3"/>
      <c r="N120" s="3"/>
      <c r="O120" s="3"/>
      <c r="P120" s="3" t="s">
        <v>52</v>
      </c>
      <c r="Q120" s="15" t="s">
        <v>133</v>
      </c>
      <c r="R120" s="6"/>
      <c r="S120" s="6"/>
      <c r="T120" s="6"/>
      <c r="U120" s="6"/>
      <c r="V120" s="11"/>
      <c r="W120" s="6"/>
      <c r="X120" s="6"/>
      <c r="Y120" s="6"/>
      <c r="Z120" s="6"/>
      <c r="AA120" s="8"/>
      <c r="AB120" s="8"/>
      <c r="AC120" s="6"/>
      <c r="AD120" s="6"/>
      <c r="AE120" s="9"/>
    </row>
    <row r="121" spans="1:31" s="10" customFormat="1" ht="31.5" x14ac:dyDescent="0.25">
      <c r="A121" s="3">
        <v>115</v>
      </c>
      <c r="B121" s="3" t="s">
        <v>28</v>
      </c>
      <c r="C121" s="5" t="s">
        <v>1921</v>
      </c>
      <c r="D121" s="4" t="s">
        <v>1514</v>
      </c>
      <c r="E121" s="6">
        <v>23</v>
      </c>
      <c r="F121" s="6">
        <v>51</v>
      </c>
      <c r="G121" s="6">
        <v>1442.5</v>
      </c>
      <c r="H121" s="6" t="s">
        <v>51</v>
      </c>
      <c r="I121" s="7">
        <v>45757</v>
      </c>
      <c r="J121" s="3"/>
      <c r="K121" s="3" t="s">
        <v>62</v>
      </c>
      <c r="L121" s="3"/>
      <c r="M121" s="3"/>
      <c r="N121" s="3"/>
      <c r="O121" s="3"/>
      <c r="P121" s="3"/>
      <c r="Q121" s="15" t="s">
        <v>133</v>
      </c>
      <c r="R121" s="7">
        <v>45786</v>
      </c>
      <c r="S121" s="7">
        <v>45789</v>
      </c>
      <c r="T121" s="7">
        <v>45789</v>
      </c>
      <c r="U121" s="20">
        <v>540</v>
      </c>
      <c r="V121" s="11">
        <v>961551</v>
      </c>
      <c r="W121" s="6"/>
      <c r="X121" s="6"/>
      <c r="Y121" s="6"/>
      <c r="Z121" s="6" t="s">
        <v>2391</v>
      </c>
      <c r="AA121" s="8" t="s">
        <v>2392</v>
      </c>
      <c r="AB121" s="8"/>
      <c r="AC121" s="6"/>
      <c r="AD121" s="6"/>
      <c r="AE121" s="9"/>
    </row>
    <row r="122" spans="1:31" s="10" customFormat="1" ht="47.25" x14ac:dyDescent="0.25">
      <c r="A122" s="3">
        <v>116</v>
      </c>
      <c r="B122" s="3" t="s">
        <v>28</v>
      </c>
      <c r="C122" s="5" t="s">
        <v>1517</v>
      </c>
      <c r="D122" s="4" t="s">
        <v>1518</v>
      </c>
      <c r="E122" s="6">
        <v>11</v>
      </c>
      <c r="F122" s="6">
        <v>376</v>
      </c>
      <c r="G122" s="6">
        <v>124.4</v>
      </c>
      <c r="H122" s="6" t="s">
        <v>55</v>
      </c>
      <c r="I122" s="7" t="s">
        <v>1927</v>
      </c>
      <c r="J122" s="3"/>
      <c r="K122" s="3"/>
      <c r="L122" s="3"/>
      <c r="M122" s="3"/>
      <c r="N122" s="3"/>
      <c r="O122" s="3"/>
      <c r="P122" s="3" t="s">
        <v>52</v>
      </c>
      <c r="Q122" s="15" t="s">
        <v>133</v>
      </c>
      <c r="R122" s="7">
        <v>45832</v>
      </c>
      <c r="S122" s="7">
        <v>45833</v>
      </c>
      <c r="T122" s="7">
        <v>45833</v>
      </c>
      <c r="U122" s="20">
        <v>1895</v>
      </c>
      <c r="V122" s="11">
        <v>1682662</v>
      </c>
      <c r="W122" s="6"/>
      <c r="X122" s="6"/>
      <c r="Y122" s="6"/>
      <c r="Z122" s="6"/>
      <c r="AA122" s="8"/>
      <c r="AB122" s="8" t="s">
        <v>2714</v>
      </c>
      <c r="AC122" s="6" t="s">
        <v>1830</v>
      </c>
      <c r="AD122" s="6"/>
      <c r="AE122" s="9"/>
    </row>
    <row r="123" spans="1:31" s="10" customFormat="1" ht="16.5" x14ac:dyDescent="0.25">
      <c r="A123" s="3">
        <v>117</v>
      </c>
      <c r="B123" s="3" t="s">
        <v>28</v>
      </c>
      <c r="C123" s="5" t="s">
        <v>1519</v>
      </c>
      <c r="D123" s="4" t="s">
        <v>1520</v>
      </c>
      <c r="E123" s="6">
        <v>7</v>
      </c>
      <c r="F123" s="6">
        <v>326</v>
      </c>
      <c r="G123" s="6">
        <v>128.4</v>
      </c>
      <c r="H123" s="6" t="s">
        <v>55</v>
      </c>
      <c r="I123" s="7">
        <v>45758</v>
      </c>
      <c r="J123" s="3"/>
      <c r="K123" s="3"/>
      <c r="L123" s="3"/>
      <c r="M123" s="3"/>
      <c r="N123" s="3"/>
      <c r="O123" s="3"/>
      <c r="P123" s="3" t="s">
        <v>52</v>
      </c>
      <c r="Q123" s="15" t="s">
        <v>133</v>
      </c>
      <c r="R123" s="7">
        <v>45833</v>
      </c>
      <c r="S123" s="7">
        <v>45834</v>
      </c>
      <c r="T123" s="7">
        <v>45834</v>
      </c>
      <c r="U123" s="20">
        <v>1926</v>
      </c>
      <c r="V123" s="11">
        <v>1416978</v>
      </c>
      <c r="W123" s="6"/>
      <c r="X123" s="6"/>
      <c r="Y123" s="6"/>
      <c r="Z123" s="6"/>
      <c r="AA123" s="8"/>
      <c r="AB123" s="8"/>
      <c r="AC123" s="6"/>
      <c r="AD123" s="6"/>
      <c r="AE123" s="9"/>
    </row>
    <row r="124" spans="1:31" s="10" customFormat="1" ht="31.5" x14ac:dyDescent="0.25">
      <c r="A124" s="3">
        <v>118</v>
      </c>
      <c r="B124" s="3" t="s">
        <v>28</v>
      </c>
      <c r="C124" s="5" t="s">
        <v>1526</v>
      </c>
      <c r="D124" s="4" t="s">
        <v>1527</v>
      </c>
      <c r="E124" s="6">
        <v>13</v>
      </c>
      <c r="F124" s="6">
        <v>518</v>
      </c>
      <c r="G124" s="6">
        <v>254.2</v>
      </c>
      <c r="H124" s="6" t="s">
        <v>51</v>
      </c>
      <c r="I124" s="7">
        <v>45758</v>
      </c>
      <c r="J124" s="3"/>
      <c r="K124" s="3" t="s">
        <v>62</v>
      </c>
      <c r="L124" s="3"/>
      <c r="M124" s="3"/>
      <c r="N124" s="3"/>
      <c r="O124" s="3"/>
      <c r="P124" s="3"/>
      <c r="Q124" s="15" t="s">
        <v>133</v>
      </c>
      <c r="R124" s="6"/>
      <c r="S124" s="6"/>
      <c r="T124" s="6"/>
      <c r="U124" s="6"/>
      <c r="V124" s="11"/>
      <c r="W124" s="6"/>
      <c r="X124" s="6"/>
      <c r="Y124" s="6"/>
      <c r="Z124" s="6"/>
      <c r="AA124" s="8"/>
      <c r="AB124" s="8"/>
      <c r="AC124" s="6" t="s">
        <v>1459</v>
      </c>
      <c r="AD124" s="6"/>
      <c r="AE124" s="9"/>
    </row>
    <row r="125" spans="1:31" s="10" customFormat="1" ht="31.5" x14ac:dyDescent="0.25">
      <c r="A125" s="3">
        <v>119</v>
      </c>
      <c r="B125" s="3" t="s">
        <v>28</v>
      </c>
      <c r="C125" s="5" t="s">
        <v>1534</v>
      </c>
      <c r="D125" s="4" t="s">
        <v>1535</v>
      </c>
      <c r="E125" s="6">
        <v>6</v>
      </c>
      <c r="F125" s="6">
        <v>197</v>
      </c>
      <c r="G125" s="6">
        <v>145.1</v>
      </c>
      <c r="H125" s="6" t="s">
        <v>55</v>
      </c>
      <c r="I125" s="7" t="s">
        <v>2317</v>
      </c>
      <c r="J125" s="3"/>
      <c r="K125" s="3"/>
      <c r="L125" s="3" t="s">
        <v>1</v>
      </c>
      <c r="M125" s="3"/>
      <c r="N125" s="3"/>
      <c r="O125" s="3"/>
      <c r="P125" s="3"/>
      <c r="Q125" s="15" t="s">
        <v>133</v>
      </c>
      <c r="R125" s="6"/>
      <c r="S125" s="6"/>
      <c r="T125" s="6"/>
      <c r="U125" s="6"/>
      <c r="V125" s="11"/>
      <c r="W125" s="6"/>
      <c r="X125" s="6"/>
      <c r="Y125" s="6"/>
      <c r="Z125" s="6"/>
      <c r="AA125" s="8"/>
      <c r="AB125" s="8"/>
      <c r="AC125" s="6" t="s">
        <v>1975</v>
      </c>
      <c r="AD125" s="6"/>
      <c r="AE125" s="9"/>
    </row>
    <row r="126" spans="1:31" ht="16.5" x14ac:dyDescent="0.25">
      <c r="A126" s="12"/>
      <c r="B126" s="73" t="s">
        <v>1543</v>
      </c>
      <c r="C126" s="74"/>
      <c r="D126" s="74"/>
      <c r="E126" s="74"/>
      <c r="F126" s="74"/>
      <c r="G126" s="74"/>
      <c r="H126" s="75"/>
      <c r="I126" s="13"/>
      <c r="J126" s="14">
        <f>COUNTIF(J113:J125,"CQ")+COUNTIF(J113:J125,"CT")+COUNTIF(J113:J125,"IG")</f>
        <v>1</v>
      </c>
      <c r="K126" s="14">
        <f>COUNTIF(K117:K125,"CMĐ")</f>
        <v>2</v>
      </c>
      <c r="L126" s="14">
        <f>COUNTIF(L117:L125,"XMDT")+COUNTIF(L104:L125,"Mốc")</f>
        <v>2</v>
      </c>
      <c r="M126" s="14">
        <f>COUNTIF(M117:M125,"THÁn")</f>
        <v>1</v>
      </c>
      <c r="N126" s="14">
        <f ca="1">COUNTIF(N113:N126,"TÒA")</f>
        <v>0</v>
      </c>
      <c r="O126" s="14">
        <f>COUNTIF(O74:O125,"Cấp GCN")</f>
        <v>0</v>
      </c>
      <c r="P126" s="14">
        <f>COUNTIF(P117:P125,"SHN")</f>
        <v>3</v>
      </c>
      <c r="Q126" s="15"/>
      <c r="R126" s="13"/>
      <c r="S126" s="15"/>
      <c r="T126" s="15"/>
      <c r="U126" s="16"/>
      <c r="V126" s="11"/>
      <c r="W126" s="17"/>
      <c r="X126" s="2"/>
      <c r="AD126" s="14">
        <f>COUNTIF(AD90,"kt")</f>
        <v>0</v>
      </c>
    </row>
    <row r="127" spans="1:31" s="10" customFormat="1" ht="31.5" x14ac:dyDescent="0.25">
      <c r="A127" s="3">
        <v>120</v>
      </c>
      <c r="B127" s="3" t="s">
        <v>28</v>
      </c>
      <c r="C127" s="5" t="s">
        <v>1555</v>
      </c>
      <c r="D127" s="4" t="s">
        <v>1556</v>
      </c>
      <c r="E127" s="6">
        <v>34</v>
      </c>
      <c r="F127" s="6">
        <v>22</v>
      </c>
      <c r="G127" s="6">
        <v>35.1</v>
      </c>
      <c r="H127" s="6" t="s">
        <v>55</v>
      </c>
      <c r="I127" s="7">
        <v>45761</v>
      </c>
      <c r="J127" s="3"/>
      <c r="K127" s="3"/>
      <c r="L127" s="3"/>
      <c r="M127" s="3"/>
      <c r="N127" s="3"/>
      <c r="O127" s="3"/>
      <c r="P127" s="3" t="s">
        <v>52</v>
      </c>
      <c r="Q127" s="15" t="s">
        <v>133</v>
      </c>
      <c r="R127" s="6"/>
      <c r="S127" s="6"/>
      <c r="T127" s="6"/>
      <c r="U127" s="6"/>
      <c r="V127" s="11"/>
      <c r="W127" s="6"/>
      <c r="X127" s="6"/>
      <c r="Y127" s="6"/>
      <c r="Z127" s="6"/>
      <c r="AA127" s="8"/>
      <c r="AB127" s="8"/>
      <c r="AC127" s="6" t="s">
        <v>2239</v>
      </c>
      <c r="AD127" s="6"/>
      <c r="AE127" s="9"/>
    </row>
    <row r="128" spans="1:31" s="10" customFormat="1" ht="31.5" x14ac:dyDescent="0.25">
      <c r="A128" s="3">
        <v>121</v>
      </c>
      <c r="B128" s="3" t="s">
        <v>28</v>
      </c>
      <c r="C128" s="5" t="s">
        <v>219</v>
      </c>
      <c r="D128" s="4" t="s">
        <v>1557</v>
      </c>
      <c r="E128" s="6">
        <v>3</v>
      </c>
      <c r="F128" s="6">
        <v>481</v>
      </c>
      <c r="G128" s="6">
        <v>69.3</v>
      </c>
      <c r="H128" s="6" t="s">
        <v>55</v>
      </c>
      <c r="I128" s="7">
        <v>45761</v>
      </c>
      <c r="J128" s="3"/>
      <c r="K128" s="3"/>
      <c r="L128" s="3"/>
      <c r="M128" s="3"/>
      <c r="N128" s="3"/>
      <c r="O128" s="3"/>
      <c r="P128" s="3" t="s">
        <v>52</v>
      </c>
      <c r="Q128" s="15" t="s">
        <v>133</v>
      </c>
      <c r="R128" s="7">
        <v>45783</v>
      </c>
      <c r="S128" s="7">
        <v>45783</v>
      </c>
      <c r="T128" s="7">
        <v>45783</v>
      </c>
      <c r="U128" s="6">
        <v>405</v>
      </c>
      <c r="V128" s="11">
        <v>2125468</v>
      </c>
      <c r="W128" s="6"/>
      <c r="X128" s="6"/>
      <c r="Y128" s="6"/>
      <c r="Z128" s="6"/>
      <c r="AA128" s="8"/>
      <c r="AB128" s="8"/>
      <c r="AC128" s="6" t="s">
        <v>1842</v>
      </c>
      <c r="AD128" s="6"/>
      <c r="AE128" s="9"/>
    </row>
    <row r="129" spans="1:31" s="10" customFormat="1" ht="31.5" x14ac:dyDescent="0.25">
      <c r="A129" s="3">
        <v>122</v>
      </c>
      <c r="B129" s="3" t="s">
        <v>28</v>
      </c>
      <c r="C129" s="5" t="s">
        <v>219</v>
      </c>
      <c r="D129" s="4" t="s">
        <v>1557</v>
      </c>
      <c r="E129" s="6">
        <v>3</v>
      </c>
      <c r="F129" s="6">
        <v>482</v>
      </c>
      <c r="G129" s="6">
        <v>91</v>
      </c>
      <c r="H129" s="6" t="s">
        <v>55</v>
      </c>
      <c r="I129" s="7">
        <v>45761</v>
      </c>
      <c r="J129" s="3"/>
      <c r="K129" s="3"/>
      <c r="L129" s="3"/>
      <c r="M129" s="3"/>
      <c r="N129" s="3"/>
      <c r="O129" s="3"/>
      <c r="P129" s="3" t="s">
        <v>52</v>
      </c>
      <c r="Q129" s="15" t="s">
        <v>133</v>
      </c>
      <c r="R129" s="7">
        <v>45783</v>
      </c>
      <c r="S129" s="7">
        <v>45783</v>
      </c>
      <c r="T129" s="7">
        <v>45783</v>
      </c>
      <c r="U129" s="6">
        <v>406</v>
      </c>
      <c r="V129" s="11">
        <v>2125468</v>
      </c>
      <c r="W129" s="6"/>
      <c r="X129" s="6"/>
      <c r="Y129" s="6"/>
      <c r="Z129" s="6"/>
      <c r="AA129" s="8"/>
      <c r="AB129" s="8"/>
      <c r="AC129" s="6" t="s">
        <v>1842</v>
      </c>
      <c r="AD129" s="6"/>
      <c r="AE129" s="9"/>
    </row>
    <row r="130" spans="1:31" s="10" customFormat="1" ht="63" x14ac:dyDescent="0.25">
      <c r="A130" s="3">
        <v>123</v>
      </c>
      <c r="B130" s="3" t="s">
        <v>28</v>
      </c>
      <c r="C130" s="5" t="s">
        <v>1048</v>
      </c>
      <c r="D130" s="4" t="s">
        <v>54</v>
      </c>
      <c r="E130" s="6">
        <v>14</v>
      </c>
      <c r="F130" s="6">
        <v>397</v>
      </c>
      <c r="G130" s="6">
        <v>913</v>
      </c>
      <c r="H130" s="6"/>
      <c r="I130" s="7">
        <v>45761</v>
      </c>
      <c r="J130" s="3"/>
      <c r="K130" s="3"/>
      <c r="L130" s="3"/>
      <c r="M130" s="3"/>
      <c r="N130" s="3" t="s">
        <v>56</v>
      </c>
      <c r="O130" s="3"/>
      <c r="P130" s="3"/>
      <c r="Q130" s="15" t="s">
        <v>133</v>
      </c>
      <c r="R130" s="7">
        <v>45805</v>
      </c>
      <c r="S130" s="6"/>
      <c r="T130" s="6"/>
      <c r="U130" s="6"/>
      <c r="V130" s="11"/>
      <c r="W130" s="6"/>
      <c r="X130" s="6"/>
      <c r="Y130" s="6"/>
      <c r="Z130" s="6"/>
      <c r="AA130" s="8"/>
      <c r="AB130" s="8"/>
      <c r="AC130" s="6" t="s">
        <v>1558</v>
      </c>
      <c r="AD130" s="6"/>
      <c r="AE130" s="9"/>
    </row>
    <row r="131" spans="1:31" s="10" customFormat="1" ht="31.5" x14ac:dyDescent="0.25">
      <c r="A131" s="3">
        <v>124</v>
      </c>
      <c r="B131" s="3" t="s">
        <v>28</v>
      </c>
      <c r="C131" s="5" t="s">
        <v>1566</v>
      </c>
      <c r="D131" s="4" t="s">
        <v>496</v>
      </c>
      <c r="E131" s="6">
        <v>11</v>
      </c>
      <c r="F131" s="6">
        <v>508</v>
      </c>
      <c r="G131" s="6">
        <v>721.4</v>
      </c>
      <c r="H131" s="6" t="s">
        <v>51</v>
      </c>
      <c r="I131" s="7">
        <v>45762</v>
      </c>
      <c r="J131" s="3"/>
      <c r="K131" s="3" t="s">
        <v>62</v>
      </c>
      <c r="L131" s="3"/>
      <c r="M131" s="3"/>
      <c r="N131" s="3"/>
      <c r="O131" s="3"/>
      <c r="P131" s="3"/>
      <c r="Q131" s="15" t="s">
        <v>133</v>
      </c>
      <c r="R131" s="6"/>
      <c r="S131" s="6"/>
      <c r="T131" s="6"/>
      <c r="U131" s="6"/>
      <c r="V131" s="11"/>
      <c r="W131" s="6"/>
      <c r="X131" s="6"/>
      <c r="Y131" s="6"/>
      <c r="Z131" s="6"/>
      <c r="AA131" s="8"/>
      <c r="AB131" s="8"/>
      <c r="AC131" s="6"/>
      <c r="AD131" s="6"/>
      <c r="AE131" s="9"/>
    </row>
    <row r="132" spans="1:31" s="10" customFormat="1" ht="78.75" x14ac:dyDescent="0.25">
      <c r="A132" s="3">
        <v>125</v>
      </c>
      <c r="B132" s="3" t="s">
        <v>28</v>
      </c>
      <c r="C132" s="5" t="s">
        <v>1581</v>
      </c>
      <c r="D132" s="4" t="s">
        <v>54</v>
      </c>
      <c r="E132" s="6">
        <v>12</v>
      </c>
      <c r="F132" s="6">
        <v>171</v>
      </c>
      <c r="G132" s="6">
        <v>74.400000000000006</v>
      </c>
      <c r="H132" s="6" t="s">
        <v>55</v>
      </c>
      <c r="I132" s="7">
        <v>45762</v>
      </c>
      <c r="J132" s="3"/>
      <c r="K132" s="3"/>
      <c r="L132" s="3"/>
      <c r="M132" s="3"/>
      <c r="N132" s="3" t="s">
        <v>56</v>
      </c>
      <c r="O132" s="3"/>
      <c r="P132" s="3"/>
      <c r="Q132" s="15" t="s">
        <v>133</v>
      </c>
      <c r="R132" s="6"/>
      <c r="S132" s="6"/>
      <c r="T132" s="6"/>
      <c r="U132" s="6"/>
      <c r="V132" s="11"/>
      <c r="W132" s="6"/>
      <c r="X132" s="6"/>
      <c r="Y132" s="6"/>
      <c r="Z132" s="6"/>
      <c r="AA132" s="8"/>
      <c r="AB132" s="8"/>
      <c r="AC132" s="6" t="s">
        <v>1582</v>
      </c>
      <c r="AD132" s="6"/>
      <c r="AE132" s="9"/>
    </row>
    <row r="133" spans="1:31" s="10" customFormat="1" ht="47.25" x14ac:dyDescent="0.25">
      <c r="A133" s="3">
        <v>126</v>
      </c>
      <c r="B133" s="3" t="s">
        <v>28</v>
      </c>
      <c r="C133" s="5" t="s">
        <v>1602</v>
      </c>
      <c r="D133" s="4" t="s">
        <v>1603</v>
      </c>
      <c r="E133" s="6">
        <v>12</v>
      </c>
      <c r="F133" s="6">
        <v>223</v>
      </c>
      <c r="G133" s="6">
        <v>240.4</v>
      </c>
      <c r="H133" s="6" t="s">
        <v>75</v>
      </c>
      <c r="I133" s="7">
        <v>45763</v>
      </c>
      <c r="J133" s="3"/>
      <c r="K133" s="3" t="s">
        <v>62</v>
      </c>
      <c r="L133" s="3"/>
      <c r="M133" s="3"/>
      <c r="N133" s="3"/>
      <c r="O133" s="3"/>
      <c r="P133" s="3"/>
      <c r="Q133" s="15" t="s">
        <v>133</v>
      </c>
      <c r="R133" s="6"/>
      <c r="S133" s="6"/>
      <c r="T133" s="6"/>
      <c r="U133" s="6"/>
      <c r="V133" s="11"/>
      <c r="W133" s="6"/>
      <c r="X133" s="6"/>
      <c r="Y133" s="6"/>
      <c r="Z133" s="6"/>
      <c r="AA133" s="8"/>
      <c r="AB133" s="8"/>
      <c r="AC133" s="6" t="s">
        <v>1829</v>
      </c>
      <c r="AD133" s="6"/>
      <c r="AE133" s="9"/>
    </row>
    <row r="134" spans="1:31" s="10" customFormat="1" ht="31.5" x14ac:dyDescent="0.25">
      <c r="A134" s="3">
        <v>127</v>
      </c>
      <c r="B134" s="3" t="s">
        <v>28</v>
      </c>
      <c r="C134" s="5" t="s">
        <v>1607</v>
      </c>
      <c r="D134" s="4"/>
      <c r="E134" s="6">
        <v>12</v>
      </c>
      <c r="F134" s="6">
        <v>644</v>
      </c>
      <c r="G134" s="6">
        <v>61.6</v>
      </c>
      <c r="H134" s="6" t="s">
        <v>55</v>
      </c>
      <c r="I134" s="7">
        <v>45763</v>
      </c>
      <c r="J134" s="3"/>
      <c r="K134" s="3"/>
      <c r="L134" s="3"/>
      <c r="M134" s="3"/>
      <c r="N134" s="3"/>
      <c r="O134" s="3"/>
      <c r="P134" s="3" t="s">
        <v>52</v>
      </c>
      <c r="Q134" s="15" t="s">
        <v>133</v>
      </c>
      <c r="R134" s="6"/>
      <c r="S134" s="6"/>
      <c r="T134" s="6"/>
      <c r="U134" s="6"/>
      <c r="V134" s="11"/>
      <c r="W134" s="6"/>
      <c r="X134" s="6"/>
      <c r="Y134" s="6"/>
      <c r="Z134" s="6"/>
      <c r="AA134" s="8"/>
      <c r="AB134" s="8"/>
      <c r="AC134" s="6"/>
      <c r="AD134" s="6"/>
      <c r="AE134" s="9" t="s">
        <v>1608</v>
      </c>
    </row>
    <row r="135" spans="1:31" s="10" customFormat="1" ht="47.25" x14ac:dyDescent="0.25">
      <c r="A135" s="3">
        <v>128</v>
      </c>
      <c r="B135" s="3" t="s">
        <v>28</v>
      </c>
      <c r="C135" s="5" t="s">
        <v>1610</v>
      </c>
      <c r="D135" s="4" t="s">
        <v>1609</v>
      </c>
      <c r="E135" s="6">
        <v>13</v>
      </c>
      <c r="F135" s="6">
        <v>526</v>
      </c>
      <c r="G135" s="6"/>
      <c r="H135" s="6"/>
      <c r="I135" s="7">
        <v>45763</v>
      </c>
      <c r="J135" s="3"/>
      <c r="K135" s="3"/>
      <c r="L135" s="3"/>
      <c r="M135" s="3"/>
      <c r="N135" s="3"/>
      <c r="O135" s="3" t="s">
        <v>1657</v>
      </c>
      <c r="P135" s="3"/>
      <c r="Q135" s="15" t="s">
        <v>133</v>
      </c>
      <c r="R135" s="7">
        <v>45786</v>
      </c>
      <c r="S135" s="7">
        <v>45786</v>
      </c>
      <c r="T135" s="7">
        <v>45786</v>
      </c>
      <c r="U135" s="6">
        <v>486</v>
      </c>
      <c r="V135" s="11">
        <v>809727</v>
      </c>
      <c r="W135" s="6"/>
      <c r="X135" s="6"/>
      <c r="Y135" s="6"/>
      <c r="Z135" s="6"/>
      <c r="AA135" s="8"/>
      <c r="AB135" s="8"/>
      <c r="AC135" s="6"/>
      <c r="AD135" s="6"/>
      <c r="AE135" s="9"/>
    </row>
    <row r="136" spans="1:31" s="10" customFormat="1" ht="31.5" x14ac:dyDescent="0.25">
      <c r="A136" s="3">
        <v>129</v>
      </c>
      <c r="B136" s="3" t="s">
        <v>28</v>
      </c>
      <c r="C136" s="5" t="s">
        <v>1611</v>
      </c>
      <c r="D136" s="4"/>
      <c r="E136" s="6">
        <v>13</v>
      </c>
      <c r="F136" s="6">
        <v>1093</v>
      </c>
      <c r="G136" s="6">
        <v>81.2</v>
      </c>
      <c r="H136" s="6" t="s">
        <v>55</v>
      </c>
      <c r="I136" s="7">
        <v>45763</v>
      </c>
      <c r="J136" s="3"/>
      <c r="K136" s="3"/>
      <c r="L136" s="3"/>
      <c r="M136" s="3"/>
      <c r="N136" s="3"/>
      <c r="O136" s="3"/>
      <c r="P136" s="3" t="s">
        <v>52</v>
      </c>
      <c r="Q136" s="15" t="s">
        <v>133</v>
      </c>
      <c r="R136" s="7">
        <v>45775</v>
      </c>
      <c r="S136" s="7">
        <v>45775</v>
      </c>
      <c r="T136" s="7">
        <v>45775</v>
      </c>
      <c r="U136" s="6">
        <v>262</v>
      </c>
      <c r="V136" s="11">
        <v>2125468</v>
      </c>
      <c r="W136" s="6"/>
      <c r="X136" s="6"/>
      <c r="Y136" s="6"/>
      <c r="Z136" s="6"/>
      <c r="AA136" s="8"/>
      <c r="AB136" s="8" t="s">
        <v>1792</v>
      </c>
      <c r="AC136" s="6"/>
      <c r="AD136" s="6"/>
      <c r="AE136" s="9" t="s">
        <v>1284</v>
      </c>
    </row>
    <row r="137" spans="1:31" s="10" customFormat="1" ht="31.5" x14ac:dyDescent="0.25">
      <c r="A137" s="3">
        <v>130</v>
      </c>
      <c r="B137" s="3" t="s">
        <v>28</v>
      </c>
      <c r="C137" s="5" t="s">
        <v>1637</v>
      </c>
      <c r="D137" s="4" t="s">
        <v>1638</v>
      </c>
      <c r="E137" s="6">
        <v>12</v>
      </c>
      <c r="F137" s="6">
        <v>630</v>
      </c>
      <c r="G137" s="6">
        <v>294.3</v>
      </c>
      <c r="H137" s="6" t="s">
        <v>55</v>
      </c>
      <c r="I137" s="7">
        <v>45765</v>
      </c>
      <c r="J137" s="3" t="s">
        <v>153</v>
      </c>
      <c r="K137" s="3"/>
      <c r="L137" s="3"/>
      <c r="M137" s="3"/>
      <c r="N137" s="3"/>
      <c r="O137" s="3"/>
      <c r="P137" s="3"/>
      <c r="Q137" s="15" t="s">
        <v>133</v>
      </c>
      <c r="R137" s="7">
        <v>45772</v>
      </c>
      <c r="S137" s="7">
        <v>45772</v>
      </c>
      <c r="T137" s="7">
        <v>45772</v>
      </c>
      <c r="U137" s="6">
        <v>204</v>
      </c>
      <c r="V137" s="11">
        <v>961551</v>
      </c>
      <c r="W137" s="6"/>
      <c r="X137" s="6"/>
      <c r="Y137" s="6"/>
      <c r="Z137" s="6" t="s">
        <v>1775</v>
      </c>
      <c r="AA137" s="8" t="s">
        <v>1776</v>
      </c>
      <c r="AB137" s="8"/>
      <c r="AC137" s="6"/>
      <c r="AD137" s="6"/>
      <c r="AE137" s="9"/>
    </row>
    <row r="138" spans="1:31" ht="16.5" x14ac:dyDescent="0.25">
      <c r="A138" s="12"/>
      <c r="B138" s="73" t="s">
        <v>1656</v>
      </c>
      <c r="C138" s="74"/>
      <c r="D138" s="74"/>
      <c r="E138" s="74"/>
      <c r="F138" s="74"/>
      <c r="G138" s="74"/>
      <c r="H138" s="75"/>
      <c r="I138" s="13"/>
      <c r="J138" s="14">
        <f>COUNTIF(J127:J137,"CQ")+COUNTIF(J125:J137,"CT")+COUNTIF(J125:J137,"IG")</f>
        <v>1</v>
      </c>
      <c r="K138" s="14">
        <f>COUNTIF(K129:K137,"CMĐ")</f>
        <v>2</v>
      </c>
      <c r="L138" s="14">
        <f>COUNTIF(L129:L137,"XMDT")+COUNTIF(L116:L137,"Mốc")</f>
        <v>0</v>
      </c>
      <c r="M138" s="14">
        <f>COUNTIF(M129:M137,"THÁn")</f>
        <v>0</v>
      </c>
      <c r="N138" s="14">
        <f>COUNTIF(N127:N137,"TÒA")</f>
        <v>2</v>
      </c>
      <c r="O138" s="14">
        <f>COUNTIF(O86:O137,"Cấp GCN")</f>
        <v>1</v>
      </c>
      <c r="P138" s="14">
        <f>COUNTIF(P127:P137,"SHN")</f>
        <v>5</v>
      </c>
      <c r="Q138" s="15"/>
      <c r="R138" s="13"/>
      <c r="S138" s="15"/>
      <c r="T138" s="15"/>
      <c r="U138" s="16"/>
      <c r="V138" s="11"/>
      <c r="W138" s="17"/>
      <c r="X138" s="2"/>
      <c r="AD138" s="14">
        <f>COUNTIF(AD102,"kt")</f>
        <v>0</v>
      </c>
    </row>
    <row r="139" spans="1:31" s="10" customFormat="1" ht="31.5" x14ac:dyDescent="0.25">
      <c r="A139" s="3">
        <v>131</v>
      </c>
      <c r="B139" s="3" t="s">
        <v>28</v>
      </c>
      <c r="C139" s="5" t="s">
        <v>1692</v>
      </c>
      <c r="D139" s="4" t="s">
        <v>1694</v>
      </c>
      <c r="E139" s="4" t="s">
        <v>1693</v>
      </c>
      <c r="F139" s="6">
        <v>349</v>
      </c>
      <c r="G139" s="6">
        <v>430.9</v>
      </c>
      <c r="H139" s="6" t="s">
        <v>75</v>
      </c>
      <c r="I139" s="7" t="s">
        <v>2361</v>
      </c>
      <c r="J139" s="3" t="s">
        <v>76</v>
      </c>
      <c r="K139" s="3"/>
      <c r="L139" s="3"/>
      <c r="M139" s="3"/>
      <c r="N139" s="3"/>
      <c r="O139" s="3"/>
      <c r="P139" s="3"/>
      <c r="Q139" s="15" t="s">
        <v>133</v>
      </c>
      <c r="R139" s="7" t="s">
        <v>2621</v>
      </c>
      <c r="S139" s="7">
        <v>45828</v>
      </c>
      <c r="T139" s="7">
        <v>45828</v>
      </c>
      <c r="U139" s="6">
        <v>1732</v>
      </c>
      <c r="V139" s="11">
        <v>961551</v>
      </c>
      <c r="W139" s="6"/>
      <c r="X139" s="6"/>
      <c r="Y139" s="6"/>
      <c r="Z139" s="6" t="s">
        <v>2645</v>
      </c>
      <c r="AA139" s="8" t="s">
        <v>2646</v>
      </c>
      <c r="AB139" s="8" t="s">
        <v>2622</v>
      </c>
      <c r="AC139" s="6"/>
      <c r="AD139" s="6"/>
      <c r="AE139" s="9"/>
    </row>
    <row r="140" spans="1:31" s="10" customFormat="1" ht="16.5" x14ac:dyDescent="0.25">
      <c r="A140" s="3">
        <v>132</v>
      </c>
      <c r="B140" s="3" t="s">
        <v>28</v>
      </c>
      <c r="C140" s="5" t="s">
        <v>1695</v>
      </c>
      <c r="D140" s="4"/>
      <c r="E140" s="6">
        <v>14</v>
      </c>
      <c r="F140" s="6">
        <v>1159</v>
      </c>
      <c r="G140" s="6">
        <v>151.5</v>
      </c>
      <c r="H140" s="6" t="s">
        <v>55</v>
      </c>
      <c r="I140" s="7">
        <v>45769</v>
      </c>
      <c r="J140" s="3"/>
      <c r="K140" s="3"/>
      <c r="L140" s="3"/>
      <c r="M140" s="3"/>
      <c r="N140" s="3"/>
      <c r="O140" s="3"/>
      <c r="P140" s="3" t="s">
        <v>52</v>
      </c>
      <c r="Q140" s="15" t="s">
        <v>133</v>
      </c>
      <c r="R140" s="6"/>
      <c r="S140" s="6"/>
      <c r="T140" s="6"/>
      <c r="U140" s="6"/>
      <c r="V140" s="11"/>
      <c r="W140" s="6"/>
      <c r="X140" s="6"/>
      <c r="Y140" s="6"/>
      <c r="Z140" s="6"/>
      <c r="AA140" s="8"/>
      <c r="AB140" s="8"/>
      <c r="AC140" s="6"/>
      <c r="AD140" s="6"/>
      <c r="AE140" s="9" t="s">
        <v>1284</v>
      </c>
    </row>
    <row r="141" spans="1:31" s="10" customFormat="1" ht="32.25" customHeight="1" x14ac:dyDescent="0.25">
      <c r="A141" s="3">
        <v>133</v>
      </c>
      <c r="B141" s="3" t="s">
        <v>28</v>
      </c>
      <c r="C141" s="5" t="s">
        <v>1702</v>
      </c>
      <c r="D141" s="4" t="s">
        <v>1703</v>
      </c>
      <c r="E141" s="6">
        <v>35</v>
      </c>
      <c r="F141" s="6">
        <v>14</v>
      </c>
      <c r="G141" s="6">
        <v>104.4</v>
      </c>
      <c r="H141" s="6" t="s">
        <v>75</v>
      </c>
      <c r="I141" s="7">
        <v>45768</v>
      </c>
      <c r="J141" s="3"/>
      <c r="K141" s="3"/>
      <c r="L141" s="3"/>
      <c r="M141" s="3"/>
      <c r="N141" s="3"/>
      <c r="O141" s="3"/>
      <c r="P141" s="3" t="s">
        <v>52</v>
      </c>
      <c r="Q141" s="15" t="s">
        <v>133</v>
      </c>
      <c r="R141" s="6"/>
      <c r="S141" s="6"/>
      <c r="T141" s="6"/>
      <c r="U141" s="6"/>
      <c r="V141" s="11"/>
      <c r="W141" s="6"/>
      <c r="X141" s="6"/>
      <c r="Y141" s="6"/>
      <c r="Z141" s="6"/>
      <c r="AA141" s="8"/>
      <c r="AB141" s="8"/>
      <c r="AC141" s="6"/>
      <c r="AD141" s="6"/>
      <c r="AE141" s="9"/>
    </row>
    <row r="142" spans="1:31" s="10" customFormat="1" ht="16.5" x14ac:dyDescent="0.25">
      <c r="A142" s="3">
        <v>134</v>
      </c>
      <c r="B142" s="3" t="s">
        <v>28</v>
      </c>
      <c r="C142" s="5" t="s">
        <v>1751</v>
      </c>
      <c r="D142" s="4" t="s">
        <v>1752</v>
      </c>
      <c r="E142" s="6">
        <v>20</v>
      </c>
      <c r="F142" s="6">
        <v>702</v>
      </c>
      <c r="G142" s="6">
        <v>270.39999999999998</v>
      </c>
      <c r="H142" s="6" t="s">
        <v>55</v>
      </c>
      <c r="I142" s="7">
        <v>45772</v>
      </c>
      <c r="J142" s="3" t="s">
        <v>823</v>
      </c>
      <c r="K142" s="3"/>
      <c r="L142" s="3"/>
      <c r="M142" s="3"/>
      <c r="N142" s="3"/>
      <c r="O142" s="3"/>
      <c r="P142" s="3"/>
      <c r="Q142" s="15" t="s">
        <v>133</v>
      </c>
      <c r="R142" s="6"/>
      <c r="S142" s="6"/>
      <c r="T142" s="6"/>
      <c r="U142" s="6"/>
      <c r="V142" s="11"/>
      <c r="W142" s="6"/>
      <c r="X142" s="6"/>
      <c r="Y142" s="6"/>
      <c r="Z142" s="6"/>
      <c r="AA142" s="8"/>
      <c r="AB142" s="8"/>
      <c r="AC142" s="6"/>
      <c r="AD142" s="6"/>
      <c r="AE142" s="9"/>
    </row>
    <row r="143" spans="1:31" s="10" customFormat="1" ht="63" x14ac:dyDescent="0.25">
      <c r="A143" s="3">
        <v>135</v>
      </c>
      <c r="B143" s="3" t="s">
        <v>28</v>
      </c>
      <c r="C143" s="5" t="s">
        <v>1754</v>
      </c>
      <c r="D143" s="4" t="s">
        <v>1755</v>
      </c>
      <c r="E143" s="6">
        <v>17</v>
      </c>
      <c r="F143" s="6">
        <v>424</v>
      </c>
      <c r="G143" s="6">
        <v>120.9</v>
      </c>
      <c r="H143" s="6" t="s">
        <v>75</v>
      </c>
      <c r="I143" s="7" t="s">
        <v>2147</v>
      </c>
      <c r="J143" s="3"/>
      <c r="K143" s="3"/>
      <c r="L143" s="3"/>
      <c r="M143" s="3"/>
      <c r="N143" s="3"/>
      <c r="O143" s="3"/>
      <c r="P143" s="3" t="s">
        <v>52</v>
      </c>
      <c r="Q143" s="15" t="s">
        <v>133</v>
      </c>
      <c r="R143" s="6"/>
      <c r="S143" s="6"/>
      <c r="T143" s="6"/>
      <c r="U143" s="6"/>
      <c r="V143" s="11"/>
      <c r="W143" s="6"/>
      <c r="X143" s="6"/>
      <c r="Y143" s="6"/>
      <c r="Z143" s="6"/>
      <c r="AA143" s="8" t="s">
        <v>2148</v>
      </c>
      <c r="AB143" s="8" t="s">
        <v>1909</v>
      </c>
      <c r="AC143" s="6" t="s">
        <v>1873</v>
      </c>
      <c r="AD143" s="6"/>
      <c r="AE143" s="9"/>
    </row>
    <row r="144" spans="1:31" s="10" customFormat="1" ht="31.5" x14ac:dyDescent="0.25">
      <c r="A144" s="3">
        <v>136</v>
      </c>
      <c r="B144" s="3" t="s">
        <v>28</v>
      </c>
      <c r="C144" s="5" t="s">
        <v>1769</v>
      </c>
      <c r="D144" s="4" t="s">
        <v>1770</v>
      </c>
      <c r="E144" s="6">
        <v>11</v>
      </c>
      <c r="F144" s="6">
        <v>81</v>
      </c>
      <c r="G144" s="6">
        <v>1532.9</v>
      </c>
      <c r="H144" s="6" t="s">
        <v>51</v>
      </c>
      <c r="I144" s="7">
        <v>45772</v>
      </c>
      <c r="J144" s="3" t="s">
        <v>76</v>
      </c>
      <c r="K144" s="3"/>
      <c r="L144" s="3"/>
      <c r="M144" s="3"/>
      <c r="N144" s="3"/>
      <c r="O144" s="3"/>
      <c r="P144" s="3"/>
      <c r="Q144" s="15" t="s">
        <v>133</v>
      </c>
      <c r="R144" s="7">
        <v>45832</v>
      </c>
      <c r="S144" s="7">
        <v>45833</v>
      </c>
      <c r="T144" s="7">
        <v>45833</v>
      </c>
      <c r="U144" s="20">
        <v>1882</v>
      </c>
      <c r="V144" s="11">
        <v>961551</v>
      </c>
      <c r="W144" s="6"/>
      <c r="X144" s="6"/>
      <c r="Y144" s="6"/>
      <c r="Z144" s="6"/>
      <c r="AA144" s="8"/>
      <c r="AB144" s="8"/>
      <c r="AC144" s="6"/>
      <c r="AD144" s="6"/>
      <c r="AE144" s="9"/>
    </row>
    <row r="145" spans="1:31" ht="16.5" x14ac:dyDescent="0.25">
      <c r="A145" s="12"/>
      <c r="B145" s="73" t="s">
        <v>1782</v>
      </c>
      <c r="C145" s="74"/>
      <c r="D145" s="74"/>
      <c r="E145" s="74"/>
      <c r="F145" s="74"/>
      <c r="G145" s="74"/>
      <c r="H145" s="75"/>
      <c r="I145" s="13"/>
      <c r="J145" s="14">
        <f>COUNTIF(J139:J144,"CQ")+COUNTIF(J139:J144,"CT")+COUNTIF(J139:J144,"IG")</f>
        <v>3</v>
      </c>
      <c r="K145" s="14">
        <f>COUNTIF(K136:K144,"CMĐ")</f>
        <v>0</v>
      </c>
      <c r="L145" s="14">
        <f>COUNTIF(L136:L144,"XMDT")+COUNTIF(L123:L144,"Mốc")</f>
        <v>0</v>
      </c>
      <c r="M145" s="14">
        <f>COUNTIF(M136:M144,"THÁn")</f>
        <v>0</v>
      </c>
      <c r="N145" s="14">
        <f>COUNTIF(N134:N144,"TÒA")</f>
        <v>0</v>
      </c>
      <c r="O145" s="14">
        <f>COUNTIF(O139:O144,"Cấp GCN")</f>
        <v>0</v>
      </c>
      <c r="P145" s="14">
        <f>COUNTIF(P139:P144,"SHN")</f>
        <v>3</v>
      </c>
      <c r="Q145" s="15"/>
      <c r="R145" s="13"/>
      <c r="S145" s="15"/>
      <c r="T145" s="15"/>
      <c r="U145" s="16"/>
      <c r="V145" s="11"/>
      <c r="W145" s="17"/>
      <c r="X145" s="2"/>
      <c r="AD145" s="14">
        <f>COUNTIF(AD109,"kt")</f>
        <v>0</v>
      </c>
    </row>
    <row r="146" spans="1:31" s="10" customFormat="1" ht="47.25" x14ac:dyDescent="0.25">
      <c r="A146" s="3">
        <v>137</v>
      </c>
      <c r="B146" s="3" t="s">
        <v>28</v>
      </c>
      <c r="C146" s="5" t="s">
        <v>1805</v>
      </c>
      <c r="D146" s="4" t="s">
        <v>1806</v>
      </c>
      <c r="E146" s="6">
        <v>35</v>
      </c>
      <c r="F146" s="6">
        <v>1</v>
      </c>
      <c r="G146" s="6">
        <v>107.7</v>
      </c>
      <c r="H146" s="6" t="s">
        <v>55</v>
      </c>
      <c r="I146" s="7">
        <v>45782</v>
      </c>
      <c r="J146" s="3"/>
      <c r="K146" s="3"/>
      <c r="L146" s="3"/>
      <c r="M146" s="3"/>
      <c r="N146" s="3"/>
      <c r="O146" s="3"/>
      <c r="P146" s="3" t="s">
        <v>52</v>
      </c>
      <c r="Q146" s="15" t="s">
        <v>133</v>
      </c>
      <c r="R146" s="6"/>
      <c r="S146" s="6"/>
      <c r="T146" s="6"/>
      <c r="U146" s="6"/>
      <c r="V146" s="11"/>
      <c r="W146" s="6"/>
      <c r="X146" s="6"/>
      <c r="Y146" s="6"/>
      <c r="Z146" s="6"/>
      <c r="AA146" s="8"/>
      <c r="AB146" s="8" t="s">
        <v>2279</v>
      </c>
      <c r="AC146" s="6" t="s">
        <v>1995</v>
      </c>
      <c r="AD146" s="6"/>
      <c r="AE146" s="9"/>
    </row>
    <row r="147" spans="1:31" s="10" customFormat="1" ht="47.25" x14ac:dyDescent="0.25">
      <c r="A147" s="3">
        <v>138</v>
      </c>
      <c r="B147" s="3" t="s">
        <v>28</v>
      </c>
      <c r="C147" s="5" t="s">
        <v>1823</v>
      </c>
      <c r="D147" s="4" t="s">
        <v>1824</v>
      </c>
      <c r="E147" s="6">
        <v>14</v>
      </c>
      <c r="F147" s="6">
        <v>1094</v>
      </c>
      <c r="G147" s="6">
        <v>2243.6999999999998</v>
      </c>
      <c r="H147" s="6" t="s">
        <v>51</v>
      </c>
      <c r="I147" s="7">
        <v>45782</v>
      </c>
      <c r="J147" s="3"/>
      <c r="K147" s="3"/>
      <c r="L147" s="3" t="s">
        <v>98</v>
      </c>
      <c r="M147" s="3"/>
      <c r="N147" s="3"/>
      <c r="O147" s="3"/>
      <c r="P147" s="3"/>
      <c r="Q147" s="15" t="s">
        <v>133</v>
      </c>
      <c r="R147" s="7">
        <v>45797</v>
      </c>
      <c r="S147" s="7">
        <v>45804</v>
      </c>
      <c r="T147" s="7">
        <v>45804</v>
      </c>
      <c r="U147" s="6">
        <v>999</v>
      </c>
      <c r="V147" s="11">
        <v>2583973</v>
      </c>
      <c r="W147" s="6"/>
      <c r="X147" s="6"/>
      <c r="Y147" s="6"/>
      <c r="Z147" s="6"/>
      <c r="AA147" s="8"/>
      <c r="AB147" s="8" t="s">
        <v>1825</v>
      </c>
      <c r="AC147" s="6"/>
      <c r="AD147" s="6"/>
      <c r="AE147" s="9"/>
    </row>
    <row r="148" spans="1:31" s="10" customFormat="1" ht="31.5" x14ac:dyDescent="0.25">
      <c r="A148" s="3">
        <v>139</v>
      </c>
      <c r="B148" s="3" t="s">
        <v>28</v>
      </c>
      <c r="C148" s="5" t="s">
        <v>1853</v>
      </c>
      <c r="D148" s="4" t="s">
        <v>324</v>
      </c>
      <c r="E148" s="6">
        <v>14</v>
      </c>
      <c r="F148" s="6">
        <v>146</v>
      </c>
      <c r="G148" s="6">
        <v>516.5</v>
      </c>
      <c r="H148" s="6" t="s">
        <v>55</v>
      </c>
      <c r="I148" s="7"/>
      <c r="J148" s="3"/>
      <c r="K148" s="3"/>
      <c r="L148" s="3"/>
      <c r="M148" s="3"/>
      <c r="N148" s="3"/>
      <c r="O148" s="3"/>
      <c r="P148" s="3"/>
      <c r="Q148" s="15" t="s">
        <v>190</v>
      </c>
      <c r="R148" s="6"/>
      <c r="S148" s="6"/>
      <c r="T148" s="6"/>
      <c r="U148" s="6"/>
      <c r="V148" s="11"/>
      <c r="W148" s="6"/>
      <c r="X148" s="6"/>
      <c r="Y148" s="6"/>
      <c r="Z148" s="6" t="s">
        <v>1854</v>
      </c>
      <c r="AA148" s="8" t="s">
        <v>1855</v>
      </c>
      <c r="AB148" s="8"/>
      <c r="AC148" s="6"/>
      <c r="AD148" s="6"/>
      <c r="AE148" s="9"/>
    </row>
    <row r="149" spans="1:31" s="10" customFormat="1" ht="31.5" x14ac:dyDescent="0.25">
      <c r="A149" s="3">
        <v>140</v>
      </c>
      <c r="B149" s="3" t="s">
        <v>28</v>
      </c>
      <c r="C149" s="5" t="s">
        <v>1874</v>
      </c>
      <c r="D149" s="4" t="s">
        <v>1875</v>
      </c>
      <c r="E149" s="6">
        <v>29</v>
      </c>
      <c r="F149" s="6">
        <v>172</v>
      </c>
      <c r="G149" s="6">
        <v>110.7</v>
      </c>
      <c r="H149" s="6" t="s">
        <v>55</v>
      </c>
      <c r="I149" s="7">
        <v>45784</v>
      </c>
      <c r="J149" s="3"/>
      <c r="K149" s="3"/>
      <c r="L149" s="3"/>
      <c r="M149" s="3"/>
      <c r="N149" s="3"/>
      <c r="O149" s="3"/>
      <c r="P149" s="3" t="s">
        <v>52</v>
      </c>
      <c r="Q149" s="15" t="s">
        <v>133</v>
      </c>
      <c r="R149" s="7">
        <v>45827</v>
      </c>
      <c r="S149" s="7">
        <v>45827</v>
      </c>
      <c r="T149" s="7">
        <v>45827</v>
      </c>
      <c r="U149" s="6">
        <v>1685</v>
      </c>
      <c r="V149" s="11">
        <v>2125468</v>
      </c>
      <c r="W149" s="6"/>
      <c r="X149" s="6"/>
      <c r="Y149" s="6"/>
      <c r="Z149" s="6"/>
      <c r="AA149" s="8"/>
      <c r="AB149" s="8" t="s">
        <v>2635</v>
      </c>
      <c r="AC149" s="6"/>
      <c r="AD149" s="6"/>
      <c r="AE149" s="9"/>
    </row>
    <row r="150" spans="1:31" s="10" customFormat="1" ht="16.5" x14ac:dyDescent="0.25">
      <c r="A150" s="3">
        <v>141</v>
      </c>
      <c r="B150" s="3" t="s">
        <v>28</v>
      </c>
      <c r="C150" s="5" t="s">
        <v>1882</v>
      </c>
      <c r="D150" s="4" t="s">
        <v>1883</v>
      </c>
      <c r="E150" s="6">
        <v>24</v>
      </c>
      <c r="F150" s="6">
        <v>430</v>
      </c>
      <c r="G150" s="6">
        <v>213.1</v>
      </c>
      <c r="H150" s="6" t="s">
        <v>55</v>
      </c>
      <c r="I150" s="7">
        <v>45784</v>
      </c>
      <c r="J150" s="3"/>
      <c r="K150" s="3"/>
      <c r="L150" s="3"/>
      <c r="M150" s="3"/>
      <c r="N150" s="3"/>
      <c r="O150" s="3"/>
      <c r="P150" s="3" t="s">
        <v>52</v>
      </c>
      <c r="Q150" s="15" t="s">
        <v>133</v>
      </c>
      <c r="R150" s="6"/>
      <c r="S150" s="6"/>
      <c r="T150" s="6"/>
      <c r="U150" s="6"/>
      <c r="V150" s="11"/>
      <c r="W150" s="6"/>
      <c r="X150" s="6"/>
      <c r="Y150" s="6"/>
      <c r="Z150" s="6"/>
      <c r="AA150" s="8"/>
      <c r="AB150" s="8"/>
      <c r="AC150" s="6"/>
      <c r="AD150" s="6"/>
      <c r="AE150" s="9"/>
    </row>
    <row r="151" spans="1:31" s="10" customFormat="1" ht="31.5" x14ac:dyDescent="0.25">
      <c r="A151" s="3">
        <v>142</v>
      </c>
      <c r="B151" s="3" t="s">
        <v>28</v>
      </c>
      <c r="C151" s="5" t="s">
        <v>1885</v>
      </c>
      <c r="D151" s="4"/>
      <c r="E151" s="6">
        <v>13</v>
      </c>
      <c r="F151" s="6">
        <v>1071</v>
      </c>
      <c r="G151" s="6">
        <v>163.30000000000001</v>
      </c>
      <c r="H151" s="6" t="s">
        <v>75</v>
      </c>
      <c r="I151" s="7">
        <v>45784</v>
      </c>
      <c r="J151" s="3"/>
      <c r="K151" s="3"/>
      <c r="L151" s="3" t="s">
        <v>1</v>
      </c>
      <c r="M151" s="3"/>
      <c r="N151" s="3"/>
      <c r="O151" s="3"/>
      <c r="P151" s="3"/>
      <c r="Q151" s="15" t="s">
        <v>133</v>
      </c>
      <c r="R151" s="7">
        <v>45799</v>
      </c>
      <c r="S151" s="7">
        <v>45803</v>
      </c>
      <c r="T151" s="7">
        <v>45803</v>
      </c>
      <c r="U151" s="6">
        <v>917</v>
      </c>
      <c r="V151" s="11">
        <v>961551</v>
      </c>
      <c r="W151" s="6"/>
      <c r="X151" s="6"/>
      <c r="Y151" s="6"/>
      <c r="Z151" s="6"/>
      <c r="AA151" s="8"/>
      <c r="AB151" s="8"/>
      <c r="AC151" s="6" t="s">
        <v>2221</v>
      </c>
      <c r="AD151" s="6"/>
      <c r="AE151" s="9" t="s">
        <v>261</v>
      </c>
    </row>
    <row r="152" spans="1:31" s="10" customFormat="1" ht="47.25" x14ac:dyDescent="0.25">
      <c r="A152" s="3">
        <v>143</v>
      </c>
      <c r="B152" s="3" t="s">
        <v>28</v>
      </c>
      <c r="C152" s="5" t="s">
        <v>1891</v>
      </c>
      <c r="D152" s="4" t="s">
        <v>1892</v>
      </c>
      <c r="E152" s="6">
        <v>1</v>
      </c>
      <c r="F152" s="6">
        <v>221</v>
      </c>
      <c r="G152" s="6">
        <v>47.5</v>
      </c>
      <c r="H152" s="6" t="s">
        <v>55</v>
      </c>
      <c r="I152" s="7">
        <v>45785</v>
      </c>
      <c r="J152" s="3"/>
      <c r="K152" s="3"/>
      <c r="L152" s="3"/>
      <c r="M152" s="3"/>
      <c r="N152" s="3"/>
      <c r="O152" s="3"/>
      <c r="P152" s="3" t="s">
        <v>52</v>
      </c>
      <c r="Q152" s="15" t="s">
        <v>133</v>
      </c>
      <c r="R152" s="7">
        <v>45833</v>
      </c>
      <c r="S152" s="6"/>
      <c r="T152" s="6"/>
      <c r="U152" s="6"/>
      <c r="V152" s="11"/>
      <c r="W152" s="6"/>
      <c r="X152" s="6"/>
      <c r="Y152" s="6"/>
      <c r="Z152" s="6"/>
      <c r="AA152" s="8" t="s">
        <v>2704</v>
      </c>
      <c r="AB152" s="8"/>
      <c r="AC152" s="6"/>
      <c r="AD152" s="6"/>
      <c r="AE152" s="9"/>
    </row>
    <row r="153" spans="1:31" s="10" customFormat="1" ht="31.5" x14ac:dyDescent="0.25">
      <c r="A153" s="3">
        <v>144</v>
      </c>
      <c r="B153" s="3" t="s">
        <v>28</v>
      </c>
      <c r="C153" s="5" t="s">
        <v>219</v>
      </c>
      <c r="D153" s="4" t="s">
        <v>1557</v>
      </c>
      <c r="E153" s="6">
        <v>3</v>
      </c>
      <c r="F153" s="6">
        <v>480</v>
      </c>
      <c r="G153" s="6">
        <v>71.099999999999994</v>
      </c>
      <c r="H153" s="6" t="s">
        <v>55</v>
      </c>
      <c r="I153" s="7">
        <v>45785</v>
      </c>
      <c r="J153" s="3"/>
      <c r="K153" s="3"/>
      <c r="L153" s="3"/>
      <c r="M153" s="3"/>
      <c r="N153" s="3"/>
      <c r="O153" s="3"/>
      <c r="P153" s="3" t="s">
        <v>52</v>
      </c>
      <c r="Q153" s="15" t="s">
        <v>133</v>
      </c>
      <c r="R153" s="7">
        <v>45806</v>
      </c>
      <c r="S153" s="7">
        <v>45807</v>
      </c>
      <c r="T153" s="7">
        <v>45807</v>
      </c>
      <c r="U153" s="20">
        <v>1118</v>
      </c>
      <c r="V153" s="11">
        <v>2125468</v>
      </c>
      <c r="W153" s="6"/>
      <c r="X153" s="6"/>
      <c r="Y153" s="6"/>
      <c r="Z153" s="6"/>
      <c r="AA153" s="8"/>
      <c r="AB153" s="8" t="s">
        <v>2312</v>
      </c>
      <c r="AC153" s="6"/>
      <c r="AD153" s="6"/>
      <c r="AE153" s="9"/>
    </row>
    <row r="154" spans="1:31" ht="16.5" x14ac:dyDescent="0.25">
      <c r="A154" s="12"/>
      <c r="B154" s="73" t="s">
        <v>1919</v>
      </c>
      <c r="C154" s="74"/>
      <c r="D154" s="74"/>
      <c r="E154" s="74"/>
      <c r="F154" s="74"/>
      <c r="G154" s="74"/>
      <c r="H154" s="75"/>
      <c r="I154" s="13"/>
      <c r="J154" s="14">
        <f>COUNTIF(J148:J153,"CQ")+COUNTIF(J148:J153,"CT")+COUNTIF(J148:J153,"IG")</f>
        <v>0</v>
      </c>
      <c r="K154" s="14">
        <f>COUNTIF(K145:K153,"CMĐ")</f>
        <v>0</v>
      </c>
      <c r="L154" s="14">
        <f>COUNTIF(L145:L153,"XMDT")+COUNTIF(L132:L153,"Mốc")</f>
        <v>2</v>
      </c>
      <c r="M154" s="14">
        <f>COUNTIF(M145:M153,"THÁn")</f>
        <v>0</v>
      </c>
      <c r="N154" s="14">
        <f>COUNTIF(N143:N153,"TÒA")</f>
        <v>0</v>
      </c>
      <c r="O154" s="14">
        <f>COUNTIF(O148:O153,"Cấp GCN")</f>
        <v>0</v>
      </c>
      <c r="P154" s="14">
        <f>COUNTIF(P148:P153,"SHN")</f>
        <v>4</v>
      </c>
      <c r="Q154" s="15"/>
      <c r="R154" s="13"/>
      <c r="S154" s="15"/>
      <c r="T154" s="15"/>
      <c r="U154" s="16"/>
      <c r="V154" s="11"/>
      <c r="W154" s="17"/>
      <c r="X154" s="2"/>
      <c r="AD154" s="14">
        <f>COUNTIF(AD118,"kt")</f>
        <v>0</v>
      </c>
    </row>
    <row r="155" spans="1:31" s="10" customFormat="1" ht="31.5" x14ac:dyDescent="0.25">
      <c r="A155" s="3">
        <v>145</v>
      </c>
      <c r="B155" s="3" t="s">
        <v>28</v>
      </c>
      <c r="C155" s="5" t="s">
        <v>1936</v>
      </c>
      <c r="D155" s="4" t="s">
        <v>1937</v>
      </c>
      <c r="E155" s="6">
        <v>20</v>
      </c>
      <c r="F155" s="6">
        <v>235</v>
      </c>
      <c r="G155" s="6">
        <v>258.89999999999998</v>
      </c>
      <c r="H155" s="6" t="s">
        <v>75</v>
      </c>
      <c r="I155" s="7">
        <v>45789</v>
      </c>
      <c r="J155" s="3" t="s">
        <v>76</v>
      </c>
      <c r="K155" s="3"/>
      <c r="L155" s="3"/>
      <c r="M155" s="3"/>
      <c r="N155" s="3"/>
      <c r="O155" s="3"/>
      <c r="P155" s="3"/>
      <c r="Q155" s="15" t="s">
        <v>133</v>
      </c>
      <c r="R155" s="7">
        <v>45810</v>
      </c>
      <c r="S155" s="7">
        <v>45813</v>
      </c>
      <c r="T155" s="7">
        <v>45813</v>
      </c>
      <c r="U155" s="20">
        <v>1298</v>
      </c>
      <c r="V155" s="11">
        <v>961551</v>
      </c>
      <c r="W155" s="6"/>
      <c r="X155" s="6"/>
      <c r="Y155" s="6"/>
      <c r="Z155" s="6" t="s">
        <v>2389</v>
      </c>
      <c r="AA155" s="8" t="s">
        <v>2390</v>
      </c>
      <c r="AB155" s="8"/>
      <c r="AC155" s="6"/>
      <c r="AD155" s="6"/>
      <c r="AE155" s="9"/>
    </row>
    <row r="156" spans="1:31" s="10" customFormat="1" ht="16.5" x14ac:dyDescent="0.25">
      <c r="A156" s="3">
        <v>146</v>
      </c>
      <c r="B156" s="3" t="s">
        <v>28</v>
      </c>
      <c r="C156" s="5" t="s">
        <v>1166</v>
      </c>
      <c r="D156" s="4" t="s">
        <v>1991</v>
      </c>
      <c r="E156" s="6">
        <v>29</v>
      </c>
      <c r="F156" s="6">
        <v>171</v>
      </c>
      <c r="G156" s="6">
        <v>68.5</v>
      </c>
      <c r="H156" s="6" t="s">
        <v>55</v>
      </c>
      <c r="I156" s="7">
        <v>45792</v>
      </c>
      <c r="J156" s="3"/>
      <c r="K156" s="3"/>
      <c r="L156" s="3"/>
      <c r="M156" s="3"/>
      <c r="N156" s="3"/>
      <c r="O156" s="3"/>
      <c r="P156" s="3" t="s">
        <v>52</v>
      </c>
      <c r="Q156" s="15" t="s">
        <v>133</v>
      </c>
      <c r="R156" s="7">
        <v>45833</v>
      </c>
      <c r="S156" s="6"/>
      <c r="T156" s="6"/>
      <c r="U156" s="6"/>
      <c r="V156" s="11"/>
      <c r="W156" s="6"/>
      <c r="X156" s="6"/>
      <c r="Y156" s="6"/>
      <c r="Z156" s="6"/>
      <c r="AA156" s="8"/>
      <c r="AB156" s="8"/>
      <c r="AC156" s="6"/>
      <c r="AD156" s="6"/>
      <c r="AE156" s="9"/>
    </row>
    <row r="157" spans="1:31" s="10" customFormat="1" ht="31.5" x14ac:dyDescent="0.25">
      <c r="A157" s="3">
        <v>147</v>
      </c>
      <c r="B157" s="3" t="s">
        <v>28</v>
      </c>
      <c r="C157" s="5" t="s">
        <v>1475</v>
      </c>
      <c r="D157" s="4"/>
      <c r="E157" s="6">
        <v>3</v>
      </c>
      <c r="F157" s="6" t="s">
        <v>1476</v>
      </c>
      <c r="G157" s="6" t="s">
        <v>1477</v>
      </c>
      <c r="H157" s="6" t="s">
        <v>55</v>
      </c>
      <c r="I157" s="7">
        <v>45792</v>
      </c>
      <c r="J157" s="3"/>
      <c r="K157" s="3"/>
      <c r="L157" s="3"/>
      <c r="M157" s="3"/>
      <c r="N157" s="3"/>
      <c r="O157" s="3"/>
      <c r="P157" s="3" t="s">
        <v>52</v>
      </c>
      <c r="Q157" s="15" t="s">
        <v>133</v>
      </c>
      <c r="R157" s="7">
        <v>45819</v>
      </c>
      <c r="S157" s="7">
        <v>45820</v>
      </c>
      <c r="T157" s="7">
        <v>45820</v>
      </c>
      <c r="U157" s="6">
        <v>1479</v>
      </c>
      <c r="V157" s="11">
        <v>2644213</v>
      </c>
      <c r="W157" s="6"/>
      <c r="X157" s="6"/>
      <c r="Y157" s="6"/>
      <c r="Z157" s="6"/>
      <c r="AA157" s="8"/>
      <c r="AB157" s="8" t="s">
        <v>2526</v>
      </c>
      <c r="AC157" s="6"/>
      <c r="AD157" s="6"/>
      <c r="AE157" s="9"/>
    </row>
    <row r="158" spans="1:31" s="10" customFormat="1" ht="16.5" x14ac:dyDescent="0.25">
      <c r="A158" s="3">
        <v>148</v>
      </c>
      <c r="B158" s="3" t="s">
        <v>28</v>
      </c>
      <c r="C158" s="5" t="s">
        <v>2034</v>
      </c>
      <c r="D158" s="4" t="s">
        <v>2035</v>
      </c>
      <c r="E158" s="6">
        <v>12</v>
      </c>
      <c r="F158" s="6">
        <v>615</v>
      </c>
      <c r="G158" s="6">
        <v>72.5</v>
      </c>
      <c r="H158" s="6" t="s">
        <v>55</v>
      </c>
      <c r="I158" s="7">
        <v>45792</v>
      </c>
      <c r="J158" s="3"/>
      <c r="K158" s="3"/>
      <c r="L158" s="3"/>
      <c r="M158" s="3"/>
      <c r="N158" s="3"/>
      <c r="O158" s="3"/>
      <c r="P158" s="3" t="s">
        <v>52</v>
      </c>
      <c r="Q158" s="15" t="s">
        <v>133</v>
      </c>
      <c r="R158" s="7">
        <v>45832</v>
      </c>
      <c r="S158" s="7">
        <v>45833</v>
      </c>
      <c r="T158" s="7">
        <v>45833</v>
      </c>
      <c r="U158" s="20">
        <v>1905</v>
      </c>
      <c r="V158" s="11">
        <v>2125468</v>
      </c>
      <c r="W158" s="6"/>
      <c r="X158" s="6"/>
      <c r="Y158" s="6"/>
      <c r="Z158" s="6"/>
      <c r="AA158" s="8"/>
      <c r="AB158" s="8"/>
      <c r="AC158" s="6"/>
      <c r="AD158" s="6"/>
      <c r="AE158" s="9"/>
    </row>
    <row r="159" spans="1:31" s="10" customFormat="1" ht="16.5" x14ac:dyDescent="0.25">
      <c r="A159" s="3">
        <v>149</v>
      </c>
      <c r="B159" s="3" t="s">
        <v>28</v>
      </c>
      <c r="C159" s="5" t="s">
        <v>2132</v>
      </c>
      <c r="D159" s="4" t="s">
        <v>2036</v>
      </c>
      <c r="E159" s="6">
        <v>1</v>
      </c>
      <c r="F159" s="6">
        <v>52</v>
      </c>
      <c r="G159" s="6">
        <v>799.6</v>
      </c>
      <c r="H159" s="6" t="s">
        <v>75</v>
      </c>
      <c r="I159" s="7">
        <v>45792</v>
      </c>
      <c r="J159" s="3"/>
      <c r="K159" s="3"/>
      <c r="L159" s="3"/>
      <c r="M159" s="3"/>
      <c r="N159" s="3"/>
      <c r="O159" s="3" t="s">
        <v>81</v>
      </c>
      <c r="P159" s="3"/>
      <c r="Q159" s="15" t="s">
        <v>133</v>
      </c>
      <c r="R159" s="6"/>
      <c r="S159" s="6"/>
      <c r="T159" s="6"/>
      <c r="U159" s="6"/>
      <c r="V159" s="11"/>
      <c r="W159" s="6"/>
      <c r="X159" s="6"/>
      <c r="Y159" s="6"/>
      <c r="Z159" s="6"/>
      <c r="AA159" s="8"/>
      <c r="AB159" s="8"/>
      <c r="AC159" s="6"/>
      <c r="AD159" s="6"/>
      <c r="AE159" s="9"/>
    </row>
    <row r="160" spans="1:31" s="10" customFormat="1" ht="31.5" x14ac:dyDescent="0.25">
      <c r="A160" s="3">
        <v>150</v>
      </c>
      <c r="B160" s="3" t="s">
        <v>28</v>
      </c>
      <c r="C160" s="5" t="s">
        <v>2057</v>
      </c>
      <c r="D160" s="4" t="s">
        <v>2058</v>
      </c>
      <c r="E160" s="6">
        <v>1</v>
      </c>
      <c r="F160" s="6">
        <v>290</v>
      </c>
      <c r="G160" s="6">
        <v>199.4</v>
      </c>
      <c r="H160" s="6" t="s">
        <v>51</v>
      </c>
      <c r="I160" s="7" t="s">
        <v>2304</v>
      </c>
      <c r="J160" s="3"/>
      <c r="K160" s="3"/>
      <c r="L160" s="3" t="s">
        <v>1</v>
      </c>
      <c r="M160" s="3"/>
      <c r="N160" s="3"/>
      <c r="O160" s="3"/>
      <c r="P160" s="3"/>
      <c r="Q160" s="15" t="s">
        <v>133</v>
      </c>
      <c r="R160" s="6"/>
      <c r="S160" s="6"/>
      <c r="T160" s="6"/>
      <c r="U160" s="6"/>
      <c r="V160" s="11"/>
      <c r="W160" s="6"/>
      <c r="X160" s="6"/>
      <c r="Y160" s="6"/>
      <c r="Z160" s="6"/>
      <c r="AA160" s="8"/>
      <c r="AB160" s="8"/>
      <c r="AC160" s="6"/>
      <c r="AD160" s="6"/>
      <c r="AE160" s="9"/>
    </row>
    <row r="161" spans="1:31" s="10" customFormat="1" ht="31.5" x14ac:dyDescent="0.25">
      <c r="A161" s="3">
        <v>151</v>
      </c>
      <c r="B161" s="3" t="s">
        <v>28</v>
      </c>
      <c r="C161" s="5" t="s">
        <v>2085</v>
      </c>
      <c r="D161" s="4" t="s">
        <v>2086</v>
      </c>
      <c r="E161" s="6">
        <v>28</v>
      </c>
      <c r="F161" s="6">
        <v>30</v>
      </c>
      <c r="G161" s="6">
        <v>161.80000000000001</v>
      </c>
      <c r="H161" s="6" t="s">
        <v>55</v>
      </c>
      <c r="I161" s="7"/>
      <c r="J161" s="3"/>
      <c r="K161" s="3"/>
      <c r="L161" s="3"/>
      <c r="M161" s="3"/>
      <c r="N161" s="3"/>
      <c r="O161" s="3"/>
      <c r="P161" s="3"/>
      <c r="Q161" s="15" t="s">
        <v>190</v>
      </c>
      <c r="R161" s="6"/>
      <c r="S161" s="6"/>
      <c r="T161" s="6"/>
      <c r="U161" s="6"/>
      <c r="V161" s="11"/>
      <c r="W161" s="6"/>
      <c r="X161" s="6"/>
      <c r="Y161" s="6"/>
      <c r="Z161" s="6" t="s">
        <v>2087</v>
      </c>
      <c r="AA161" s="8" t="s">
        <v>2088</v>
      </c>
      <c r="AB161" s="8"/>
      <c r="AC161" s="6"/>
      <c r="AD161" s="6"/>
      <c r="AE161" s="9"/>
    </row>
    <row r="162" spans="1:31" s="10" customFormat="1" ht="39" customHeight="1" x14ac:dyDescent="0.25">
      <c r="A162" s="3">
        <v>152</v>
      </c>
      <c r="B162" s="3" t="s">
        <v>28</v>
      </c>
      <c r="C162" s="5" t="s">
        <v>2093</v>
      </c>
      <c r="D162" s="4" t="s">
        <v>2094</v>
      </c>
      <c r="E162" s="6">
        <v>11</v>
      </c>
      <c r="F162" s="6">
        <v>536</v>
      </c>
      <c r="G162" s="6">
        <v>550.5</v>
      </c>
      <c r="H162" s="6" t="s">
        <v>51</v>
      </c>
      <c r="I162" s="7" t="s">
        <v>2559</v>
      </c>
      <c r="J162" s="3"/>
      <c r="K162" s="3" t="s">
        <v>62</v>
      </c>
      <c r="L162" s="3"/>
      <c r="M162" s="3"/>
      <c r="N162" s="3"/>
      <c r="O162" s="3"/>
      <c r="P162" s="3"/>
      <c r="Q162" s="15" t="s">
        <v>133</v>
      </c>
      <c r="R162" s="6"/>
      <c r="S162" s="6"/>
      <c r="T162" s="6"/>
      <c r="U162" s="6"/>
      <c r="V162" s="11"/>
      <c r="W162" s="6"/>
      <c r="X162" s="6"/>
      <c r="Y162" s="6"/>
      <c r="Z162" s="6"/>
      <c r="AA162" s="8"/>
      <c r="AB162" s="8"/>
      <c r="AC162" s="6"/>
      <c r="AD162" s="6"/>
      <c r="AE162" s="9"/>
    </row>
    <row r="163" spans="1:31" ht="16.5" x14ac:dyDescent="0.25">
      <c r="A163" s="12"/>
      <c r="B163" s="73" t="s">
        <v>2099</v>
      </c>
      <c r="C163" s="74"/>
      <c r="D163" s="74"/>
      <c r="E163" s="74"/>
      <c r="F163" s="74"/>
      <c r="G163" s="74"/>
      <c r="H163" s="75"/>
      <c r="I163" s="13"/>
      <c r="J163" s="14">
        <f>COUNTIF(J157:J162,"CQ")+COUNTIF(J155:J162,"CT")+COUNTIF(J157:J162,"IG")</f>
        <v>1</v>
      </c>
      <c r="K163" s="14">
        <f>COUNTIF(K154:K162,"CMĐ")</f>
        <v>1</v>
      </c>
      <c r="L163" s="14">
        <f>COUNTIF(L155:L162,"XMDT")+COUNTIF(L155:L162,"Mốc")</f>
        <v>1</v>
      </c>
      <c r="M163" s="14">
        <f>COUNTIF(M154:M162,"THÁn")</f>
        <v>0</v>
      </c>
      <c r="N163" s="14">
        <f>COUNTIF(N152:N162,"TÒA")</f>
        <v>0</v>
      </c>
      <c r="O163" s="14">
        <f>COUNTIF(O157:O162,"Cấp GCN")</f>
        <v>1</v>
      </c>
      <c r="P163" s="14">
        <f>COUNTIF(P155:P162,"SHN")</f>
        <v>3</v>
      </c>
      <c r="Q163" s="15"/>
      <c r="R163" s="13"/>
      <c r="S163" s="15"/>
      <c r="T163" s="15"/>
      <c r="U163" s="16"/>
      <c r="V163" s="11"/>
      <c r="W163" s="17"/>
      <c r="X163" s="2"/>
      <c r="AD163" s="14">
        <f>COUNTIF(AD127,"kt")</f>
        <v>0</v>
      </c>
    </row>
    <row r="164" spans="1:31" s="10" customFormat="1" ht="31.5" x14ac:dyDescent="0.25">
      <c r="A164" s="3">
        <v>153</v>
      </c>
      <c r="B164" s="3" t="s">
        <v>28</v>
      </c>
      <c r="C164" s="5" t="s">
        <v>2100</v>
      </c>
      <c r="D164" s="4"/>
      <c r="E164" s="6">
        <v>24</v>
      </c>
      <c r="F164" s="6">
        <v>201</v>
      </c>
      <c r="G164" s="6">
        <v>209.7</v>
      </c>
      <c r="H164" s="6" t="s">
        <v>75</v>
      </c>
      <c r="I164" s="7">
        <v>45797</v>
      </c>
      <c r="J164" s="3" t="s">
        <v>153</v>
      </c>
      <c r="K164" s="3"/>
      <c r="L164" s="3"/>
      <c r="M164" s="3"/>
      <c r="N164" s="3"/>
      <c r="O164" s="3"/>
      <c r="P164" s="3"/>
      <c r="Q164" s="15" t="s">
        <v>133</v>
      </c>
      <c r="R164" s="7">
        <v>45803</v>
      </c>
      <c r="S164" s="7">
        <v>45806</v>
      </c>
      <c r="T164" s="7">
        <v>45806</v>
      </c>
      <c r="U164" s="20">
        <v>1080</v>
      </c>
      <c r="V164" s="11">
        <v>1619454</v>
      </c>
      <c r="W164" s="6"/>
      <c r="X164" s="6"/>
      <c r="Y164" s="6"/>
      <c r="Z164" s="6" t="s">
        <v>2487</v>
      </c>
      <c r="AA164" s="8" t="s">
        <v>2488</v>
      </c>
      <c r="AB164" s="8"/>
      <c r="AC164" s="6"/>
      <c r="AD164" s="6"/>
      <c r="AE164" s="9"/>
    </row>
    <row r="165" spans="1:31" s="10" customFormat="1" ht="31.5" x14ac:dyDescent="0.25">
      <c r="A165" s="3">
        <v>154</v>
      </c>
      <c r="B165" s="3" t="s">
        <v>28</v>
      </c>
      <c r="C165" s="5" t="s">
        <v>2104</v>
      </c>
      <c r="D165" s="4" t="s">
        <v>2105</v>
      </c>
      <c r="E165" s="6">
        <v>18</v>
      </c>
      <c r="F165" s="6" t="s">
        <v>2106</v>
      </c>
      <c r="G165" s="6" t="s">
        <v>2107</v>
      </c>
      <c r="H165" s="6" t="s">
        <v>55</v>
      </c>
      <c r="I165" s="7">
        <v>45797</v>
      </c>
      <c r="J165" s="3"/>
      <c r="K165" s="3"/>
      <c r="L165" s="3"/>
      <c r="M165" s="3"/>
      <c r="N165" s="3"/>
      <c r="O165" s="3"/>
      <c r="P165" s="3" t="s">
        <v>52</v>
      </c>
      <c r="Q165" s="15" t="s">
        <v>133</v>
      </c>
      <c r="R165" s="6"/>
      <c r="S165" s="6"/>
      <c r="T165" s="6"/>
      <c r="U165" s="6"/>
      <c r="V165" s="11"/>
      <c r="W165" s="6"/>
      <c r="X165" s="6"/>
      <c r="Y165" s="6"/>
      <c r="Z165" s="6"/>
      <c r="AA165" s="8"/>
      <c r="AB165" s="8"/>
      <c r="AC165" s="6"/>
      <c r="AD165" s="6"/>
      <c r="AE165" s="9"/>
    </row>
    <row r="166" spans="1:31" s="10" customFormat="1" ht="31.5" x14ac:dyDescent="0.25">
      <c r="A166" s="3">
        <v>155</v>
      </c>
      <c r="B166" s="3" t="s">
        <v>28</v>
      </c>
      <c r="C166" s="5" t="s">
        <v>2162</v>
      </c>
      <c r="D166" s="4" t="s">
        <v>2163</v>
      </c>
      <c r="E166" s="6">
        <v>19</v>
      </c>
      <c r="F166" s="6">
        <v>158</v>
      </c>
      <c r="G166" s="6">
        <v>479.7</v>
      </c>
      <c r="H166" s="6" t="s">
        <v>51</v>
      </c>
      <c r="I166" s="7"/>
      <c r="J166" s="3"/>
      <c r="K166" s="3"/>
      <c r="L166" s="3"/>
      <c r="M166" s="3"/>
      <c r="N166" s="3"/>
      <c r="O166" s="3"/>
      <c r="P166" s="3"/>
      <c r="Q166" s="15" t="s">
        <v>190</v>
      </c>
      <c r="R166" s="7">
        <v>45744</v>
      </c>
      <c r="S166" s="6"/>
      <c r="T166" s="6"/>
      <c r="U166" s="6"/>
      <c r="V166" s="11"/>
      <c r="W166" s="6"/>
      <c r="X166" s="6"/>
      <c r="Y166" s="6"/>
      <c r="Z166" s="6" t="s">
        <v>2164</v>
      </c>
      <c r="AA166" s="8" t="s">
        <v>2165</v>
      </c>
      <c r="AB166" s="8"/>
      <c r="AC166" s="6"/>
      <c r="AD166" s="6"/>
      <c r="AE166" s="9"/>
    </row>
    <row r="167" spans="1:31" s="10" customFormat="1" ht="31.5" x14ac:dyDescent="0.25">
      <c r="A167" s="3">
        <v>156</v>
      </c>
      <c r="B167" s="3" t="s">
        <v>28</v>
      </c>
      <c r="C167" s="5" t="s">
        <v>2179</v>
      </c>
      <c r="D167" s="4" t="s">
        <v>2180</v>
      </c>
      <c r="E167" s="6">
        <v>38</v>
      </c>
      <c r="F167" s="6">
        <v>140</v>
      </c>
      <c r="G167" s="6">
        <v>86.6</v>
      </c>
      <c r="H167" s="6" t="s">
        <v>55</v>
      </c>
      <c r="I167" s="7">
        <v>45800</v>
      </c>
      <c r="J167" s="3"/>
      <c r="K167" s="3"/>
      <c r="L167" s="3"/>
      <c r="M167" s="3"/>
      <c r="N167" s="3"/>
      <c r="O167" s="3"/>
      <c r="P167" s="3" t="s">
        <v>52</v>
      </c>
      <c r="Q167" s="15" t="s">
        <v>133</v>
      </c>
      <c r="R167" s="7">
        <v>45812</v>
      </c>
      <c r="S167" s="7">
        <v>45813</v>
      </c>
      <c r="T167" s="7">
        <v>45813</v>
      </c>
      <c r="U167" s="20">
        <v>1280</v>
      </c>
      <c r="V167" s="11">
        <v>1416978</v>
      </c>
      <c r="W167" s="6"/>
      <c r="X167" s="6"/>
      <c r="Y167" s="6"/>
      <c r="Z167" s="6"/>
      <c r="AA167" s="8"/>
      <c r="AB167" s="8"/>
      <c r="AC167" s="8" t="s">
        <v>2373</v>
      </c>
      <c r="AD167" s="6"/>
      <c r="AE167" s="9"/>
    </row>
    <row r="168" spans="1:31" s="10" customFormat="1" ht="16.5" x14ac:dyDescent="0.25">
      <c r="A168" s="3">
        <v>157</v>
      </c>
      <c r="B168" s="3" t="s">
        <v>28</v>
      </c>
      <c r="C168" s="5" t="s">
        <v>2186</v>
      </c>
      <c r="D168" s="4" t="s">
        <v>2187</v>
      </c>
      <c r="E168" s="6">
        <v>11</v>
      </c>
      <c r="F168" s="6">
        <v>233</v>
      </c>
      <c r="G168" s="6">
        <v>67.599999999999994</v>
      </c>
      <c r="H168" s="6" t="s">
        <v>51</v>
      </c>
      <c r="I168" s="7">
        <v>45799</v>
      </c>
      <c r="J168" s="3"/>
      <c r="K168" s="3"/>
      <c r="L168" s="3" t="s">
        <v>1</v>
      </c>
      <c r="M168" s="3"/>
      <c r="N168" s="3"/>
      <c r="O168" s="3"/>
      <c r="P168" s="3"/>
      <c r="Q168" s="15" t="s">
        <v>133</v>
      </c>
      <c r="R168" s="6"/>
      <c r="S168" s="6"/>
      <c r="T168" s="6"/>
      <c r="U168" s="6"/>
      <c r="V168" s="11"/>
      <c r="W168" s="6"/>
      <c r="X168" s="6"/>
      <c r="Y168" s="6"/>
      <c r="Z168" s="6"/>
      <c r="AA168" s="8"/>
      <c r="AB168" s="8"/>
      <c r="AC168" s="6"/>
      <c r="AD168" s="6"/>
      <c r="AE168" s="9"/>
    </row>
    <row r="169" spans="1:31" s="10" customFormat="1" ht="31.5" x14ac:dyDescent="0.25">
      <c r="A169" s="3">
        <v>158</v>
      </c>
      <c r="B169" s="3" t="s">
        <v>28</v>
      </c>
      <c r="C169" s="5" t="s">
        <v>2188</v>
      </c>
      <c r="D169" s="4" t="s">
        <v>375</v>
      </c>
      <c r="E169" s="6">
        <v>11</v>
      </c>
      <c r="F169" s="6">
        <v>370</v>
      </c>
      <c r="G169" s="6">
        <v>122.3</v>
      </c>
      <c r="H169" s="6" t="s">
        <v>55</v>
      </c>
      <c r="I169" s="7">
        <v>45799</v>
      </c>
      <c r="J169" s="3"/>
      <c r="K169" s="3"/>
      <c r="L169" s="3"/>
      <c r="M169" s="3"/>
      <c r="N169" s="3"/>
      <c r="O169" s="3"/>
      <c r="P169" s="3" t="s">
        <v>52</v>
      </c>
      <c r="Q169" s="15" t="s">
        <v>133</v>
      </c>
      <c r="R169" s="7">
        <v>45827</v>
      </c>
      <c r="S169" s="7">
        <v>45827</v>
      </c>
      <c r="T169" s="7">
        <v>45827</v>
      </c>
      <c r="U169" s="6">
        <v>1664</v>
      </c>
      <c r="V169" s="11">
        <v>1682662</v>
      </c>
      <c r="W169" s="6"/>
      <c r="X169" s="6"/>
      <c r="Y169" s="6"/>
      <c r="Z169" s="6"/>
      <c r="AA169" s="8"/>
      <c r="AB169" s="8"/>
      <c r="AC169" s="8" t="s">
        <v>2654</v>
      </c>
      <c r="AD169" s="6"/>
      <c r="AE169" s="9"/>
    </row>
    <row r="170" spans="1:31" s="10" customFormat="1" ht="63" x14ac:dyDescent="0.25">
      <c r="A170" s="3">
        <v>159</v>
      </c>
      <c r="B170" s="3" t="s">
        <v>28</v>
      </c>
      <c r="C170" s="5" t="s">
        <v>2093</v>
      </c>
      <c r="D170" s="4" t="s">
        <v>2094</v>
      </c>
      <c r="E170" s="6">
        <v>11</v>
      </c>
      <c r="F170" s="6">
        <v>536</v>
      </c>
      <c r="G170" s="6">
        <v>550.5</v>
      </c>
      <c r="H170" s="6" t="s">
        <v>51</v>
      </c>
      <c r="I170" s="7">
        <v>45799</v>
      </c>
      <c r="J170" s="3"/>
      <c r="K170" s="3"/>
      <c r="L170" s="3" t="s">
        <v>98</v>
      </c>
      <c r="M170" s="3"/>
      <c r="N170" s="3"/>
      <c r="O170" s="3"/>
      <c r="P170" s="3"/>
      <c r="Q170" s="15" t="s">
        <v>133</v>
      </c>
      <c r="R170" s="7">
        <v>45814</v>
      </c>
      <c r="S170" s="7">
        <v>45829</v>
      </c>
      <c r="T170" s="7">
        <v>45829</v>
      </c>
      <c r="U170" s="6">
        <v>1787</v>
      </c>
      <c r="V170" s="11">
        <v>2409508</v>
      </c>
      <c r="W170" s="6"/>
      <c r="X170" s="6"/>
      <c r="Y170" s="6"/>
      <c r="Z170" s="6"/>
      <c r="AA170" s="8"/>
      <c r="AB170" s="8"/>
      <c r="AC170" s="6" t="s">
        <v>2204</v>
      </c>
      <c r="AD170" s="6"/>
      <c r="AE170" s="9"/>
    </row>
    <row r="171" spans="1:31" ht="16.5" x14ac:dyDescent="0.25">
      <c r="A171" s="12"/>
      <c r="B171" s="73" t="s">
        <v>2208</v>
      </c>
      <c r="C171" s="74"/>
      <c r="D171" s="74"/>
      <c r="E171" s="74"/>
      <c r="F171" s="74"/>
      <c r="G171" s="74"/>
      <c r="H171" s="75"/>
      <c r="I171" s="13"/>
      <c r="J171" s="14">
        <f>COUNTIF(J164:J170,"CQ")+COUNTIF(J163:J170,"CT")+COUNTIF(J165:J170,"IG")</f>
        <v>1</v>
      </c>
      <c r="K171" s="14">
        <f>COUNTIF(K164:K170,"CMĐ")</f>
        <v>0</v>
      </c>
      <c r="L171" s="14">
        <f>COUNTIF(L163:L170,"XMDT")+COUNTIF(L163:L170,"Mốc")</f>
        <v>2</v>
      </c>
      <c r="M171" s="14">
        <f>COUNTIF(M162:M170,"THÁn")</f>
        <v>0</v>
      </c>
      <c r="N171" s="14">
        <f>COUNTIF(N160:N170,"TÒA")</f>
        <v>0</v>
      </c>
      <c r="O171" s="14">
        <f>COUNTIF(O165:O170,"Cấp GCN")</f>
        <v>0</v>
      </c>
      <c r="P171" s="14">
        <f>COUNTIF(P163:P170,"SHN")</f>
        <v>3</v>
      </c>
      <c r="Q171" s="15"/>
      <c r="R171" s="13"/>
      <c r="S171" s="15"/>
      <c r="T171" s="15"/>
      <c r="U171" s="16"/>
      <c r="V171" s="11"/>
      <c r="W171" s="17"/>
      <c r="X171" s="2"/>
      <c r="AD171" s="14">
        <f>COUNTIF(AD135,"kt")</f>
        <v>0</v>
      </c>
    </row>
    <row r="172" spans="1:31" s="10" customFormat="1" ht="16.5" x14ac:dyDescent="0.25">
      <c r="A172" s="3">
        <v>160</v>
      </c>
      <c r="B172" s="3" t="s">
        <v>28</v>
      </c>
      <c r="C172" s="5" t="s">
        <v>868</v>
      </c>
      <c r="D172" s="4" t="s">
        <v>2229</v>
      </c>
      <c r="E172" s="6">
        <v>16</v>
      </c>
      <c r="F172" s="6">
        <v>93</v>
      </c>
      <c r="G172" s="6">
        <v>794.3</v>
      </c>
      <c r="H172" s="6" t="s">
        <v>51</v>
      </c>
      <c r="I172" s="7">
        <v>45803</v>
      </c>
      <c r="J172" s="3"/>
      <c r="K172" s="3" t="s">
        <v>62</v>
      </c>
      <c r="L172" s="3"/>
      <c r="M172" s="3"/>
      <c r="N172" s="3"/>
      <c r="O172" s="3"/>
      <c r="P172" s="3"/>
      <c r="Q172" s="15" t="s">
        <v>133</v>
      </c>
      <c r="R172" s="6"/>
      <c r="S172" s="6"/>
      <c r="T172" s="6"/>
      <c r="U172" s="6"/>
      <c r="V172" s="11"/>
      <c r="W172" s="6"/>
      <c r="X172" s="6"/>
      <c r="Y172" s="6"/>
      <c r="Z172" s="6"/>
      <c r="AA172" s="8"/>
      <c r="AB172" s="8"/>
      <c r="AC172" s="6"/>
      <c r="AD172" s="6"/>
      <c r="AE172" s="9"/>
    </row>
    <row r="173" spans="1:31" s="10" customFormat="1" ht="16.5" x14ac:dyDescent="0.25">
      <c r="A173" s="3">
        <v>161</v>
      </c>
      <c r="B173" s="3" t="s">
        <v>28</v>
      </c>
      <c r="C173" s="5" t="s">
        <v>2243</v>
      </c>
      <c r="D173" s="4" t="s">
        <v>2244</v>
      </c>
      <c r="E173" s="6">
        <v>23</v>
      </c>
      <c r="F173" s="6">
        <v>140</v>
      </c>
      <c r="G173" s="6">
        <v>503.9</v>
      </c>
      <c r="H173" s="6" t="s">
        <v>55</v>
      </c>
      <c r="I173" s="7">
        <v>45803</v>
      </c>
      <c r="J173" s="3" t="s">
        <v>76</v>
      </c>
      <c r="K173" s="3"/>
      <c r="L173" s="3"/>
      <c r="M173" s="3"/>
      <c r="N173" s="3"/>
      <c r="O173" s="3"/>
      <c r="P173" s="3"/>
      <c r="Q173" s="15" t="s">
        <v>133</v>
      </c>
      <c r="R173" s="6"/>
      <c r="S173" s="6"/>
      <c r="T173" s="6"/>
      <c r="U173" s="6"/>
      <c r="V173" s="11"/>
      <c r="W173" s="6"/>
      <c r="X173" s="6"/>
      <c r="Y173" s="6"/>
      <c r="Z173" s="6"/>
      <c r="AA173" s="8"/>
      <c r="AB173" s="8"/>
      <c r="AC173" s="6"/>
      <c r="AD173" s="6"/>
      <c r="AE173" s="9"/>
    </row>
    <row r="174" spans="1:31" s="10" customFormat="1" ht="31.5" x14ac:dyDescent="0.25">
      <c r="A174" s="3">
        <v>162</v>
      </c>
      <c r="B174" s="3" t="s">
        <v>28</v>
      </c>
      <c r="C174" s="5" t="s">
        <v>2274</v>
      </c>
      <c r="D174" s="4"/>
      <c r="E174" s="6">
        <v>18</v>
      </c>
      <c r="F174" s="6">
        <v>1269</v>
      </c>
      <c r="G174" s="6">
        <v>98.9</v>
      </c>
      <c r="H174" s="6" t="s">
        <v>55</v>
      </c>
      <c r="I174" s="7">
        <v>45805</v>
      </c>
      <c r="J174" s="3"/>
      <c r="K174" s="3"/>
      <c r="L174" s="3"/>
      <c r="M174" s="3"/>
      <c r="N174" s="3"/>
      <c r="O174" s="3"/>
      <c r="P174" s="3" t="s">
        <v>52</v>
      </c>
      <c r="Q174" s="15" t="s">
        <v>133</v>
      </c>
      <c r="R174" s="7">
        <v>45825</v>
      </c>
      <c r="S174" s="7">
        <v>45825</v>
      </c>
      <c r="T174" s="7">
        <v>45825</v>
      </c>
      <c r="U174" s="6">
        <v>1617</v>
      </c>
      <c r="V174" s="11">
        <v>2125468</v>
      </c>
      <c r="W174" s="36" t="s">
        <v>2584</v>
      </c>
      <c r="X174" s="6"/>
      <c r="Y174" s="6"/>
      <c r="Z174" s="6"/>
      <c r="AA174" s="8"/>
      <c r="AB174" s="8"/>
      <c r="AC174" s="6" t="s">
        <v>2604</v>
      </c>
      <c r="AD174" s="6"/>
      <c r="AE174" s="9" t="s">
        <v>2276</v>
      </c>
    </row>
    <row r="175" spans="1:31" s="10" customFormat="1" ht="31.5" x14ac:dyDescent="0.25">
      <c r="A175" s="3">
        <v>163</v>
      </c>
      <c r="B175" s="3" t="s">
        <v>28</v>
      </c>
      <c r="C175" s="5" t="s">
        <v>1611</v>
      </c>
      <c r="D175" s="4"/>
      <c r="E175" s="6">
        <v>18</v>
      </c>
      <c r="F175" s="6">
        <v>1268</v>
      </c>
      <c r="G175" s="6">
        <v>98.2</v>
      </c>
      <c r="H175" s="6" t="s">
        <v>55</v>
      </c>
      <c r="I175" s="7">
        <v>45805</v>
      </c>
      <c r="J175" s="3"/>
      <c r="K175" s="3"/>
      <c r="L175" s="3"/>
      <c r="M175" s="3"/>
      <c r="N175" s="3"/>
      <c r="O175" s="3"/>
      <c r="P175" s="3" t="s">
        <v>52</v>
      </c>
      <c r="Q175" s="15" t="s">
        <v>133</v>
      </c>
      <c r="R175" s="7">
        <v>45825</v>
      </c>
      <c r="S175" s="7">
        <v>45825</v>
      </c>
      <c r="T175" s="7">
        <v>45825</v>
      </c>
      <c r="U175" s="6">
        <v>1618</v>
      </c>
      <c r="V175" s="11">
        <v>2125468</v>
      </c>
      <c r="W175" s="6"/>
      <c r="X175" s="6"/>
      <c r="Y175" s="6"/>
      <c r="Z175" s="6"/>
      <c r="AA175" s="8"/>
      <c r="AB175" s="8"/>
      <c r="AC175" s="6" t="s">
        <v>2604</v>
      </c>
      <c r="AD175" s="6"/>
      <c r="AE175" s="9" t="s">
        <v>2276</v>
      </c>
    </row>
    <row r="176" spans="1:31" s="10" customFormat="1" ht="16.5" x14ac:dyDescent="0.25">
      <c r="A176" s="3">
        <v>164</v>
      </c>
      <c r="B176" s="3" t="s">
        <v>28</v>
      </c>
      <c r="C176" s="5" t="s">
        <v>783</v>
      </c>
      <c r="D176" s="4" t="s">
        <v>784</v>
      </c>
      <c r="E176" s="6">
        <v>17</v>
      </c>
      <c r="F176" s="6">
        <v>454</v>
      </c>
      <c r="G176" s="6">
        <v>2457.6</v>
      </c>
      <c r="H176" s="6" t="s">
        <v>75</v>
      </c>
      <c r="I176" s="7">
        <v>45807</v>
      </c>
      <c r="J176" s="3"/>
      <c r="K176" s="3" t="s">
        <v>62</v>
      </c>
      <c r="L176" s="3"/>
      <c r="M176" s="3"/>
      <c r="N176" s="3"/>
      <c r="O176" s="3"/>
      <c r="P176" s="3"/>
      <c r="Q176" s="15" t="s">
        <v>133</v>
      </c>
      <c r="R176" s="7">
        <v>45827</v>
      </c>
      <c r="S176" s="7">
        <v>45827</v>
      </c>
      <c r="T176" s="7">
        <v>45827</v>
      </c>
      <c r="U176" s="6">
        <v>1684</v>
      </c>
      <c r="V176" s="11">
        <v>961551</v>
      </c>
      <c r="W176" s="6"/>
      <c r="X176" s="6"/>
      <c r="Y176" s="6"/>
      <c r="Z176" s="6"/>
      <c r="AA176" s="8"/>
      <c r="AB176" s="8"/>
      <c r="AC176" s="6"/>
      <c r="AD176" s="6"/>
      <c r="AE176" s="9"/>
    </row>
    <row r="177" spans="1:31" ht="16.5" x14ac:dyDescent="0.25">
      <c r="A177" s="12"/>
      <c r="B177" s="73" t="s">
        <v>2324</v>
      </c>
      <c r="C177" s="74"/>
      <c r="D177" s="74"/>
      <c r="E177" s="74"/>
      <c r="F177" s="74"/>
      <c r="G177" s="74"/>
      <c r="H177" s="75"/>
      <c r="I177" s="13"/>
      <c r="J177" s="14">
        <f>COUNTIF(J170:J176,"CQ")+COUNTIF(J169:J176,"CT")+COUNTIF(J171:J176,"IG")</f>
        <v>1</v>
      </c>
      <c r="K177" s="14">
        <f>COUNTIF(K170:K176,"CMĐ")</f>
        <v>2</v>
      </c>
      <c r="L177" s="14">
        <f>COUNTIF(L172:L176,"XMDT")+COUNTIF(L172:L176,"Mốc")</f>
        <v>0</v>
      </c>
      <c r="M177" s="14">
        <f>COUNTIF(M168:M176,"THÁn")</f>
        <v>0</v>
      </c>
      <c r="N177" s="14">
        <f>COUNTIF(N166:N176,"TÒA")</f>
        <v>0</v>
      </c>
      <c r="O177" s="14">
        <f>COUNTIF(O171:O176,"Cấp GCN")</f>
        <v>0</v>
      </c>
      <c r="P177" s="14">
        <f>COUNTIF(P172:P176,"SHN")</f>
        <v>2</v>
      </c>
      <c r="Q177" s="15"/>
      <c r="R177" s="13"/>
      <c r="S177" s="15"/>
      <c r="T177" s="15"/>
      <c r="U177" s="16"/>
      <c r="V177" s="11"/>
      <c r="W177" s="17"/>
      <c r="X177" s="2"/>
      <c r="AD177" s="14">
        <f>COUNTIF(AD141,"kt")</f>
        <v>0</v>
      </c>
    </row>
    <row r="178" spans="1:31" s="10" customFormat="1" ht="31.5" x14ac:dyDescent="0.25">
      <c r="A178" s="3">
        <v>165</v>
      </c>
      <c r="B178" s="3" t="s">
        <v>28</v>
      </c>
      <c r="C178" s="5" t="s">
        <v>835</v>
      </c>
      <c r="D178" s="4"/>
      <c r="E178" s="6">
        <v>19</v>
      </c>
      <c r="F178" s="6">
        <v>816</v>
      </c>
      <c r="G178" s="6">
        <v>277.60000000000002</v>
      </c>
      <c r="H178" s="6" t="s">
        <v>55</v>
      </c>
      <c r="I178" s="7">
        <v>45811</v>
      </c>
      <c r="J178" s="3" t="s">
        <v>823</v>
      </c>
      <c r="K178" s="3"/>
      <c r="L178" s="3"/>
      <c r="M178" s="3"/>
      <c r="N178" s="3"/>
      <c r="O178" s="3"/>
      <c r="P178" s="3"/>
      <c r="Q178" s="15" t="s">
        <v>133</v>
      </c>
      <c r="R178" s="7">
        <v>45828</v>
      </c>
      <c r="S178" s="7">
        <v>45832</v>
      </c>
      <c r="T178" s="7">
        <v>45832</v>
      </c>
      <c r="U178" s="6">
        <v>1840</v>
      </c>
      <c r="V178" s="11">
        <v>1619454</v>
      </c>
      <c r="W178" s="6"/>
      <c r="X178" s="6"/>
      <c r="Y178" s="6"/>
      <c r="Z178" s="6" t="s">
        <v>2720</v>
      </c>
      <c r="AA178" s="8" t="s">
        <v>2707</v>
      </c>
      <c r="AB178" s="8"/>
      <c r="AC178" s="6"/>
      <c r="AD178" s="6"/>
      <c r="AE178" s="9"/>
    </row>
    <row r="179" spans="1:31" s="10" customFormat="1" ht="16.5" x14ac:dyDescent="0.25">
      <c r="A179" s="3">
        <v>166</v>
      </c>
      <c r="B179" s="3" t="s">
        <v>28</v>
      </c>
      <c r="C179" s="5" t="s">
        <v>2347</v>
      </c>
      <c r="D179" s="4" t="s">
        <v>2348</v>
      </c>
      <c r="E179" s="6">
        <v>21</v>
      </c>
      <c r="F179" s="6">
        <v>11</v>
      </c>
      <c r="G179" s="6">
        <v>382.4</v>
      </c>
      <c r="H179" s="6" t="s">
        <v>51</v>
      </c>
      <c r="I179" s="7">
        <v>45810</v>
      </c>
      <c r="J179" s="3"/>
      <c r="K179" s="3" t="s">
        <v>62</v>
      </c>
      <c r="L179" s="3"/>
      <c r="M179" s="3"/>
      <c r="N179" s="3"/>
      <c r="O179" s="3"/>
      <c r="P179" s="3"/>
      <c r="Q179" s="15" t="s">
        <v>133</v>
      </c>
      <c r="R179" s="6"/>
      <c r="S179" s="6"/>
      <c r="T179" s="6"/>
      <c r="U179" s="6"/>
      <c r="V179" s="11"/>
      <c r="W179" s="6"/>
      <c r="X179" s="6"/>
      <c r="Y179" s="6"/>
      <c r="Z179" s="6"/>
      <c r="AA179" s="8"/>
      <c r="AB179" s="8"/>
      <c r="AC179" s="6"/>
      <c r="AD179" s="6"/>
      <c r="AE179" s="9"/>
    </row>
    <row r="180" spans="1:31" s="10" customFormat="1" ht="16.5" x14ac:dyDescent="0.25">
      <c r="A180" s="3">
        <v>167</v>
      </c>
      <c r="B180" s="3" t="s">
        <v>28</v>
      </c>
      <c r="C180" s="5" t="s">
        <v>1134</v>
      </c>
      <c r="D180" s="4"/>
      <c r="E180" s="6">
        <v>7</v>
      </c>
      <c r="F180" s="6">
        <v>284</v>
      </c>
      <c r="G180" s="6">
        <v>515</v>
      </c>
      <c r="H180" s="6" t="s">
        <v>75</v>
      </c>
      <c r="I180" s="7">
        <v>45811</v>
      </c>
      <c r="J180" s="3"/>
      <c r="K180" s="3" t="s">
        <v>62</v>
      </c>
      <c r="L180" s="3"/>
      <c r="M180" s="3"/>
      <c r="N180" s="3"/>
      <c r="O180" s="3"/>
      <c r="P180" s="3"/>
      <c r="Q180" s="15" t="s">
        <v>133</v>
      </c>
      <c r="R180" s="7">
        <v>45828</v>
      </c>
      <c r="S180" s="7">
        <v>45828</v>
      </c>
      <c r="T180" s="7">
        <v>45828</v>
      </c>
      <c r="U180" s="6">
        <v>1725</v>
      </c>
      <c r="V180" s="11">
        <v>809727</v>
      </c>
      <c r="W180" s="6"/>
      <c r="X180" s="6"/>
      <c r="Y180" s="6"/>
      <c r="Z180" s="6"/>
      <c r="AA180" s="8"/>
      <c r="AB180" s="8"/>
      <c r="AC180" s="6"/>
      <c r="AD180" s="6"/>
      <c r="AE180" s="9" t="s">
        <v>1087</v>
      </c>
    </row>
    <row r="181" spans="1:31" s="10" customFormat="1" ht="16.5" x14ac:dyDescent="0.25">
      <c r="A181" s="3">
        <v>168</v>
      </c>
      <c r="B181" s="3" t="s">
        <v>28</v>
      </c>
      <c r="C181" s="5" t="s">
        <v>2349</v>
      </c>
      <c r="D181" s="4" t="s">
        <v>2350</v>
      </c>
      <c r="E181" s="6">
        <v>24</v>
      </c>
      <c r="F181" s="6">
        <v>457</v>
      </c>
      <c r="G181" s="6">
        <v>286.3</v>
      </c>
      <c r="H181" s="6" t="s">
        <v>75</v>
      </c>
      <c r="I181" s="7">
        <v>45810</v>
      </c>
      <c r="J181" s="3" t="s">
        <v>153</v>
      </c>
      <c r="K181" s="3"/>
      <c r="L181" s="3"/>
      <c r="M181" s="3"/>
      <c r="N181" s="3"/>
      <c r="O181" s="3"/>
      <c r="P181" s="3"/>
      <c r="Q181" s="15" t="s">
        <v>133</v>
      </c>
      <c r="R181" s="6"/>
      <c r="S181" s="6"/>
      <c r="T181" s="6"/>
      <c r="U181" s="6"/>
      <c r="V181" s="11"/>
      <c r="W181" s="6"/>
      <c r="X181" s="6"/>
      <c r="Y181" s="6"/>
      <c r="Z181" s="6"/>
      <c r="AA181" s="8"/>
      <c r="AB181" s="8"/>
      <c r="AC181" s="6"/>
      <c r="AD181" s="6"/>
      <c r="AE181" s="9"/>
    </row>
    <row r="182" spans="1:31" s="10" customFormat="1" ht="16.5" x14ac:dyDescent="0.25">
      <c r="A182" s="3">
        <v>169</v>
      </c>
      <c r="B182" s="3" t="s">
        <v>28</v>
      </c>
      <c r="C182" s="5" t="s">
        <v>262</v>
      </c>
      <c r="D182" s="4" t="s">
        <v>263</v>
      </c>
      <c r="E182" s="6">
        <v>19</v>
      </c>
      <c r="F182" s="6">
        <v>814</v>
      </c>
      <c r="G182" s="6">
        <v>57</v>
      </c>
      <c r="H182" s="6" t="s">
        <v>55</v>
      </c>
      <c r="I182" s="7">
        <v>45812</v>
      </c>
      <c r="J182" s="3"/>
      <c r="K182" s="3"/>
      <c r="L182" s="3"/>
      <c r="M182" s="3"/>
      <c r="N182" s="3"/>
      <c r="O182" s="3"/>
      <c r="P182" s="3" t="s">
        <v>52</v>
      </c>
      <c r="Q182" s="15" t="s">
        <v>133</v>
      </c>
      <c r="R182" s="6"/>
      <c r="S182" s="6"/>
      <c r="T182" s="6"/>
      <c r="U182" s="6"/>
      <c r="V182" s="11"/>
      <c r="W182" s="6"/>
      <c r="X182" s="6"/>
      <c r="Y182" s="6"/>
      <c r="Z182" s="6"/>
      <c r="AA182" s="8"/>
      <c r="AB182" s="8"/>
      <c r="AC182" s="6"/>
      <c r="AD182" s="6"/>
      <c r="AE182" s="9"/>
    </row>
    <row r="183" spans="1:31" s="10" customFormat="1" ht="16.5" x14ac:dyDescent="0.25">
      <c r="A183" s="3">
        <v>170</v>
      </c>
      <c r="B183" s="3" t="s">
        <v>28</v>
      </c>
      <c r="C183" s="5" t="s">
        <v>2375</v>
      </c>
      <c r="D183" s="4" t="s">
        <v>2376</v>
      </c>
      <c r="E183" s="6">
        <v>27</v>
      </c>
      <c r="F183" s="6">
        <v>330</v>
      </c>
      <c r="G183" s="6">
        <v>108.8</v>
      </c>
      <c r="H183" s="6" t="s">
        <v>55</v>
      </c>
      <c r="I183" s="7">
        <v>45817</v>
      </c>
      <c r="J183" s="3" t="s">
        <v>76</v>
      </c>
      <c r="K183" s="3"/>
      <c r="L183" s="3"/>
      <c r="M183" s="3"/>
      <c r="N183" s="3"/>
      <c r="O183" s="3"/>
      <c r="P183" s="3"/>
      <c r="Q183" s="15" t="s">
        <v>133</v>
      </c>
      <c r="R183" s="6"/>
      <c r="S183" s="6"/>
      <c r="T183" s="6"/>
      <c r="U183" s="6"/>
      <c r="V183" s="11"/>
      <c r="W183" s="6"/>
      <c r="X183" s="6"/>
      <c r="Y183" s="6"/>
      <c r="Z183" s="6"/>
      <c r="AA183" s="8"/>
      <c r="AB183" s="8"/>
      <c r="AC183" s="6"/>
      <c r="AD183" s="6"/>
      <c r="AE183" s="9"/>
    </row>
    <row r="184" spans="1:31" ht="16.5" x14ac:dyDescent="0.25">
      <c r="A184" s="12"/>
      <c r="B184" s="73" t="s">
        <v>2377</v>
      </c>
      <c r="C184" s="74"/>
      <c r="D184" s="74"/>
      <c r="E184" s="74"/>
      <c r="F184" s="74"/>
      <c r="G184" s="74"/>
      <c r="H184" s="75"/>
      <c r="I184" s="13"/>
      <c r="J184" s="14">
        <f>COUNTIF(J177:J183,"CQ")+COUNTIF(J176:J183,"CT")+COUNTIF(J178:J183,"IG")</f>
        <v>3</v>
      </c>
      <c r="K184" s="14">
        <f>COUNTIF(K177:K183,"CMĐ")</f>
        <v>2</v>
      </c>
      <c r="L184" s="14">
        <f>COUNTIF(L179:L183,"XMDT")+COUNTIF(L179:L183,"Mốc")</f>
        <v>0</v>
      </c>
      <c r="M184" s="14">
        <f>COUNTIF(M175:M183,"THÁn")</f>
        <v>0</v>
      </c>
      <c r="N184" s="14">
        <f>COUNTIF(N173:N183,"TÒA")</f>
        <v>0</v>
      </c>
      <c r="O184" s="14">
        <f>COUNTIF(O178:O183,"Cấp GCN")</f>
        <v>0</v>
      </c>
      <c r="P184" s="14">
        <f>COUNTIF(P179:P183,"SHN")</f>
        <v>1</v>
      </c>
      <c r="Q184" s="15"/>
      <c r="R184" s="13"/>
      <c r="S184" s="15"/>
      <c r="T184" s="15"/>
      <c r="U184" s="16"/>
      <c r="V184" s="11"/>
      <c r="W184" s="17"/>
      <c r="X184" s="2"/>
      <c r="AD184" s="14">
        <f>COUNTIF(AD148,"kt")</f>
        <v>0</v>
      </c>
    </row>
    <row r="185" spans="1:31" s="10" customFormat="1" ht="16.5" x14ac:dyDescent="0.25">
      <c r="A185" s="3">
        <v>171</v>
      </c>
      <c r="B185" s="3" t="s">
        <v>28</v>
      </c>
      <c r="C185" s="5" t="s">
        <v>2405</v>
      </c>
      <c r="D185" s="4" t="s">
        <v>2406</v>
      </c>
      <c r="E185" s="6">
        <v>27</v>
      </c>
      <c r="F185" s="6">
        <v>211</v>
      </c>
      <c r="G185" s="6">
        <v>633.9</v>
      </c>
      <c r="H185" s="6" t="s">
        <v>51</v>
      </c>
      <c r="I185" s="7">
        <v>45817</v>
      </c>
      <c r="J185" s="3"/>
      <c r="K185" s="3" t="s">
        <v>62</v>
      </c>
      <c r="L185" s="3"/>
      <c r="M185" s="3"/>
      <c r="N185" s="3"/>
      <c r="O185" s="3"/>
      <c r="P185" s="3"/>
      <c r="Q185" s="15" t="s">
        <v>133</v>
      </c>
      <c r="R185" s="6"/>
      <c r="S185" s="6"/>
      <c r="T185" s="6"/>
      <c r="U185" s="6"/>
      <c r="V185" s="11"/>
      <c r="W185" s="6"/>
      <c r="X185" s="6"/>
      <c r="Y185" s="6"/>
      <c r="Z185" s="6"/>
      <c r="AA185" s="8"/>
      <c r="AB185" s="8"/>
      <c r="AC185" s="6"/>
      <c r="AD185" s="6"/>
      <c r="AE185" s="9"/>
    </row>
    <row r="186" spans="1:31" s="10" customFormat="1" ht="47.25" x14ac:dyDescent="0.25">
      <c r="A186" s="3">
        <v>172</v>
      </c>
      <c r="B186" s="3" t="s">
        <v>28</v>
      </c>
      <c r="C186" s="5" t="s">
        <v>2427</v>
      </c>
      <c r="D186" s="4" t="s">
        <v>2428</v>
      </c>
      <c r="E186" s="6">
        <v>3</v>
      </c>
      <c r="F186" s="6">
        <v>190</v>
      </c>
      <c r="G186" s="6">
        <v>78.7</v>
      </c>
      <c r="H186" s="6" t="s">
        <v>2429</v>
      </c>
      <c r="I186" s="7">
        <v>45818</v>
      </c>
      <c r="J186" s="3" t="s">
        <v>1674</v>
      </c>
      <c r="K186" s="3"/>
      <c r="L186" s="3"/>
      <c r="M186" s="3"/>
      <c r="N186" s="3"/>
      <c r="O186" s="3"/>
      <c r="P186" s="3"/>
      <c r="Q186" s="15" t="s">
        <v>133</v>
      </c>
      <c r="R186" s="6"/>
      <c r="S186" s="6"/>
      <c r="T186" s="6"/>
      <c r="U186" s="6"/>
      <c r="V186" s="11"/>
      <c r="W186" s="6"/>
      <c r="X186" s="6"/>
      <c r="Y186" s="6"/>
      <c r="Z186" s="6"/>
      <c r="AA186" s="8"/>
      <c r="AB186" s="8"/>
      <c r="AC186" s="6"/>
      <c r="AD186" s="6"/>
      <c r="AE186" s="9"/>
    </row>
    <row r="187" spans="1:31" s="10" customFormat="1" ht="16.5" x14ac:dyDescent="0.25">
      <c r="A187" s="3">
        <v>173</v>
      </c>
      <c r="B187" s="3" t="s">
        <v>28</v>
      </c>
      <c r="C187" s="5" t="s">
        <v>2443</v>
      </c>
      <c r="D187" s="4" t="s">
        <v>2444</v>
      </c>
      <c r="E187" s="6">
        <v>36</v>
      </c>
      <c r="F187" s="6">
        <v>101</v>
      </c>
      <c r="G187" s="6">
        <v>236</v>
      </c>
      <c r="H187" s="6" t="s">
        <v>75</v>
      </c>
      <c r="I187" s="7">
        <v>45818</v>
      </c>
      <c r="J187" s="3"/>
      <c r="K187" s="3" t="s">
        <v>62</v>
      </c>
      <c r="L187" s="3"/>
      <c r="M187" s="3"/>
      <c r="N187" s="3"/>
      <c r="O187" s="3"/>
      <c r="P187" s="3"/>
      <c r="Q187" s="15" t="s">
        <v>133</v>
      </c>
      <c r="R187" s="7">
        <v>45838</v>
      </c>
      <c r="S187" s="7">
        <v>45838</v>
      </c>
      <c r="T187" s="6"/>
      <c r="U187" s="6"/>
      <c r="V187" s="11"/>
      <c r="W187" s="6"/>
      <c r="X187" s="6"/>
      <c r="Y187" s="6"/>
      <c r="Z187" s="6"/>
      <c r="AA187" s="8"/>
      <c r="AB187" s="8"/>
      <c r="AC187" s="6"/>
      <c r="AD187" s="6"/>
      <c r="AE187" s="9"/>
    </row>
    <row r="188" spans="1:31" s="10" customFormat="1" ht="16.5" x14ac:dyDescent="0.25">
      <c r="A188" s="3">
        <v>174</v>
      </c>
      <c r="B188" s="3" t="s">
        <v>28</v>
      </c>
      <c r="C188" s="5" t="s">
        <v>2450</v>
      </c>
      <c r="D188" s="4" t="s">
        <v>2451</v>
      </c>
      <c r="E188" s="6">
        <v>17</v>
      </c>
      <c r="F188" s="6">
        <v>656</v>
      </c>
      <c r="G188" s="6">
        <v>1762.6</v>
      </c>
      <c r="H188" s="6" t="s">
        <v>75</v>
      </c>
      <c r="I188" s="7">
        <v>45818</v>
      </c>
      <c r="J188" s="3"/>
      <c r="K188" s="3"/>
      <c r="L188" s="3" t="s">
        <v>1</v>
      </c>
      <c r="M188" s="3"/>
      <c r="N188" s="3"/>
      <c r="O188" s="3"/>
      <c r="P188" s="3"/>
      <c r="Q188" s="15" t="s">
        <v>133</v>
      </c>
      <c r="R188" s="6"/>
      <c r="S188" s="6"/>
      <c r="T188" s="6"/>
      <c r="U188" s="6"/>
      <c r="V188" s="11"/>
      <c r="W188" s="6"/>
      <c r="X188" s="6"/>
      <c r="Y188" s="6"/>
      <c r="Z188" s="6"/>
      <c r="AA188" s="8"/>
      <c r="AB188" s="8"/>
      <c r="AC188" s="6"/>
      <c r="AD188" s="6"/>
      <c r="AE188" s="9"/>
    </row>
    <row r="189" spans="1:31" s="10" customFormat="1" ht="16.5" x14ac:dyDescent="0.25">
      <c r="A189" s="3">
        <v>175</v>
      </c>
      <c r="B189" s="3" t="s">
        <v>28</v>
      </c>
      <c r="C189" s="5" t="s">
        <v>2456</v>
      </c>
      <c r="D189" s="4" t="s">
        <v>2457</v>
      </c>
      <c r="E189" s="6">
        <v>27</v>
      </c>
      <c r="F189" s="6">
        <v>97</v>
      </c>
      <c r="G189" s="6">
        <v>180.3</v>
      </c>
      <c r="H189" s="6" t="s">
        <v>279</v>
      </c>
      <c r="I189" s="7">
        <v>45819</v>
      </c>
      <c r="J189" s="3"/>
      <c r="K189" s="3"/>
      <c r="L189" s="3" t="s">
        <v>1</v>
      </c>
      <c r="M189" s="3"/>
      <c r="N189" s="3"/>
      <c r="O189" s="3"/>
      <c r="P189" s="3"/>
      <c r="Q189" s="15" t="s">
        <v>133</v>
      </c>
      <c r="R189" s="7">
        <v>45838</v>
      </c>
      <c r="S189" s="6"/>
      <c r="T189" s="6"/>
      <c r="U189" s="6"/>
      <c r="V189" s="11"/>
      <c r="W189" s="6"/>
      <c r="X189" s="6"/>
      <c r="Y189" s="6"/>
      <c r="Z189" s="6"/>
      <c r="AA189" s="8"/>
      <c r="AB189" s="8"/>
      <c r="AC189" s="6"/>
      <c r="AD189" s="6"/>
      <c r="AE189" s="9"/>
    </row>
    <row r="190" spans="1:31" s="10" customFormat="1" ht="16.5" x14ac:dyDescent="0.25">
      <c r="A190" s="3">
        <v>176</v>
      </c>
      <c r="B190" s="3" t="s">
        <v>28</v>
      </c>
      <c r="C190" s="5" t="s">
        <v>2463</v>
      </c>
      <c r="D190" s="4" t="s">
        <v>2464</v>
      </c>
      <c r="E190" s="6">
        <v>20</v>
      </c>
      <c r="F190" s="6">
        <v>47</v>
      </c>
      <c r="G190" s="6">
        <v>62.9</v>
      </c>
      <c r="H190" s="6" t="s">
        <v>51</v>
      </c>
      <c r="I190" s="7">
        <v>45819</v>
      </c>
      <c r="J190" s="3"/>
      <c r="K190" s="3"/>
      <c r="L190" s="3" t="s">
        <v>1</v>
      </c>
      <c r="M190" s="3"/>
      <c r="N190" s="3"/>
      <c r="O190" s="3"/>
      <c r="P190" s="3"/>
      <c r="Q190" s="15" t="s">
        <v>133</v>
      </c>
      <c r="R190" s="7">
        <v>45832</v>
      </c>
      <c r="S190" s="7">
        <v>45834</v>
      </c>
      <c r="T190" s="7">
        <v>45834</v>
      </c>
      <c r="U190" s="20">
        <v>1930</v>
      </c>
      <c r="V190" s="11">
        <v>809727</v>
      </c>
      <c r="W190" s="6"/>
      <c r="X190" s="6"/>
      <c r="Y190" s="6"/>
      <c r="Z190" s="6"/>
      <c r="AA190" s="8"/>
      <c r="AB190" s="8"/>
      <c r="AC190" s="6"/>
      <c r="AD190" s="6"/>
      <c r="AE190" s="9" t="s">
        <v>2465</v>
      </c>
    </row>
    <row r="191" spans="1:31" s="10" customFormat="1" ht="16.5" x14ac:dyDescent="0.25">
      <c r="A191" s="3">
        <v>177</v>
      </c>
      <c r="B191" s="3" t="s">
        <v>28</v>
      </c>
      <c r="C191" s="5" t="s">
        <v>2466</v>
      </c>
      <c r="D191" s="4" t="s">
        <v>2467</v>
      </c>
      <c r="E191" s="6">
        <v>20</v>
      </c>
      <c r="F191" s="6">
        <v>46</v>
      </c>
      <c r="G191" s="6">
        <v>48.9</v>
      </c>
      <c r="H191" s="6" t="s">
        <v>51</v>
      </c>
      <c r="I191" s="7">
        <v>45819</v>
      </c>
      <c r="J191" s="3"/>
      <c r="K191" s="3"/>
      <c r="L191" s="3" t="s">
        <v>1</v>
      </c>
      <c r="M191" s="3"/>
      <c r="N191" s="3"/>
      <c r="O191" s="3"/>
      <c r="P191" s="3"/>
      <c r="Q191" s="15" t="s">
        <v>133</v>
      </c>
      <c r="R191" s="7">
        <v>45832</v>
      </c>
      <c r="S191" s="7">
        <v>45834</v>
      </c>
      <c r="T191" s="7">
        <v>45834</v>
      </c>
      <c r="U191" s="20">
        <v>1929</v>
      </c>
      <c r="V191" s="11">
        <v>809727</v>
      </c>
      <c r="W191" s="6"/>
      <c r="X191" s="6"/>
      <c r="Y191" s="6"/>
      <c r="Z191" s="6"/>
      <c r="AA191" s="8"/>
      <c r="AB191" s="8"/>
      <c r="AC191" s="6"/>
      <c r="AD191" s="6"/>
      <c r="AE191" s="9" t="s">
        <v>2465</v>
      </c>
    </row>
    <row r="192" spans="1:31" s="10" customFormat="1" ht="16.5" x14ac:dyDescent="0.25">
      <c r="A192" s="3">
        <v>178</v>
      </c>
      <c r="B192" s="3" t="s">
        <v>28</v>
      </c>
      <c r="C192" s="5" t="s">
        <v>2469</v>
      </c>
      <c r="D192" s="4" t="s">
        <v>2187</v>
      </c>
      <c r="E192" s="6">
        <v>11</v>
      </c>
      <c r="F192" s="6">
        <v>233</v>
      </c>
      <c r="G192" s="6">
        <v>67.599999999999994</v>
      </c>
      <c r="H192" s="6" t="s">
        <v>55</v>
      </c>
      <c r="I192" s="7">
        <v>45799</v>
      </c>
      <c r="J192" s="3"/>
      <c r="K192" s="3"/>
      <c r="L192" s="3" t="s">
        <v>1</v>
      </c>
      <c r="M192" s="3"/>
      <c r="N192" s="3"/>
      <c r="O192" s="3"/>
      <c r="P192" s="3"/>
      <c r="Q192" s="15" t="s">
        <v>133</v>
      </c>
      <c r="R192" s="6"/>
      <c r="S192" s="6"/>
      <c r="T192" s="6"/>
      <c r="U192" s="6"/>
      <c r="V192" s="11"/>
      <c r="W192" s="6"/>
      <c r="X192" s="6"/>
      <c r="Y192" s="6"/>
      <c r="Z192" s="6"/>
      <c r="AA192" s="8"/>
      <c r="AB192" s="8"/>
      <c r="AC192" s="6"/>
      <c r="AD192" s="6"/>
      <c r="AE192" s="9"/>
    </row>
    <row r="193" spans="1:31" s="10" customFormat="1" ht="63" x14ac:dyDescent="0.25">
      <c r="A193" s="3">
        <v>179</v>
      </c>
      <c r="B193" s="3" t="s">
        <v>28</v>
      </c>
      <c r="C193" s="5" t="s">
        <v>2490</v>
      </c>
      <c r="D193" s="4" t="s">
        <v>2491</v>
      </c>
      <c r="E193" s="6">
        <v>3</v>
      </c>
      <c r="F193" s="6" t="s">
        <v>2492</v>
      </c>
      <c r="G193" s="6" t="s">
        <v>2493</v>
      </c>
      <c r="H193" s="6" t="s">
        <v>75</v>
      </c>
      <c r="I193" s="7">
        <v>45820</v>
      </c>
      <c r="J193" s="3"/>
      <c r="K193" s="3"/>
      <c r="L193" s="3" t="s">
        <v>1</v>
      </c>
      <c r="M193" s="3"/>
      <c r="N193" s="3"/>
      <c r="O193" s="3"/>
      <c r="P193" s="3"/>
      <c r="Q193" s="15" t="s">
        <v>133</v>
      </c>
      <c r="R193" s="6"/>
      <c r="S193" s="6"/>
      <c r="T193" s="6"/>
      <c r="U193" s="6"/>
      <c r="V193" s="11"/>
      <c r="W193" s="6"/>
      <c r="X193" s="6"/>
      <c r="Y193" s="6"/>
      <c r="Z193" s="6"/>
      <c r="AA193" s="8"/>
      <c r="AB193" s="8"/>
      <c r="AC193" s="6" t="s">
        <v>2497</v>
      </c>
      <c r="AD193" s="6"/>
      <c r="AE193" s="9"/>
    </row>
    <row r="194" spans="1:31" s="10" customFormat="1" ht="16.5" x14ac:dyDescent="0.25">
      <c r="A194" s="3">
        <v>180</v>
      </c>
      <c r="B194" s="3" t="s">
        <v>28</v>
      </c>
      <c r="C194" s="5" t="s">
        <v>2505</v>
      </c>
      <c r="D194" s="4" t="s">
        <v>504</v>
      </c>
      <c r="E194" s="4" t="s">
        <v>2506</v>
      </c>
      <c r="F194" s="6">
        <v>341</v>
      </c>
      <c r="G194" s="6">
        <v>25.4</v>
      </c>
      <c r="H194" s="6" t="s">
        <v>55</v>
      </c>
      <c r="I194" s="7">
        <v>45821</v>
      </c>
      <c r="J194" s="3"/>
      <c r="K194" s="3"/>
      <c r="L194" s="3"/>
      <c r="M194" s="3"/>
      <c r="N194" s="3"/>
      <c r="O194" s="3"/>
      <c r="P194" s="3" t="s">
        <v>52</v>
      </c>
      <c r="Q194" s="15" t="s">
        <v>133</v>
      </c>
      <c r="R194" s="6"/>
      <c r="S194" s="6"/>
      <c r="T194" s="6"/>
      <c r="U194" s="6"/>
      <c r="V194" s="11"/>
      <c r="W194" s="6"/>
      <c r="X194" s="6"/>
      <c r="Y194" s="6"/>
      <c r="Z194" s="6"/>
      <c r="AA194" s="8"/>
      <c r="AB194" s="8"/>
      <c r="AC194" s="6"/>
      <c r="AD194" s="6"/>
      <c r="AE194" s="9"/>
    </row>
    <row r="195" spans="1:31" s="10" customFormat="1" ht="16.5" x14ac:dyDescent="0.25">
      <c r="A195" s="3">
        <v>181</v>
      </c>
      <c r="B195" s="3" t="s">
        <v>28</v>
      </c>
      <c r="C195" s="5" t="s">
        <v>2507</v>
      </c>
      <c r="D195" s="4" t="s">
        <v>2508</v>
      </c>
      <c r="E195" s="6">
        <v>13</v>
      </c>
      <c r="F195" s="6">
        <v>489</v>
      </c>
      <c r="G195" s="6">
        <v>330.5</v>
      </c>
      <c r="H195" s="6" t="s">
        <v>51</v>
      </c>
      <c r="I195" s="7">
        <v>45821</v>
      </c>
      <c r="J195" s="3"/>
      <c r="K195" s="3" t="s">
        <v>62</v>
      </c>
      <c r="L195" s="3"/>
      <c r="M195" s="3"/>
      <c r="N195" s="3"/>
      <c r="O195" s="3"/>
      <c r="P195" s="3"/>
      <c r="Q195" s="15" t="s">
        <v>133</v>
      </c>
      <c r="R195" s="6"/>
      <c r="S195" s="6"/>
      <c r="T195" s="6"/>
      <c r="U195" s="6"/>
      <c r="V195" s="11"/>
      <c r="W195" s="6"/>
      <c r="X195" s="6"/>
      <c r="Y195" s="6"/>
      <c r="Z195" s="6"/>
      <c r="AA195" s="8"/>
      <c r="AB195" s="8"/>
      <c r="AC195" s="6"/>
      <c r="AD195" s="6"/>
      <c r="AE195" s="9"/>
    </row>
    <row r="196" spans="1:31" s="10" customFormat="1" ht="31.5" x14ac:dyDescent="0.25">
      <c r="A196" s="3">
        <v>182</v>
      </c>
      <c r="B196" s="3" t="s">
        <v>28</v>
      </c>
      <c r="C196" s="5" t="s">
        <v>2507</v>
      </c>
      <c r="D196" s="4" t="s">
        <v>2508</v>
      </c>
      <c r="E196" s="6">
        <v>14</v>
      </c>
      <c r="F196" s="6">
        <v>154</v>
      </c>
      <c r="G196" s="6">
        <v>660.3</v>
      </c>
      <c r="H196" s="6" t="s">
        <v>51</v>
      </c>
      <c r="I196" s="7"/>
      <c r="J196" s="3"/>
      <c r="K196" s="3"/>
      <c r="L196" s="3"/>
      <c r="M196" s="3"/>
      <c r="N196" s="3"/>
      <c r="O196" s="3"/>
      <c r="P196" s="3"/>
      <c r="Q196" s="15" t="s">
        <v>180</v>
      </c>
      <c r="R196" s="7">
        <v>44776</v>
      </c>
      <c r="S196" s="6"/>
      <c r="T196" s="6"/>
      <c r="U196" s="6"/>
      <c r="V196" s="11"/>
      <c r="W196" s="6"/>
      <c r="X196" s="6"/>
      <c r="Y196" s="6"/>
      <c r="Z196" s="6" t="s">
        <v>2515</v>
      </c>
      <c r="AA196" s="8" t="s">
        <v>2516</v>
      </c>
      <c r="AB196" s="8"/>
      <c r="AC196" s="6" t="s">
        <v>2517</v>
      </c>
      <c r="AD196" s="6"/>
      <c r="AE196" s="9"/>
    </row>
    <row r="197" spans="1:31" s="10" customFormat="1" ht="33.75" customHeight="1" x14ac:dyDescent="0.25">
      <c r="A197" s="3">
        <v>183</v>
      </c>
      <c r="B197" s="3" t="s">
        <v>28</v>
      </c>
      <c r="C197" s="5" t="s">
        <v>2519</v>
      </c>
      <c r="D197" s="4" t="s">
        <v>2520</v>
      </c>
      <c r="E197" s="6">
        <v>30</v>
      </c>
      <c r="F197" s="6">
        <v>90</v>
      </c>
      <c r="G197" s="6">
        <v>83.4</v>
      </c>
      <c r="H197" s="6" t="s">
        <v>110</v>
      </c>
      <c r="I197" s="7">
        <v>45824</v>
      </c>
      <c r="J197" s="3"/>
      <c r="K197" s="3"/>
      <c r="L197" s="3"/>
      <c r="M197" s="3"/>
      <c r="N197" s="3"/>
      <c r="O197" s="3"/>
      <c r="P197" s="3" t="s">
        <v>52</v>
      </c>
      <c r="Q197" s="15" t="s">
        <v>133</v>
      </c>
      <c r="R197" s="7"/>
      <c r="S197" s="6"/>
      <c r="T197" s="6"/>
      <c r="U197" s="6"/>
      <c r="V197" s="11"/>
      <c r="W197" s="6"/>
      <c r="X197" s="6"/>
      <c r="Y197" s="6"/>
      <c r="Z197" s="6"/>
      <c r="AA197" s="8"/>
      <c r="AB197" s="8"/>
      <c r="AC197" s="6"/>
      <c r="AD197" s="6"/>
      <c r="AE197" s="9"/>
    </row>
    <row r="198" spans="1:31" ht="16.5" x14ac:dyDescent="0.25">
      <c r="A198" s="12"/>
      <c r="B198" s="73" t="s">
        <v>2523</v>
      </c>
      <c r="C198" s="74"/>
      <c r="D198" s="74"/>
      <c r="E198" s="74"/>
      <c r="F198" s="74"/>
      <c r="G198" s="74"/>
      <c r="H198" s="75"/>
      <c r="I198" s="13"/>
      <c r="J198" s="14">
        <f>COUNTIF(J185:J197,"TK")+COUNTIF(J190:J197,"CT")+COUNTIF(J192:J197,"IG")</f>
        <v>1</v>
      </c>
      <c r="K198" s="14">
        <f>COUNTIF(K185:K197,"CMĐ")</f>
        <v>3</v>
      </c>
      <c r="L198" s="14">
        <f>COUNTIF(L185:L197,"XMDT")+COUNTIF(L193:L197,"Mốc")</f>
        <v>6</v>
      </c>
      <c r="M198" s="14">
        <f>COUNTIF(M189:M197,"THÁn")</f>
        <v>0</v>
      </c>
      <c r="N198" s="14">
        <f>COUNTIF(N187:N197,"TÒA")</f>
        <v>0</v>
      </c>
      <c r="O198" s="14">
        <f>COUNTIF(O192:O197,"Cấp GCN")</f>
        <v>0</v>
      </c>
      <c r="P198" s="14">
        <f>COUNTIF(P193:P197,"SHN")</f>
        <v>2</v>
      </c>
      <c r="Q198" s="15"/>
      <c r="R198" s="13"/>
      <c r="S198" s="15"/>
      <c r="T198" s="15"/>
      <c r="U198" s="16"/>
      <c r="V198" s="11"/>
      <c r="W198" s="17"/>
      <c r="X198" s="2"/>
      <c r="AD198" s="14">
        <f>COUNTIF(AD162,"kt")</f>
        <v>0</v>
      </c>
    </row>
    <row r="199" spans="1:31" s="10" customFormat="1" ht="16.5" x14ac:dyDescent="0.25">
      <c r="A199" s="3">
        <v>184</v>
      </c>
      <c r="B199" s="3" t="s">
        <v>28</v>
      </c>
      <c r="C199" s="5" t="s">
        <v>2543</v>
      </c>
      <c r="D199" s="4" t="s">
        <v>2544</v>
      </c>
      <c r="E199" s="6">
        <v>14</v>
      </c>
      <c r="F199" s="6">
        <v>41</v>
      </c>
      <c r="G199" s="6">
        <v>129.1</v>
      </c>
      <c r="H199" s="6" t="s">
        <v>2545</v>
      </c>
      <c r="I199" s="7">
        <v>45825</v>
      </c>
      <c r="J199" s="3"/>
      <c r="K199" s="3"/>
      <c r="L199" s="3" t="s">
        <v>1</v>
      </c>
      <c r="M199" s="3"/>
      <c r="N199" s="3"/>
      <c r="O199" s="3"/>
      <c r="P199" s="3"/>
      <c r="Q199" s="15" t="s">
        <v>133</v>
      </c>
      <c r="R199" s="7"/>
      <c r="S199" s="6"/>
      <c r="T199" s="6"/>
      <c r="U199" s="6"/>
      <c r="V199" s="11"/>
      <c r="W199" s="6"/>
      <c r="X199" s="6"/>
      <c r="Y199" s="6"/>
      <c r="Z199" s="6"/>
      <c r="AA199" s="8"/>
      <c r="AB199" s="8"/>
      <c r="AC199" s="6"/>
      <c r="AD199" s="6"/>
      <c r="AE199" s="9"/>
    </row>
    <row r="200" spans="1:31" s="10" customFormat="1" ht="47.25" x14ac:dyDescent="0.25">
      <c r="A200" s="3">
        <v>185</v>
      </c>
      <c r="B200" s="3" t="s">
        <v>28</v>
      </c>
      <c r="C200" s="5" t="s">
        <v>2546</v>
      </c>
      <c r="D200" s="4" t="s">
        <v>2547</v>
      </c>
      <c r="E200" s="6">
        <v>12</v>
      </c>
      <c r="F200" s="6" t="s">
        <v>2548</v>
      </c>
      <c r="G200" s="6" t="s">
        <v>2549</v>
      </c>
      <c r="H200" s="6" t="s">
        <v>75</v>
      </c>
      <c r="I200" s="7">
        <v>45825</v>
      </c>
      <c r="J200" s="3"/>
      <c r="K200" s="3"/>
      <c r="L200" s="3" t="s">
        <v>1</v>
      </c>
      <c r="M200" s="3"/>
      <c r="N200" s="3"/>
      <c r="O200" s="3"/>
      <c r="P200" s="3"/>
      <c r="Q200" s="15" t="s">
        <v>133</v>
      </c>
      <c r="R200" s="7"/>
      <c r="S200" s="6"/>
      <c r="T200" s="6"/>
      <c r="U200" s="6"/>
      <c r="V200" s="11"/>
      <c r="W200" s="6"/>
      <c r="X200" s="6"/>
      <c r="Y200" s="6"/>
      <c r="Z200" s="6"/>
      <c r="AA200" s="8"/>
      <c r="AB200" s="8"/>
      <c r="AC200" s="6"/>
      <c r="AD200" s="6"/>
      <c r="AE200" s="9"/>
    </row>
    <row r="201" spans="1:31" s="10" customFormat="1" ht="36" customHeight="1" x14ac:dyDescent="0.25">
      <c r="A201" s="3">
        <v>186</v>
      </c>
      <c r="B201" s="3" t="s">
        <v>28</v>
      </c>
      <c r="C201" s="5" t="s">
        <v>2630</v>
      </c>
      <c r="D201" s="4" t="s">
        <v>2631</v>
      </c>
      <c r="E201" s="6">
        <v>14</v>
      </c>
      <c r="F201" s="6">
        <v>85</v>
      </c>
      <c r="G201" s="6">
        <v>72.400000000000006</v>
      </c>
      <c r="H201" s="6" t="s">
        <v>55</v>
      </c>
      <c r="I201" s="7">
        <v>45827</v>
      </c>
      <c r="J201" s="3"/>
      <c r="K201" s="3"/>
      <c r="L201" s="3" t="s">
        <v>1</v>
      </c>
      <c r="M201" s="3"/>
      <c r="N201" s="3"/>
      <c r="O201" s="3"/>
      <c r="P201" s="3"/>
      <c r="Q201" s="15" t="s">
        <v>133</v>
      </c>
      <c r="R201" s="7"/>
      <c r="S201" s="6"/>
      <c r="T201" s="6"/>
      <c r="U201" s="6"/>
      <c r="V201" s="11"/>
      <c r="W201" s="6"/>
      <c r="X201" s="6"/>
      <c r="Y201" s="6"/>
      <c r="Z201" s="6"/>
      <c r="AA201" s="8"/>
      <c r="AB201" s="8"/>
      <c r="AC201" s="6"/>
      <c r="AD201" s="6"/>
      <c r="AE201" s="9"/>
    </row>
    <row r="202" spans="1:31" s="10" customFormat="1" ht="16.5" x14ac:dyDescent="0.25">
      <c r="A202" s="3">
        <v>187</v>
      </c>
      <c r="B202" s="3" t="s">
        <v>28</v>
      </c>
      <c r="C202" s="5" t="s">
        <v>473</v>
      </c>
      <c r="D202" s="4" t="s">
        <v>474</v>
      </c>
      <c r="E202" s="6">
        <v>36</v>
      </c>
      <c r="F202" s="6">
        <v>334</v>
      </c>
      <c r="G202" s="6">
        <v>97.2</v>
      </c>
      <c r="H202" s="6" t="s">
        <v>55</v>
      </c>
      <c r="I202" s="7">
        <v>45828</v>
      </c>
      <c r="J202" s="3"/>
      <c r="K202" s="3"/>
      <c r="L202" s="3"/>
      <c r="M202" s="3"/>
      <c r="N202" s="3"/>
      <c r="O202" s="3"/>
      <c r="P202" s="3" t="s">
        <v>52</v>
      </c>
      <c r="Q202" s="15" t="s">
        <v>133</v>
      </c>
      <c r="R202" s="7"/>
      <c r="S202" s="6"/>
      <c r="T202" s="6"/>
      <c r="U202" s="6"/>
      <c r="V202" s="11"/>
      <c r="W202" s="6"/>
      <c r="X202" s="6"/>
      <c r="Y202" s="6"/>
      <c r="Z202" s="6"/>
      <c r="AA202" s="8"/>
      <c r="AB202" s="8"/>
      <c r="AC202" s="6"/>
      <c r="AD202" s="6"/>
      <c r="AE202" s="9"/>
    </row>
    <row r="203" spans="1:31" ht="16.5" x14ac:dyDescent="0.25">
      <c r="A203" s="12"/>
      <c r="B203" s="73" t="s">
        <v>2655</v>
      </c>
      <c r="C203" s="74"/>
      <c r="D203" s="74"/>
      <c r="E203" s="74"/>
      <c r="F203" s="74"/>
      <c r="G203" s="74"/>
      <c r="H203" s="75"/>
      <c r="I203" s="13"/>
      <c r="J203" s="14">
        <f>COUNTIF(J190:J202,"TK")+COUNTIF(J195:J202,"CT")+COUNTIF(J197:J202,"IG")</f>
        <v>0</v>
      </c>
      <c r="K203" s="14">
        <f>COUNTIF(K190:K202,"CMĐ")</f>
        <v>1</v>
      </c>
      <c r="L203" s="14">
        <f>COUNTIF(L199:L202,"XMDT")+COUNTIF(L198:L202,"Mốc")</f>
        <v>3</v>
      </c>
      <c r="M203" s="14">
        <f>COUNTIF(M194:M202,"THÁn")</f>
        <v>0</v>
      </c>
      <c r="N203" s="14">
        <f>COUNTIF(N192:N202,"TÒA")</f>
        <v>0</v>
      </c>
      <c r="O203" s="14">
        <f>COUNTIF(O197:O202,"Cấp GCN")</f>
        <v>0</v>
      </c>
      <c r="P203" s="14">
        <f>COUNTIF(P198:P202,"SHN")</f>
        <v>1</v>
      </c>
      <c r="Q203" s="15"/>
      <c r="R203" s="13"/>
      <c r="S203" s="15"/>
      <c r="T203" s="15"/>
      <c r="U203" s="16"/>
      <c r="V203" s="11"/>
      <c r="W203" s="17"/>
      <c r="X203" s="2"/>
      <c r="AD203" s="14">
        <f>COUNTIF(AD167,"kt")</f>
        <v>0</v>
      </c>
    </row>
    <row r="204" spans="1:31" s="10" customFormat="1" ht="31.5" x14ac:dyDescent="0.25">
      <c r="A204" s="3">
        <v>188</v>
      </c>
      <c r="B204" s="3" t="s">
        <v>28</v>
      </c>
      <c r="C204" s="5" t="s">
        <v>2690</v>
      </c>
      <c r="D204" s="4" t="s">
        <v>2691</v>
      </c>
      <c r="E204" s="6">
        <v>17</v>
      </c>
      <c r="F204" s="6" t="s">
        <v>2692</v>
      </c>
      <c r="G204" s="6" t="s">
        <v>2693</v>
      </c>
      <c r="H204" s="6" t="s">
        <v>75</v>
      </c>
      <c r="I204" s="7">
        <v>45800</v>
      </c>
      <c r="J204" s="3"/>
      <c r="K204" s="3"/>
      <c r="L204" s="3"/>
      <c r="M204" s="3"/>
      <c r="N204" s="3"/>
      <c r="O204" s="3"/>
      <c r="P204" s="3" t="s">
        <v>52</v>
      </c>
      <c r="Q204" s="15" t="s">
        <v>133</v>
      </c>
      <c r="R204" s="7">
        <v>45832</v>
      </c>
      <c r="S204" s="6"/>
      <c r="T204" s="6"/>
      <c r="U204" s="6"/>
      <c r="V204" s="11"/>
      <c r="W204" s="6"/>
      <c r="X204" s="6"/>
      <c r="Y204" s="6"/>
      <c r="Z204" s="6"/>
      <c r="AA204" s="8"/>
      <c r="AB204" s="8"/>
      <c r="AC204" s="6"/>
      <c r="AD204" s="6"/>
      <c r="AE204" s="9"/>
    </row>
    <row r="205" spans="1:31" s="10" customFormat="1" ht="16.5" x14ac:dyDescent="0.25">
      <c r="A205" s="3">
        <v>189</v>
      </c>
      <c r="B205" s="3" t="s">
        <v>28</v>
      </c>
      <c r="C205" s="5" t="s">
        <v>2698</v>
      </c>
      <c r="D205" s="4" t="s">
        <v>2697</v>
      </c>
      <c r="E205" s="6">
        <v>6</v>
      </c>
      <c r="F205" s="6">
        <v>590</v>
      </c>
      <c r="G205" s="6">
        <v>777</v>
      </c>
      <c r="H205" s="6" t="s">
        <v>110</v>
      </c>
      <c r="I205" s="7">
        <v>45833</v>
      </c>
      <c r="J205" s="3"/>
      <c r="K205" s="3" t="s">
        <v>62</v>
      </c>
      <c r="L205" s="3"/>
      <c r="M205" s="3"/>
      <c r="N205" s="3"/>
      <c r="O205" s="3"/>
      <c r="P205" s="3"/>
      <c r="Q205" s="15" t="s">
        <v>133</v>
      </c>
      <c r="R205" s="7"/>
      <c r="S205" s="6"/>
      <c r="T205" s="6"/>
      <c r="U205" s="6"/>
      <c r="V205" s="11"/>
      <c r="W205" s="6"/>
      <c r="X205" s="6"/>
      <c r="Y205" s="6"/>
      <c r="Z205" s="6"/>
      <c r="AA205" s="8"/>
      <c r="AB205" s="8"/>
      <c r="AC205" s="6"/>
      <c r="AD205" s="6"/>
      <c r="AE205" s="9"/>
    </row>
    <row r="206" spans="1:31" s="10" customFormat="1" ht="63" x14ac:dyDescent="0.25">
      <c r="A206" s="3">
        <v>190</v>
      </c>
      <c r="B206" s="3" t="s">
        <v>28</v>
      </c>
      <c r="C206" s="5" t="s">
        <v>2698</v>
      </c>
      <c r="D206" s="4" t="s">
        <v>2697</v>
      </c>
      <c r="E206" s="6">
        <v>6</v>
      </c>
      <c r="F206" s="6">
        <v>590</v>
      </c>
      <c r="G206" s="6">
        <v>777</v>
      </c>
      <c r="H206" s="6" t="s">
        <v>110</v>
      </c>
      <c r="I206" s="7">
        <v>45833</v>
      </c>
      <c r="J206" s="3"/>
      <c r="K206" s="3"/>
      <c r="L206" s="3" t="s">
        <v>98</v>
      </c>
      <c r="M206" s="3"/>
      <c r="N206" s="3"/>
      <c r="O206" s="3"/>
      <c r="P206" s="3"/>
      <c r="Q206" s="15" t="s">
        <v>133</v>
      </c>
      <c r="R206" s="7"/>
      <c r="S206" s="6"/>
      <c r="T206" s="6"/>
      <c r="U206" s="6"/>
      <c r="V206" s="11"/>
      <c r="W206" s="6"/>
      <c r="X206" s="6"/>
      <c r="Y206" s="6"/>
      <c r="Z206" s="6"/>
      <c r="AA206" s="8"/>
      <c r="AB206" s="8"/>
      <c r="AC206" s="6" t="s">
        <v>2702</v>
      </c>
      <c r="AD206" s="6"/>
      <c r="AE206" s="9"/>
    </row>
    <row r="207" spans="1:31" s="10" customFormat="1" ht="16.5" x14ac:dyDescent="0.25">
      <c r="A207" s="3">
        <v>191</v>
      </c>
      <c r="B207" s="3" t="s">
        <v>28</v>
      </c>
      <c r="C207" s="5"/>
      <c r="D207" s="4"/>
      <c r="E207" s="6"/>
      <c r="F207" s="6"/>
      <c r="G207" s="6"/>
      <c r="H207" s="6"/>
      <c r="I207" s="7"/>
      <c r="J207" s="3"/>
      <c r="K207" s="3"/>
      <c r="L207" s="3"/>
      <c r="M207" s="3"/>
      <c r="N207" s="3"/>
      <c r="O207" s="3"/>
      <c r="P207" s="3"/>
      <c r="Q207" s="15"/>
      <c r="R207" s="7"/>
      <c r="S207" s="6"/>
      <c r="T207" s="6"/>
      <c r="U207" s="6"/>
      <c r="V207" s="11"/>
      <c r="W207" s="6"/>
      <c r="X207" s="6"/>
      <c r="Y207" s="6"/>
      <c r="Z207" s="6"/>
      <c r="AA207" s="8"/>
      <c r="AB207" s="8"/>
      <c r="AC207" s="6"/>
      <c r="AD207" s="6"/>
      <c r="AE207" s="9"/>
    </row>
    <row r="208" spans="1:31" s="10" customFormat="1" ht="16.5" x14ac:dyDescent="0.25">
      <c r="A208" s="3">
        <v>192</v>
      </c>
      <c r="B208" s="3" t="s">
        <v>28</v>
      </c>
      <c r="C208" s="5"/>
      <c r="D208" s="4"/>
      <c r="E208" s="6"/>
      <c r="F208" s="6"/>
      <c r="G208" s="6"/>
      <c r="H208" s="6"/>
      <c r="I208" s="7"/>
      <c r="J208" s="3"/>
      <c r="K208" s="3"/>
      <c r="L208" s="3"/>
      <c r="M208" s="3"/>
      <c r="N208" s="3"/>
      <c r="O208" s="3"/>
      <c r="P208" s="3"/>
      <c r="Q208" s="15"/>
      <c r="R208" s="7"/>
      <c r="S208" s="6"/>
      <c r="T208" s="6"/>
      <c r="U208" s="6"/>
      <c r="V208" s="11"/>
      <c r="W208" s="6"/>
      <c r="X208" s="6"/>
      <c r="Y208" s="6"/>
      <c r="Z208" s="6"/>
      <c r="AA208" s="8"/>
      <c r="AB208" s="8"/>
      <c r="AC208" s="6"/>
      <c r="AD208" s="6"/>
      <c r="AE208" s="9"/>
    </row>
    <row r="209" spans="1:31" s="10" customFormat="1" ht="16.5" x14ac:dyDescent="0.25">
      <c r="A209" s="3">
        <v>193</v>
      </c>
      <c r="B209" s="3" t="s">
        <v>28</v>
      </c>
      <c r="C209" s="5"/>
      <c r="D209" s="4"/>
      <c r="E209" s="6"/>
      <c r="F209" s="6"/>
      <c r="G209" s="6"/>
      <c r="H209" s="6"/>
      <c r="I209" s="7"/>
      <c r="J209" s="3"/>
      <c r="K209" s="3"/>
      <c r="L209" s="3"/>
      <c r="M209" s="3"/>
      <c r="N209" s="3"/>
      <c r="O209" s="3"/>
      <c r="P209" s="3"/>
      <c r="Q209" s="15"/>
      <c r="R209" s="7"/>
      <c r="S209" s="6"/>
      <c r="T209" s="6"/>
      <c r="U209" s="6"/>
      <c r="V209" s="11"/>
      <c r="W209" s="6"/>
      <c r="X209" s="6"/>
      <c r="Y209" s="6"/>
      <c r="Z209" s="6"/>
      <c r="AA209" s="8"/>
      <c r="AB209" s="8"/>
      <c r="AC209" s="6"/>
      <c r="AD209" s="6"/>
      <c r="AE209" s="9"/>
    </row>
    <row r="210" spans="1:31" s="10" customFormat="1" ht="16.5" x14ac:dyDescent="0.25">
      <c r="A210" s="3">
        <v>194</v>
      </c>
      <c r="B210" s="3" t="s">
        <v>28</v>
      </c>
      <c r="C210" s="5"/>
      <c r="D210" s="4"/>
      <c r="E210" s="6"/>
      <c r="F210" s="6"/>
      <c r="G210" s="6"/>
      <c r="H210" s="6"/>
      <c r="I210" s="7"/>
      <c r="J210" s="3"/>
      <c r="K210" s="3"/>
      <c r="L210" s="3"/>
      <c r="M210" s="3"/>
      <c r="N210" s="3"/>
      <c r="O210" s="3"/>
      <c r="P210" s="3"/>
      <c r="Q210" s="15"/>
      <c r="R210" s="7"/>
      <c r="S210" s="6"/>
      <c r="T210" s="6"/>
      <c r="U210" s="6"/>
      <c r="V210" s="11"/>
      <c r="W210" s="6"/>
      <c r="X210" s="6"/>
      <c r="Y210" s="6"/>
      <c r="Z210" s="6"/>
      <c r="AA210" s="8"/>
      <c r="AB210" s="8"/>
      <c r="AC210" s="6"/>
      <c r="AD210" s="6"/>
      <c r="AE210" s="9"/>
    </row>
    <row r="211" spans="1:31" s="10" customFormat="1" ht="16.5" x14ac:dyDescent="0.25">
      <c r="A211" s="3">
        <v>195</v>
      </c>
      <c r="B211" s="3" t="s">
        <v>28</v>
      </c>
      <c r="C211" s="5"/>
      <c r="D211" s="4"/>
      <c r="E211" s="6"/>
      <c r="F211" s="6"/>
      <c r="G211" s="6"/>
      <c r="H211" s="6"/>
      <c r="I211" s="7"/>
      <c r="J211" s="3"/>
      <c r="K211" s="3"/>
      <c r="L211" s="3"/>
      <c r="M211" s="3"/>
      <c r="N211" s="3"/>
      <c r="O211" s="3"/>
      <c r="P211" s="3"/>
      <c r="Q211" s="15"/>
      <c r="R211" s="7"/>
      <c r="S211" s="6"/>
      <c r="T211" s="6"/>
      <c r="U211" s="6"/>
      <c r="V211" s="11"/>
      <c r="W211" s="6"/>
      <c r="X211" s="6"/>
      <c r="Y211" s="6"/>
      <c r="Z211" s="6"/>
      <c r="AA211" s="8"/>
      <c r="AB211" s="8"/>
      <c r="AC211" s="6"/>
      <c r="AD211" s="6"/>
      <c r="AE211" s="9"/>
    </row>
    <row r="212" spans="1:31" s="10" customFormat="1" ht="16.5" x14ac:dyDescent="0.25">
      <c r="A212" s="3">
        <v>196</v>
      </c>
      <c r="B212" s="3" t="s">
        <v>28</v>
      </c>
      <c r="C212" s="5"/>
      <c r="D212" s="4"/>
      <c r="E212" s="6"/>
      <c r="F212" s="6"/>
      <c r="G212" s="6"/>
      <c r="H212" s="6"/>
      <c r="I212" s="7"/>
      <c r="J212" s="3"/>
      <c r="K212" s="3"/>
      <c r="L212" s="3"/>
      <c r="M212" s="3"/>
      <c r="N212" s="3"/>
      <c r="O212" s="3"/>
      <c r="P212" s="3"/>
      <c r="Q212" s="15"/>
      <c r="R212" s="7"/>
      <c r="S212" s="6"/>
      <c r="T212" s="6"/>
      <c r="U212" s="6"/>
      <c r="V212" s="11"/>
      <c r="W212" s="6"/>
      <c r="X212" s="6"/>
      <c r="Y212" s="6"/>
      <c r="Z212" s="6"/>
      <c r="AA212" s="8"/>
      <c r="AB212" s="8"/>
      <c r="AC212" s="6"/>
      <c r="AD212" s="6"/>
      <c r="AE212" s="9"/>
    </row>
    <row r="213" spans="1:31" s="10" customFormat="1" ht="16.5" x14ac:dyDescent="0.25">
      <c r="A213" s="3">
        <v>197</v>
      </c>
      <c r="B213" s="3" t="s">
        <v>28</v>
      </c>
      <c r="C213" s="5"/>
      <c r="D213" s="4"/>
      <c r="E213" s="6"/>
      <c r="F213" s="6"/>
      <c r="G213" s="6"/>
      <c r="H213" s="6"/>
      <c r="I213" s="7"/>
      <c r="J213" s="3"/>
      <c r="K213" s="3"/>
      <c r="L213" s="3"/>
      <c r="M213" s="3"/>
      <c r="N213" s="3"/>
      <c r="O213" s="3"/>
      <c r="P213" s="3"/>
      <c r="Q213" s="15"/>
      <c r="R213" s="7"/>
      <c r="S213" s="6"/>
      <c r="T213" s="6"/>
      <c r="U213" s="6"/>
      <c r="V213" s="11"/>
      <c r="W213" s="6"/>
      <c r="X213" s="6"/>
      <c r="Y213" s="6"/>
      <c r="Z213" s="6"/>
      <c r="AA213" s="8"/>
      <c r="AB213" s="8"/>
      <c r="AC213" s="6"/>
      <c r="AD213" s="6"/>
      <c r="AE213" s="9"/>
    </row>
    <row r="214" spans="1:31" s="10" customFormat="1" ht="16.5" x14ac:dyDescent="0.25">
      <c r="A214" s="3">
        <v>198</v>
      </c>
      <c r="B214" s="3" t="s">
        <v>28</v>
      </c>
      <c r="C214" s="5"/>
      <c r="D214" s="4"/>
      <c r="E214" s="6"/>
      <c r="F214" s="6"/>
      <c r="G214" s="6"/>
      <c r="H214" s="6"/>
      <c r="I214" s="7"/>
      <c r="J214" s="3"/>
      <c r="K214" s="3"/>
      <c r="L214" s="3"/>
      <c r="M214" s="3"/>
      <c r="N214" s="3"/>
      <c r="O214" s="3"/>
      <c r="P214" s="3"/>
      <c r="Q214" s="15"/>
      <c r="R214" s="7"/>
      <c r="S214" s="6"/>
      <c r="T214" s="6"/>
      <c r="U214" s="6"/>
      <c r="V214" s="11"/>
      <c r="W214" s="6"/>
      <c r="X214" s="6"/>
      <c r="Y214" s="6"/>
      <c r="Z214" s="6"/>
      <c r="AA214" s="8"/>
      <c r="AB214" s="8"/>
      <c r="AC214" s="6"/>
      <c r="AD214" s="6"/>
      <c r="AE214" s="9"/>
    </row>
    <row r="215" spans="1:31" s="10" customFormat="1" ht="16.5" x14ac:dyDescent="0.25">
      <c r="A215" s="3">
        <v>199</v>
      </c>
      <c r="B215" s="3" t="s">
        <v>28</v>
      </c>
      <c r="C215" s="5"/>
      <c r="D215" s="4"/>
      <c r="E215" s="6"/>
      <c r="F215" s="6"/>
      <c r="G215" s="6"/>
      <c r="H215" s="6"/>
      <c r="I215" s="7"/>
      <c r="J215" s="3"/>
      <c r="K215" s="3"/>
      <c r="L215" s="3"/>
      <c r="M215" s="3"/>
      <c r="N215" s="3"/>
      <c r="O215" s="3"/>
      <c r="P215" s="3"/>
      <c r="Q215" s="15"/>
      <c r="R215" s="7"/>
      <c r="S215" s="6"/>
      <c r="T215" s="6"/>
      <c r="U215" s="6"/>
      <c r="V215" s="11"/>
      <c r="W215" s="6"/>
      <c r="X215" s="6"/>
      <c r="Y215" s="6"/>
      <c r="Z215" s="6"/>
      <c r="AA215" s="8"/>
      <c r="AB215" s="8"/>
      <c r="AC215" s="6"/>
      <c r="AD215" s="6"/>
      <c r="AE215" s="9"/>
    </row>
    <row r="216" spans="1:31" s="10" customFormat="1" ht="16.5" x14ac:dyDescent="0.25">
      <c r="A216" s="3">
        <v>200</v>
      </c>
      <c r="B216" s="3" t="s">
        <v>28</v>
      </c>
      <c r="C216" s="5"/>
      <c r="D216" s="4"/>
      <c r="E216" s="6"/>
      <c r="F216" s="6"/>
      <c r="G216" s="6"/>
      <c r="H216" s="6"/>
      <c r="I216" s="7"/>
      <c r="J216" s="3"/>
      <c r="K216" s="3"/>
      <c r="L216" s="3"/>
      <c r="M216" s="3"/>
      <c r="N216" s="3"/>
      <c r="O216" s="3"/>
      <c r="P216" s="3"/>
      <c r="Q216" s="15"/>
      <c r="R216" s="7"/>
      <c r="S216" s="6"/>
      <c r="T216" s="6"/>
      <c r="U216" s="6"/>
      <c r="V216" s="11"/>
      <c r="W216" s="6"/>
      <c r="X216" s="6"/>
      <c r="Y216" s="6"/>
      <c r="Z216" s="6"/>
      <c r="AA216" s="8"/>
      <c r="AB216" s="8"/>
      <c r="AC216" s="6"/>
      <c r="AD216" s="6"/>
      <c r="AE216" s="9"/>
    </row>
    <row r="217" spans="1:31" s="10" customFormat="1" ht="16.5" x14ac:dyDescent="0.25">
      <c r="A217" s="3">
        <v>201</v>
      </c>
      <c r="B217" s="3" t="s">
        <v>28</v>
      </c>
      <c r="C217" s="5"/>
      <c r="D217" s="4"/>
      <c r="E217" s="6"/>
      <c r="F217" s="6"/>
      <c r="G217" s="6"/>
      <c r="H217" s="6"/>
      <c r="I217" s="7"/>
      <c r="J217" s="3"/>
      <c r="K217" s="3"/>
      <c r="L217" s="3"/>
      <c r="M217" s="3"/>
      <c r="N217" s="3"/>
      <c r="O217" s="3"/>
      <c r="P217" s="3"/>
      <c r="Q217" s="15"/>
      <c r="R217" s="7"/>
      <c r="S217" s="6"/>
      <c r="T217" s="6"/>
      <c r="U217" s="6"/>
      <c r="V217" s="11"/>
      <c r="W217" s="6"/>
      <c r="X217" s="6"/>
      <c r="Y217" s="6"/>
      <c r="Z217" s="6"/>
      <c r="AA217" s="8"/>
      <c r="AB217" s="8"/>
      <c r="AC217" s="6"/>
      <c r="AD217" s="6"/>
      <c r="AE217" s="9"/>
    </row>
    <row r="218" spans="1:31" s="10" customFormat="1" ht="16.5" x14ac:dyDescent="0.25">
      <c r="A218" s="3">
        <v>202</v>
      </c>
      <c r="B218" s="3" t="s">
        <v>28</v>
      </c>
      <c r="C218" s="5"/>
      <c r="D218" s="4"/>
      <c r="E218" s="6"/>
      <c r="F218" s="6"/>
      <c r="G218" s="6"/>
      <c r="H218" s="6"/>
      <c r="I218" s="7"/>
      <c r="J218" s="3"/>
      <c r="K218" s="3"/>
      <c r="L218" s="3"/>
      <c r="M218" s="3"/>
      <c r="N218" s="3"/>
      <c r="O218" s="3"/>
      <c r="P218" s="3"/>
      <c r="Q218" s="15"/>
      <c r="R218" s="7"/>
      <c r="S218" s="6"/>
      <c r="T218" s="6"/>
      <c r="U218" s="6"/>
      <c r="V218" s="11"/>
      <c r="W218" s="6"/>
      <c r="X218" s="6"/>
      <c r="Y218" s="6"/>
      <c r="Z218" s="6"/>
      <c r="AA218" s="8"/>
      <c r="AB218" s="8"/>
      <c r="AC218" s="6"/>
      <c r="AD218" s="6"/>
      <c r="AE218" s="9"/>
    </row>
    <row r="219" spans="1:31" s="10" customFormat="1" ht="16.5" x14ac:dyDescent="0.25">
      <c r="A219" s="3">
        <v>203</v>
      </c>
      <c r="B219" s="3" t="s">
        <v>28</v>
      </c>
      <c r="C219" s="5"/>
      <c r="D219" s="4"/>
      <c r="E219" s="6"/>
      <c r="F219" s="6"/>
      <c r="G219" s="6"/>
      <c r="H219" s="6"/>
      <c r="I219" s="7"/>
      <c r="J219" s="3"/>
      <c r="K219" s="3"/>
      <c r="L219" s="3"/>
      <c r="M219" s="3"/>
      <c r="N219" s="3"/>
      <c r="O219" s="3"/>
      <c r="P219" s="3"/>
      <c r="Q219" s="15"/>
      <c r="R219" s="6"/>
      <c r="S219" s="6"/>
      <c r="T219" s="6"/>
      <c r="U219" s="6"/>
      <c r="V219" s="11"/>
      <c r="W219" s="6"/>
      <c r="X219" s="6"/>
      <c r="Y219" s="6"/>
      <c r="Z219" s="6"/>
      <c r="AA219" s="8"/>
      <c r="AB219" s="8"/>
      <c r="AC219" s="6"/>
      <c r="AD219" s="6"/>
      <c r="AE219" s="9"/>
    </row>
    <row r="220" spans="1:31" s="10" customFormat="1" ht="16.5" x14ac:dyDescent="0.25">
      <c r="A220" s="3">
        <v>204</v>
      </c>
      <c r="B220" s="3" t="s">
        <v>28</v>
      </c>
      <c r="C220" s="5"/>
      <c r="D220" s="4"/>
      <c r="E220" s="6"/>
      <c r="F220" s="6"/>
      <c r="G220" s="6"/>
      <c r="H220" s="6"/>
      <c r="I220" s="7"/>
      <c r="J220" s="3"/>
      <c r="K220" s="3"/>
      <c r="L220" s="3"/>
      <c r="M220" s="3"/>
      <c r="N220" s="3"/>
      <c r="O220" s="3"/>
      <c r="P220" s="3"/>
      <c r="Q220" s="15"/>
      <c r="R220" s="6"/>
      <c r="S220" s="6"/>
      <c r="T220" s="6"/>
      <c r="U220" s="6"/>
      <c r="V220" s="11"/>
      <c r="W220" s="6"/>
      <c r="X220" s="6"/>
      <c r="Y220" s="6"/>
      <c r="Z220" s="6"/>
      <c r="AA220" s="8"/>
      <c r="AB220" s="8"/>
      <c r="AC220" s="6"/>
      <c r="AD220" s="6"/>
      <c r="AE220" s="9"/>
    </row>
    <row r="221" spans="1:31" ht="16.5" x14ac:dyDescent="0.25">
      <c r="A221" s="12"/>
      <c r="B221" s="73" t="s">
        <v>37</v>
      </c>
      <c r="C221" s="74"/>
      <c r="D221" s="74"/>
      <c r="E221" s="74"/>
      <c r="F221" s="74"/>
      <c r="G221" s="74"/>
      <c r="H221" s="75"/>
      <c r="I221" s="13"/>
      <c r="J221" s="14">
        <f>COUNTIF(J3:J38,"CQ")+COUNTIF(J38,"CN")+COUNTIF(J38,"TK")</f>
        <v>3</v>
      </c>
      <c r="K221" s="14">
        <f>COUNTIF(K3:K38,"CMĐ")</f>
        <v>4</v>
      </c>
      <c r="L221" s="14">
        <f>COUNTIF(L38,"XMDT")+COUNTIF(L38,"Mốc")</f>
        <v>0</v>
      </c>
      <c r="M221" s="14">
        <f>COUNTIF(M38,"THÁn")</f>
        <v>0</v>
      </c>
      <c r="N221" s="14">
        <f>COUNTIF(N38,"TÒA")</f>
        <v>0</v>
      </c>
      <c r="O221" s="14">
        <f>COUNTIF(O3:O38,"Cấp GCN")</f>
        <v>0</v>
      </c>
      <c r="P221" s="14">
        <f>COUNTIF(P3:P38,"SHN")</f>
        <v>9</v>
      </c>
      <c r="Q221" s="15"/>
      <c r="R221" s="13"/>
      <c r="S221" s="15"/>
      <c r="T221" s="15"/>
      <c r="U221" s="16"/>
      <c r="V221" s="11"/>
      <c r="W221" s="17"/>
      <c r="X221" s="2"/>
      <c r="AD221" s="14">
        <f>COUNTIF(AD38,"kt")</f>
        <v>0</v>
      </c>
    </row>
  </sheetData>
  <mergeCells count="16">
    <mergeCell ref="A1:AC1"/>
    <mergeCell ref="B221:H221"/>
    <mergeCell ref="B27:H27"/>
    <mergeCell ref="B49:H49"/>
    <mergeCell ref="B102:H102"/>
    <mergeCell ref="B116:H116"/>
    <mergeCell ref="B126:H126"/>
    <mergeCell ref="B138:H138"/>
    <mergeCell ref="B145:H145"/>
    <mergeCell ref="B154:H154"/>
    <mergeCell ref="B163:H163"/>
    <mergeCell ref="B171:H171"/>
    <mergeCell ref="B177:H177"/>
    <mergeCell ref="B184:H184"/>
    <mergeCell ref="B198:H198"/>
    <mergeCell ref="B203:H203"/>
  </mergeCells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04"/>
  <sheetViews>
    <sheetView zoomScale="90" zoomScaleNormal="90" workbookViewId="0">
      <pane ySplit="2" topLeftCell="A12" activePane="bottomLeft" state="frozen"/>
      <selection pane="bottomLeft" activeCell="P14" sqref="P14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9" width="12" customWidth="1"/>
    <col min="10" max="10" width="8.42578125" customWidth="1"/>
    <col min="11" max="11" width="7.28515625" customWidth="1"/>
    <col min="12" max="12" width="8.28515625" customWidth="1"/>
    <col min="13" max="13" width="7.5703125" customWidth="1"/>
    <col min="14" max="14" width="5.5703125" customWidth="1"/>
    <col min="15" max="16" width="9.42578125" customWidth="1"/>
    <col min="17" max="17" width="14.5703125" customWidth="1"/>
    <col min="18" max="20" width="12.140625" customWidth="1"/>
    <col min="21" max="21" width="10.7109375" customWidth="1"/>
    <col min="22" max="22" width="13.28515625" customWidth="1"/>
    <col min="23" max="24" width="9" customWidth="1"/>
    <col min="25" max="25" width="10.28515625" customWidth="1"/>
    <col min="26" max="26" width="15.140625" customWidth="1"/>
    <col min="27" max="27" width="16.85546875" customWidth="1"/>
    <col min="28" max="28" width="20.7109375" customWidth="1"/>
    <col min="29" max="30" width="18.5703125" customWidth="1"/>
    <col min="31" max="31" width="9.140625" style="2"/>
  </cols>
  <sheetData>
    <row r="1" spans="1:31" ht="25.5" customHeight="1" x14ac:dyDescent="0.35">
      <c r="A1" s="76" t="s">
        <v>41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2"/>
    </row>
    <row r="2" spans="1:31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4</v>
      </c>
      <c r="K2" s="1" t="s">
        <v>3</v>
      </c>
      <c r="L2" s="1" t="s">
        <v>1</v>
      </c>
      <c r="M2" s="1" t="s">
        <v>19</v>
      </c>
      <c r="N2" s="1" t="s">
        <v>11</v>
      </c>
      <c r="O2" s="1" t="s">
        <v>12</v>
      </c>
      <c r="P2" s="1" t="s">
        <v>52</v>
      </c>
      <c r="Q2" s="1" t="s">
        <v>2</v>
      </c>
      <c r="R2" s="1" t="s">
        <v>20</v>
      </c>
      <c r="S2" s="1" t="s">
        <v>29</v>
      </c>
      <c r="T2" s="1" t="s">
        <v>30</v>
      </c>
      <c r="U2" s="1" t="s">
        <v>31</v>
      </c>
      <c r="V2" s="1" t="s">
        <v>22</v>
      </c>
      <c r="W2" s="1" t="s">
        <v>21</v>
      </c>
      <c r="X2" s="1" t="s">
        <v>23</v>
      </c>
      <c r="Y2" s="1" t="s">
        <v>24</v>
      </c>
      <c r="Z2" s="1" t="s">
        <v>14</v>
      </c>
      <c r="AA2" s="1" t="s">
        <v>13</v>
      </c>
      <c r="AB2" s="1" t="s">
        <v>18</v>
      </c>
      <c r="AC2" s="1" t="s">
        <v>8</v>
      </c>
      <c r="AD2" s="1" t="s">
        <v>35</v>
      </c>
    </row>
    <row r="3" spans="1:31" s="10" customFormat="1" ht="31.5" x14ac:dyDescent="0.25">
      <c r="A3" s="3">
        <v>1</v>
      </c>
      <c r="B3" s="3" t="s">
        <v>27</v>
      </c>
      <c r="C3" s="5" t="s">
        <v>64</v>
      </c>
      <c r="D3" s="4" t="s">
        <v>65</v>
      </c>
      <c r="E3" s="6">
        <v>22</v>
      </c>
      <c r="F3" s="6">
        <v>122</v>
      </c>
      <c r="G3" s="3">
        <v>35.799999999999997</v>
      </c>
      <c r="H3" s="3" t="s">
        <v>55</v>
      </c>
      <c r="I3" s="7">
        <v>45659</v>
      </c>
      <c r="J3" s="3"/>
      <c r="K3" s="3"/>
      <c r="L3" s="3" t="s">
        <v>1</v>
      </c>
      <c r="M3" s="3"/>
      <c r="N3" s="3"/>
      <c r="O3" s="3"/>
      <c r="P3" s="3"/>
      <c r="Q3" s="6" t="s">
        <v>180</v>
      </c>
      <c r="R3" s="7">
        <v>45671</v>
      </c>
      <c r="S3" s="7">
        <v>45672</v>
      </c>
      <c r="T3" s="7">
        <v>45672</v>
      </c>
      <c r="U3" s="20">
        <v>332</v>
      </c>
      <c r="V3" s="11">
        <v>809727</v>
      </c>
      <c r="W3" s="6"/>
      <c r="X3" s="6"/>
      <c r="Y3" s="8"/>
      <c r="Z3" s="8"/>
      <c r="AA3" s="8"/>
      <c r="AB3" s="6"/>
      <c r="AC3" s="8" t="s">
        <v>301</v>
      </c>
      <c r="AD3" s="6"/>
      <c r="AE3" s="9"/>
    </row>
    <row r="4" spans="1:31" s="10" customFormat="1" ht="31.5" x14ac:dyDescent="0.25">
      <c r="A4" s="3">
        <v>2</v>
      </c>
      <c r="B4" s="3" t="s">
        <v>27</v>
      </c>
      <c r="C4" s="5" t="s">
        <v>178</v>
      </c>
      <c r="D4" s="4" t="s">
        <v>179</v>
      </c>
      <c r="E4" s="6">
        <v>12</v>
      </c>
      <c r="F4" s="6">
        <v>612</v>
      </c>
      <c r="G4" s="6">
        <v>128.4</v>
      </c>
      <c r="H4" s="6" t="s">
        <v>51</v>
      </c>
      <c r="I4" s="7">
        <v>45656</v>
      </c>
      <c r="J4" s="3"/>
      <c r="K4" s="3"/>
      <c r="L4" s="3" t="s">
        <v>1</v>
      </c>
      <c r="M4" s="3"/>
      <c r="N4" s="3"/>
      <c r="O4" s="3"/>
      <c r="P4" s="3"/>
      <c r="Q4" s="6" t="s">
        <v>180</v>
      </c>
      <c r="R4" s="7">
        <v>45671</v>
      </c>
      <c r="S4" s="7">
        <v>45700</v>
      </c>
      <c r="T4" s="7">
        <v>45700</v>
      </c>
      <c r="U4" s="6">
        <v>751</v>
      </c>
      <c r="V4" s="11">
        <v>961551</v>
      </c>
      <c r="W4" s="6"/>
      <c r="X4" s="6"/>
      <c r="Y4" s="6"/>
      <c r="Z4" s="6"/>
      <c r="AA4" s="8"/>
      <c r="AB4" s="8"/>
      <c r="AC4" s="8" t="s">
        <v>522</v>
      </c>
      <c r="AD4" s="6"/>
      <c r="AE4" s="9"/>
    </row>
    <row r="5" spans="1:31" s="10" customFormat="1" ht="47.25" x14ac:dyDescent="0.25">
      <c r="A5" s="3">
        <v>3</v>
      </c>
      <c r="B5" s="3" t="s">
        <v>27</v>
      </c>
      <c r="C5" s="5" t="s">
        <v>280</v>
      </c>
      <c r="D5" s="4" t="s">
        <v>202</v>
      </c>
      <c r="E5" s="6">
        <v>3</v>
      </c>
      <c r="F5" s="6">
        <v>66</v>
      </c>
      <c r="G5" s="3">
        <v>88</v>
      </c>
      <c r="H5" s="3" t="s">
        <v>55</v>
      </c>
      <c r="I5" s="7">
        <v>45664</v>
      </c>
      <c r="J5" s="3"/>
      <c r="K5" s="3"/>
      <c r="L5" s="3" t="s">
        <v>1</v>
      </c>
      <c r="M5" s="3"/>
      <c r="N5" s="3"/>
      <c r="O5" s="3"/>
      <c r="P5" s="3"/>
      <c r="Q5" s="6" t="s">
        <v>180</v>
      </c>
      <c r="R5" s="7"/>
      <c r="S5" s="6"/>
      <c r="T5" s="6"/>
      <c r="U5" s="6"/>
      <c r="V5" s="11"/>
      <c r="W5" s="6"/>
      <c r="X5" s="6"/>
      <c r="Y5" s="6"/>
      <c r="Z5" s="6"/>
      <c r="AA5" s="8"/>
      <c r="AB5" s="8"/>
      <c r="AC5" s="6" t="s">
        <v>281</v>
      </c>
      <c r="AD5" s="6"/>
      <c r="AE5" s="9"/>
    </row>
    <row r="6" spans="1:31" s="10" customFormat="1" ht="33" customHeight="1" x14ac:dyDescent="0.25">
      <c r="A6" s="3">
        <v>4</v>
      </c>
      <c r="B6" s="3" t="s">
        <v>27</v>
      </c>
      <c r="C6" s="5" t="s">
        <v>347</v>
      </c>
      <c r="D6" s="4" t="s">
        <v>348</v>
      </c>
      <c r="E6" s="6">
        <v>9</v>
      </c>
      <c r="F6" s="6">
        <v>742</v>
      </c>
      <c r="G6" s="3">
        <v>477.9</v>
      </c>
      <c r="H6" s="3" t="s">
        <v>51</v>
      </c>
      <c r="I6" s="7">
        <v>45679</v>
      </c>
      <c r="J6" s="3"/>
      <c r="K6" s="3"/>
      <c r="L6" s="3" t="s">
        <v>1</v>
      </c>
      <c r="M6" s="3"/>
      <c r="N6" s="3"/>
      <c r="O6" s="3"/>
      <c r="P6" s="3"/>
      <c r="Q6" s="6" t="s">
        <v>180</v>
      </c>
      <c r="R6" s="7"/>
      <c r="S6" s="7"/>
      <c r="T6" s="7"/>
      <c r="U6" s="6"/>
      <c r="V6" s="11"/>
      <c r="W6" s="6"/>
      <c r="X6" s="6"/>
      <c r="Y6" s="6"/>
      <c r="Z6" s="6"/>
      <c r="AA6" s="8"/>
      <c r="AB6" s="8"/>
      <c r="AC6" s="6"/>
      <c r="AD6" s="6"/>
      <c r="AE6" s="9"/>
    </row>
    <row r="7" spans="1:31" s="10" customFormat="1" ht="47.25" x14ac:dyDescent="0.25">
      <c r="A7" s="3">
        <v>5</v>
      </c>
      <c r="B7" s="12" t="s">
        <v>27</v>
      </c>
      <c r="C7" s="19" t="s">
        <v>364</v>
      </c>
      <c r="D7" s="4" t="s">
        <v>143</v>
      </c>
      <c r="E7" s="3">
        <v>29</v>
      </c>
      <c r="F7" s="6">
        <v>2</v>
      </c>
      <c r="G7" s="6">
        <v>107.7</v>
      </c>
      <c r="H7" s="3" t="s">
        <v>55</v>
      </c>
      <c r="I7" s="7">
        <v>45680</v>
      </c>
      <c r="J7" s="3"/>
      <c r="K7" s="3"/>
      <c r="L7" s="3" t="s">
        <v>1</v>
      </c>
      <c r="M7" s="3"/>
      <c r="N7" s="3"/>
      <c r="O7" s="3"/>
      <c r="P7" s="3"/>
      <c r="Q7" s="6" t="s">
        <v>180</v>
      </c>
      <c r="R7" s="7"/>
      <c r="S7" s="7"/>
      <c r="T7" s="7"/>
      <c r="U7" s="6"/>
      <c r="V7" s="11"/>
      <c r="W7" s="6"/>
      <c r="X7" s="6"/>
      <c r="Y7" s="6"/>
      <c r="Z7" s="6"/>
      <c r="AA7" s="8"/>
      <c r="AB7" s="8"/>
      <c r="AC7" s="6" t="s">
        <v>774</v>
      </c>
      <c r="AD7" s="6"/>
      <c r="AE7" s="9"/>
    </row>
    <row r="8" spans="1:31" ht="16.5" x14ac:dyDescent="0.25">
      <c r="A8" s="12"/>
      <c r="B8" s="73" t="s">
        <v>365</v>
      </c>
      <c r="C8" s="74"/>
      <c r="D8" s="74"/>
      <c r="E8" s="74"/>
      <c r="F8" s="74"/>
      <c r="G8" s="74"/>
      <c r="H8" s="75"/>
      <c r="I8" s="13"/>
      <c r="J8" s="14">
        <f>COUNTIF(J1:J7,"CQ")+COUNTIF(J7,"CN")+COUNTIF(J7,"TK")</f>
        <v>0</v>
      </c>
      <c r="K8" s="14">
        <f>COUNTIF(K1:K7,"CMĐ")</f>
        <v>0</v>
      </c>
      <c r="L8" s="14">
        <f>COUNTIF(L3:L7,"XMDT")+COUNTIF(L3:L7,"Mốc")</f>
        <v>5</v>
      </c>
      <c r="M8" s="14">
        <f>COUNTIF(M7,"THÁn")</f>
        <v>0</v>
      </c>
      <c r="N8" s="14">
        <f>COUNTIF(N7,"TÒA")</f>
        <v>0</v>
      </c>
      <c r="O8" s="14">
        <f>COUNTIF(O1:O7,"Cấp GCN")</f>
        <v>0</v>
      </c>
      <c r="P8" s="14">
        <f>COUNTIF(P3:P7,"SHN")</f>
        <v>0</v>
      </c>
      <c r="Q8" s="15"/>
      <c r="R8" s="13"/>
      <c r="S8" s="15"/>
      <c r="T8" s="15"/>
      <c r="U8" s="16"/>
      <c r="V8" s="11"/>
      <c r="W8" s="17"/>
      <c r="X8" s="2"/>
      <c r="AD8" s="14">
        <f>COUNTIF(AD7,"kt")</f>
        <v>0</v>
      </c>
    </row>
    <row r="9" spans="1:31" s="10" customFormat="1" ht="47.25" x14ac:dyDescent="0.25">
      <c r="A9" s="3">
        <v>7</v>
      </c>
      <c r="B9" s="3" t="s">
        <v>27</v>
      </c>
      <c r="C9" s="5" t="s">
        <v>377</v>
      </c>
      <c r="D9" s="4" t="s">
        <v>378</v>
      </c>
      <c r="E9" s="6">
        <v>9</v>
      </c>
      <c r="F9" s="6">
        <v>252</v>
      </c>
      <c r="G9" s="3">
        <v>961</v>
      </c>
      <c r="H9" s="3" t="s">
        <v>279</v>
      </c>
      <c r="I9" s="7">
        <v>45692</v>
      </c>
      <c r="J9" s="3"/>
      <c r="K9" s="3"/>
      <c r="L9" s="3"/>
      <c r="M9" s="3"/>
      <c r="N9" s="3"/>
      <c r="O9" s="3" t="s">
        <v>81</v>
      </c>
      <c r="P9" s="3"/>
      <c r="Q9" s="6" t="s">
        <v>180</v>
      </c>
      <c r="R9" s="7">
        <v>45821</v>
      </c>
      <c r="S9" s="7">
        <v>45826</v>
      </c>
      <c r="T9" s="7">
        <v>45826</v>
      </c>
      <c r="U9" s="6">
        <v>1638</v>
      </c>
      <c r="V9" s="11">
        <v>1248329</v>
      </c>
      <c r="W9" s="6"/>
      <c r="X9" s="6"/>
      <c r="Y9" s="6"/>
      <c r="Z9" s="6"/>
      <c r="AA9" s="8"/>
      <c r="AB9" s="8"/>
      <c r="AC9" s="6"/>
      <c r="AD9" s="6"/>
      <c r="AE9" s="9"/>
    </row>
    <row r="10" spans="1:31" s="10" customFormat="1" ht="35.25" customHeight="1" x14ac:dyDescent="0.25">
      <c r="A10" s="3">
        <v>8</v>
      </c>
      <c r="B10" s="3" t="s">
        <v>27</v>
      </c>
      <c r="C10" s="5" t="s">
        <v>417</v>
      </c>
      <c r="D10" s="4" t="s">
        <v>418</v>
      </c>
      <c r="E10" s="6">
        <v>12</v>
      </c>
      <c r="F10" s="6">
        <v>640</v>
      </c>
      <c r="G10" s="3">
        <v>71.7</v>
      </c>
      <c r="H10" s="3" t="s">
        <v>55</v>
      </c>
      <c r="I10" s="7">
        <v>45695</v>
      </c>
      <c r="J10" s="3"/>
      <c r="K10" s="3"/>
      <c r="L10" s="3"/>
      <c r="M10" s="3"/>
      <c r="N10" s="3"/>
      <c r="O10" s="3"/>
      <c r="P10" s="3" t="s">
        <v>52</v>
      </c>
      <c r="Q10" s="6" t="s">
        <v>180</v>
      </c>
      <c r="R10" s="7">
        <v>45833</v>
      </c>
      <c r="S10" s="7">
        <v>45834</v>
      </c>
      <c r="T10" s="7">
        <v>45834</v>
      </c>
      <c r="U10" s="20">
        <v>1940</v>
      </c>
      <c r="V10" s="11">
        <v>2125468</v>
      </c>
      <c r="W10" s="6"/>
      <c r="X10" s="6"/>
      <c r="Y10" s="6"/>
      <c r="Z10" s="6"/>
      <c r="AA10" s="8"/>
      <c r="AB10" s="8"/>
      <c r="AC10" s="6"/>
      <c r="AD10" s="6"/>
      <c r="AE10" s="9"/>
    </row>
    <row r="11" spans="1:31" s="10" customFormat="1" ht="31.5" x14ac:dyDescent="0.25">
      <c r="A11" s="3">
        <v>9</v>
      </c>
      <c r="B11" s="3" t="s">
        <v>27</v>
      </c>
      <c r="C11" s="5" t="s">
        <v>455</v>
      </c>
      <c r="D11" s="4"/>
      <c r="E11" s="6">
        <v>16</v>
      </c>
      <c r="F11" s="6">
        <v>1043</v>
      </c>
      <c r="G11" s="3">
        <v>501.1</v>
      </c>
      <c r="H11" s="3" t="s">
        <v>51</v>
      </c>
      <c r="I11" s="7">
        <v>45699</v>
      </c>
      <c r="J11" s="3"/>
      <c r="K11" s="3"/>
      <c r="L11" s="3"/>
      <c r="M11" s="3"/>
      <c r="N11" s="3"/>
      <c r="O11" s="3"/>
      <c r="P11" s="3"/>
      <c r="Q11" s="6" t="s">
        <v>190</v>
      </c>
      <c r="R11" s="7">
        <v>45632</v>
      </c>
      <c r="S11" s="7"/>
      <c r="T11" s="7"/>
      <c r="U11" s="6"/>
      <c r="V11" s="11"/>
      <c r="W11" s="6"/>
      <c r="X11" s="6"/>
      <c r="Y11" s="6"/>
      <c r="Z11" s="6" t="s">
        <v>456</v>
      </c>
      <c r="AA11" s="8" t="s">
        <v>458</v>
      </c>
      <c r="AB11" s="8"/>
      <c r="AC11" s="6"/>
      <c r="AD11" s="6"/>
      <c r="AE11" s="9"/>
    </row>
    <row r="12" spans="1:31" s="10" customFormat="1" ht="78.75" x14ac:dyDescent="0.25">
      <c r="A12" s="3">
        <v>10</v>
      </c>
      <c r="B12" s="3" t="s">
        <v>27</v>
      </c>
      <c r="C12" s="5" t="s">
        <v>487</v>
      </c>
      <c r="D12" s="4" t="s">
        <v>488</v>
      </c>
      <c r="E12" s="6">
        <v>13</v>
      </c>
      <c r="F12" s="6">
        <v>697</v>
      </c>
      <c r="G12" s="3">
        <v>315.5</v>
      </c>
      <c r="H12" s="3" t="s">
        <v>55</v>
      </c>
      <c r="I12" s="7">
        <v>45700</v>
      </c>
      <c r="J12" s="3"/>
      <c r="K12" s="3"/>
      <c r="L12" s="3"/>
      <c r="M12" s="3" t="s">
        <v>488</v>
      </c>
      <c r="N12" s="3"/>
      <c r="O12" s="3"/>
      <c r="P12" s="3"/>
      <c r="Q12" s="6" t="s">
        <v>180</v>
      </c>
      <c r="R12" s="7"/>
      <c r="S12" s="7"/>
      <c r="T12" s="7"/>
      <c r="U12" s="6"/>
      <c r="V12" s="11"/>
      <c r="W12" s="6"/>
      <c r="X12" s="6"/>
      <c r="Y12" s="6"/>
      <c r="Z12" s="6"/>
      <c r="AA12" s="8"/>
      <c r="AB12" s="8" t="s">
        <v>746</v>
      </c>
      <c r="AC12" s="6" t="s">
        <v>489</v>
      </c>
      <c r="AD12" s="6"/>
      <c r="AE12" s="9"/>
    </row>
    <row r="13" spans="1:31" s="10" customFormat="1" ht="31.5" x14ac:dyDescent="0.25">
      <c r="A13" s="3">
        <v>11</v>
      </c>
      <c r="B13" s="3" t="s">
        <v>27</v>
      </c>
      <c r="C13" s="5" t="s">
        <v>513</v>
      </c>
      <c r="D13" s="4"/>
      <c r="E13" s="6">
        <v>12</v>
      </c>
      <c r="F13" s="6">
        <v>420</v>
      </c>
      <c r="G13" s="3">
        <v>67.099999999999994</v>
      </c>
      <c r="H13" s="3" t="s">
        <v>75</v>
      </c>
      <c r="I13" s="7">
        <v>45701</v>
      </c>
      <c r="J13" s="3"/>
      <c r="K13" s="3"/>
      <c r="L13" s="3"/>
      <c r="M13" s="3"/>
      <c r="N13" s="3"/>
      <c r="O13" s="3"/>
      <c r="P13" s="3" t="s">
        <v>52</v>
      </c>
      <c r="Q13" s="6" t="s">
        <v>180</v>
      </c>
      <c r="R13" s="7">
        <v>45722</v>
      </c>
      <c r="S13" s="7">
        <v>45735</v>
      </c>
      <c r="T13" s="7">
        <v>45735</v>
      </c>
      <c r="U13" s="6">
        <v>1577</v>
      </c>
      <c r="V13" s="11">
        <v>2523992</v>
      </c>
      <c r="W13" s="6"/>
      <c r="X13" s="6"/>
      <c r="Y13" s="6"/>
      <c r="Z13" s="6"/>
      <c r="AA13" s="8"/>
      <c r="AB13" s="8"/>
      <c r="AC13" s="6" t="s">
        <v>1164</v>
      </c>
      <c r="AD13" s="6"/>
      <c r="AE13" s="9" t="s">
        <v>514</v>
      </c>
    </row>
    <row r="14" spans="1:31" s="10" customFormat="1" ht="78.75" x14ac:dyDescent="0.25">
      <c r="A14" s="3">
        <v>12</v>
      </c>
      <c r="B14" s="3" t="s">
        <v>27</v>
      </c>
      <c r="C14" s="5" t="s">
        <v>528</v>
      </c>
      <c r="D14" s="4" t="s">
        <v>315</v>
      </c>
      <c r="E14" s="6">
        <v>10</v>
      </c>
      <c r="F14" s="6" t="s">
        <v>529</v>
      </c>
      <c r="G14" s="3"/>
      <c r="H14" s="3"/>
      <c r="I14" s="7">
        <v>45702</v>
      </c>
      <c r="J14" s="3"/>
      <c r="K14" s="3"/>
      <c r="L14" s="3"/>
      <c r="M14" s="3"/>
      <c r="N14" s="3" t="s">
        <v>56</v>
      </c>
      <c r="O14" s="3"/>
      <c r="P14" s="3"/>
      <c r="Q14" s="6" t="s">
        <v>180</v>
      </c>
      <c r="R14" s="7"/>
      <c r="S14" s="7"/>
      <c r="T14" s="7"/>
      <c r="U14" s="6"/>
      <c r="V14" s="11"/>
      <c r="W14" s="6"/>
      <c r="X14" s="6"/>
      <c r="Y14" s="6"/>
      <c r="Z14" s="6"/>
      <c r="AA14" s="8"/>
      <c r="AB14" s="8" t="s">
        <v>986</v>
      </c>
      <c r="AC14" s="6" t="s">
        <v>530</v>
      </c>
      <c r="AD14" s="6"/>
      <c r="AE14" s="9"/>
    </row>
    <row r="15" spans="1:31" s="10" customFormat="1" ht="47.25" x14ac:dyDescent="0.25">
      <c r="A15" s="3">
        <v>13</v>
      </c>
      <c r="B15" s="3" t="s">
        <v>27</v>
      </c>
      <c r="C15" s="5" t="s">
        <v>580</v>
      </c>
      <c r="D15" s="4" t="s">
        <v>581</v>
      </c>
      <c r="E15" s="6">
        <v>24</v>
      </c>
      <c r="F15" s="6">
        <v>33</v>
      </c>
      <c r="G15" s="3">
        <v>139.30000000000001</v>
      </c>
      <c r="H15" s="3" t="s">
        <v>75</v>
      </c>
      <c r="I15" s="7">
        <v>45706</v>
      </c>
      <c r="J15" s="3"/>
      <c r="K15" s="3"/>
      <c r="L15" s="3" t="s">
        <v>1</v>
      </c>
      <c r="M15" s="3"/>
      <c r="N15" s="3"/>
      <c r="O15" s="3"/>
      <c r="P15" s="3"/>
      <c r="Q15" s="6" t="s">
        <v>180</v>
      </c>
      <c r="R15" s="7">
        <v>45770</v>
      </c>
      <c r="S15" s="7">
        <v>45771</v>
      </c>
      <c r="T15" s="7">
        <v>45771</v>
      </c>
      <c r="U15" s="6">
        <v>154</v>
      </c>
      <c r="V15" s="11">
        <v>961551</v>
      </c>
      <c r="W15" s="6"/>
      <c r="X15" s="6"/>
      <c r="Y15" s="6"/>
      <c r="Z15" s="6"/>
      <c r="AA15" s="8"/>
      <c r="AB15" s="8"/>
      <c r="AC15" s="6"/>
      <c r="AD15" s="6"/>
      <c r="AE15" s="9"/>
    </row>
    <row r="16" spans="1:31" s="10" customFormat="1" ht="31.5" x14ac:dyDescent="0.25">
      <c r="A16" s="3">
        <v>14</v>
      </c>
      <c r="B16" s="3" t="s">
        <v>27</v>
      </c>
      <c r="C16" s="5" t="s">
        <v>582</v>
      </c>
      <c r="D16" s="4" t="s">
        <v>583</v>
      </c>
      <c r="E16" s="6">
        <v>16</v>
      </c>
      <c r="F16" s="6">
        <v>1045</v>
      </c>
      <c r="G16" s="3">
        <v>781.3</v>
      </c>
      <c r="H16" s="3" t="s">
        <v>55</v>
      </c>
      <c r="I16" s="7">
        <v>45706</v>
      </c>
      <c r="J16" s="3"/>
      <c r="K16" s="3"/>
      <c r="L16" s="3"/>
      <c r="M16" s="3"/>
      <c r="N16" s="3"/>
      <c r="O16" s="3"/>
      <c r="P16" s="3" t="s">
        <v>52</v>
      </c>
      <c r="Q16" s="6" t="s">
        <v>180</v>
      </c>
      <c r="R16" s="7"/>
      <c r="S16" s="7"/>
      <c r="T16" s="7"/>
      <c r="U16" s="6"/>
      <c r="V16" s="11"/>
      <c r="W16" s="6"/>
      <c r="X16" s="6"/>
      <c r="Y16" s="6"/>
      <c r="Z16" s="6"/>
      <c r="AA16" s="8"/>
      <c r="AB16" s="8" t="s">
        <v>1922</v>
      </c>
      <c r="AC16" s="6" t="s">
        <v>1122</v>
      </c>
      <c r="AD16" s="6"/>
      <c r="AE16" s="9"/>
    </row>
    <row r="17" spans="1:31" s="10" customFormat="1" ht="31.5" x14ac:dyDescent="0.25">
      <c r="A17" s="3">
        <v>15</v>
      </c>
      <c r="B17" s="3" t="s">
        <v>27</v>
      </c>
      <c r="C17" s="5" t="s">
        <v>631</v>
      </c>
      <c r="D17" s="4" t="s">
        <v>194</v>
      </c>
      <c r="E17" s="6">
        <v>8</v>
      </c>
      <c r="F17" s="6">
        <v>465</v>
      </c>
      <c r="G17" s="3">
        <v>188.2</v>
      </c>
      <c r="H17" s="3" t="s">
        <v>75</v>
      </c>
      <c r="I17" s="7">
        <v>45708</v>
      </c>
      <c r="J17" s="3"/>
      <c r="K17" s="3"/>
      <c r="L17" s="3"/>
      <c r="M17" s="3"/>
      <c r="N17" s="3"/>
      <c r="O17" s="3"/>
      <c r="P17" s="3" t="s">
        <v>52</v>
      </c>
      <c r="Q17" s="6" t="s">
        <v>180</v>
      </c>
      <c r="R17" s="7">
        <v>45833</v>
      </c>
      <c r="S17" s="7">
        <v>45834</v>
      </c>
      <c r="T17" s="7">
        <v>45834</v>
      </c>
      <c r="U17" s="20">
        <v>1924</v>
      </c>
      <c r="V17" s="11">
        <v>4206654</v>
      </c>
      <c r="W17" s="6"/>
      <c r="X17" s="6"/>
      <c r="Y17" s="6"/>
      <c r="Z17" s="6"/>
      <c r="AA17" s="8"/>
      <c r="AB17" s="8" t="s">
        <v>2737</v>
      </c>
      <c r="AC17" s="6"/>
      <c r="AD17" s="6"/>
      <c r="AE17" s="9"/>
    </row>
    <row r="18" spans="1:31" s="10" customFormat="1" ht="31.5" x14ac:dyDescent="0.25">
      <c r="A18" s="3">
        <v>16</v>
      </c>
      <c r="B18" s="3" t="s">
        <v>27</v>
      </c>
      <c r="C18" s="5" t="s">
        <v>659</v>
      </c>
      <c r="D18" s="4" t="s">
        <v>660</v>
      </c>
      <c r="E18" s="6">
        <v>5</v>
      </c>
      <c r="F18" s="6">
        <v>875</v>
      </c>
      <c r="G18" s="3">
        <v>83.8</v>
      </c>
      <c r="H18" s="3" t="s">
        <v>51</v>
      </c>
      <c r="I18" s="7">
        <v>45712</v>
      </c>
      <c r="J18" s="3"/>
      <c r="K18" s="3"/>
      <c r="L18" s="3" t="s">
        <v>98</v>
      </c>
      <c r="M18" s="3"/>
      <c r="N18" s="3"/>
      <c r="O18" s="3"/>
      <c r="P18" s="3"/>
      <c r="Q18" s="6" t="s">
        <v>180</v>
      </c>
      <c r="R18" s="7">
        <v>45723</v>
      </c>
      <c r="S18" s="7">
        <v>45762</v>
      </c>
      <c r="T18" s="7">
        <v>45762</v>
      </c>
      <c r="U18" s="6">
        <v>2278</v>
      </c>
      <c r="V18" s="11">
        <v>2060577</v>
      </c>
      <c r="W18" s="6"/>
      <c r="X18" s="6"/>
      <c r="Y18" s="6"/>
      <c r="Z18" s="6"/>
      <c r="AA18" s="8"/>
      <c r="AB18" s="8"/>
      <c r="AC18" s="6" t="s">
        <v>661</v>
      </c>
      <c r="AD18" s="6" t="s">
        <v>721</v>
      </c>
      <c r="AE18" s="9"/>
    </row>
    <row r="19" spans="1:31" s="10" customFormat="1" ht="15.75" x14ac:dyDescent="0.25">
      <c r="A19" s="3">
        <v>17</v>
      </c>
      <c r="B19" s="3" t="s">
        <v>27</v>
      </c>
      <c r="C19" s="5" t="s">
        <v>676</v>
      </c>
      <c r="D19" s="4" t="s">
        <v>677</v>
      </c>
      <c r="E19" s="6">
        <v>19</v>
      </c>
      <c r="F19" s="6">
        <v>313</v>
      </c>
      <c r="G19" s="3">
        <v>490.6</v>
      </c>
      <c r="H19" s="3" t="s">
        <v>75</v>
      </c>
      <c r="I19" s="7">
        <v>45712</v>
      </c>
      <c r="J19" s="3" t="s">
        <v>153</v>
      </c>
      <c r="K19" s="3"/>
      <c r="L19" s="3"/>
      <c r="M19" s="3"/>
      <c r="N19" s="3"/>
      <c r="O19" s="3"/>
      <c r="P19" s="3"/>
      <c r="Q19" s="6" t="s">
        <v>180</v>
      </c>
      <c r="R19" s="7">
        <v>45811</v>
      </c>
      <c r="S19" s="7">
        <v>45825</v>
      </c>
      <c r="T19" s="7">
        <v>45825</v>
      </c>
      <c r="U19" s="6">
        <v>1602</v>
      </c>
      <c r="V19" s="11">
        <v>961551</v>
      </c>
      <c r="W19" s="6"/>
      <c r="X19" s="6"/>
      <c r="Y19" s="6"/>
      <c r="Z19" s="6"/>
      <c r="AA19" s="8"/>
      <c r="AB19" s="8"/>
      <c r="AC19" s="6"/>
      <c r="AD19" s="6"/>
      <c r="AE19" s="9"/>
    </row>
    <row r="20" spans="1:31" ht="16.5" x14ac:dyDescent="0.25">
      <c r="A20" s="12"/>
      <c r="B20" s="73" t="s">
        <v>706</v>
      </c>
      <c r="C20" s="74"/>
      <c r="D20" s="74"/>
      <c r="E20" s="74"/>
      <c r="F20" s="74"/>
      <c r="G20" s="74"/>
      <c r="H20" s="75"/>
      <c r="I20" s="13"/>
      <c r="J20" s="14">
        <f>COUNTIF(J9:J19,"CQ")+COUNTIF(J19,"CN")+COUNTIF(J19,"TK")</f>
        <v>1</v>
      </c>
      <c r="K20" s="14">
        <f ca="1">COUNTIF(K9:K20,"CMĐ")</f>
        <v>0</v>
      </c>
      <c r="L20" s="14">
        <f>COUNTIF(L9:L19,"XMDT")+COUNTIF(L9:L19,"Mốc")</f>
        <v>2</v>
      </c>
      <c r="M20" s="14">
        <f>COUNTIF(M9:M19,"THÁn")</f>
        <v>1</v>
      </c>
      <c r="N20" s="14">
        <f>COUNTIF(N9:N19,"TÒA")</f>
        <v>1</v>
      </c>
      <c r="O20" s="14">
        <f>COUNTIF(O9:O19,"Cấp GCN")</f>
        <v>1</v>
      </c>
      <c r="P20" s="14">
        <f>COUNTIF(P9:P19,"SHN")</f>
        <v>4</v>
      </c>
      <c r="Q20" s="15"/>
      <c r="R20" s="13"/>
      <c r="S20" s="15"/>
      <c r="T20" s="15"/>
      <c r="U20" s="16"/>
      <c r="V20" s="11"/>
      <c r="W20" s="17"/>
      <c r="X20" s="2"/>
      <c r="AD20" s="14">
        <f>COUNTIF(AD19,"kt")</f>
        <v>0</v>
      </c>
    </row>
    <row r="21" spans="1:31" s="10" customFormat="1" ht="15.75" x14ac:dyDescent="0.25">
      <c r="A21" s="3">
        <v>18</v>
      </c>
      <c r="B21" s="3" t="s">
        <v>27</v>
      </c>
      <c r="C21" s="5" t="s">
        <v>717</v>
      </c>
      <c r="D21" s="4" t="s">
        <v>718</v>
      </c>
      <c r="E21" s="6">
        <v>19</v>
      </c>
      <c r="F21" s="6">
        <v>759</v>
      </c>
      <c r="G21" s="3">
        <v>1107.0999999999999</v>
      </c>
      <c r="H21" s="3" t="s">
        <v>51</v>
      </c>
      <c r="I21" s="7">
        <v>45713</v>
      </c>
      <c r="J21" s="3"/>
      <c r="K21" s="3" t="s">
        <v>62</v>
      </c>
      <c r="L21" s="3"/>
      <c r="M21" s="3"/>
      <c r="N21" s="3"/>
      <c r="O21" s="3"/>
      <c r="P21" s="3"/>
      <c r="Q21" s="6" t="s">
        <v>180</v>
      </c>
      <c r="R21" s="7">
        <v>45834</v>
      </c>
      <c r="S21" s="7">
        <v>45835</v>
      </c>
      <c r="T21" s="7">
        <v>45835</v>
      </c>
      <c r="U21" s="6">
        <v>2011</v>
      </c>
      <c r="V21" s="11">
        <v>809727</v>
      </c>
      <c r="W21" s="6"/>
      <c r="X21" s="6"/>
      <c r="Y21" s="6"/>
      <c r="Z21" s="6"/>
      <c r="AA21" s="8"/>
      <c r="AB21" s="8"/>
      <c r="AC21" s="6"/>
      <c r="AD21" s="6"/>
      <c r="AE21" s="9"/>
    </row>
    <row r="22" spans="1:31" s="10" customFormat="1" ht="15.75" x14ac:dyDescent="0.25">
      <c r="A22" s="3">
        <v>19</v>
      </c>
      <c r="B22" s="3" t="s">
        <v>27</v>
      </c>
      <c r="C22" s="5" t="s">
        <v>768</v>
      </c>
      <c r="D22" s="4" t="s">
        <v>769</v>
      </c>
      <c r="E22" s="6">
        <v>3</v>
      </c>
      <c r="F22" s="6">
        <v>20</v>
      </c>
      <c r="G22" s="3">
        <v>1318.1</v>
      </c>
      <c r="H22" s="3" t="s">
        <v>75</v>
      </c>
      <c r="I22" s="7">
        <v>45715</v>
      </c>
      <c r="J22" s="3"/>
      <c r="K22" s="3"/>
      <c r="L22" s="3" t="s">
        <v>1</v>
      </c>
      <c r="M22" s="3"/>
      <c r="N22" s="3"/>
      <c r="O22" s="3"/>
      <c r="P22" s="3"/>
      <c r="Q22" s="6" t="s">
        <v>180</v>
      </c>
      <c r="R22" s="7"/>
      <c r="S22" s="7"/>
      <c r="T22" s="7"/>
      <c r="U22" s="6"/>
      <c r="V22" s="11"/>
      <c r="W22" s="6"/>
      <c r="X22" s="6"/>
      <c r="Y22" s="6"/>
      <c r="Z22" s="6"/>
      <c r="AA22" s="8"/>
      <c r="AB22" s="8"/>
      <c r="AC22" s="6"/>
      <c r="AD22" s="6"/>
      <c r="AE22" s="9"/>
    </row>
    <row r="23" spans="1:31" s="10" customFormat="1" ht="31.5" x14ac:dyDescent="0.25">
      <c r="A23" s="3">
        <v>20</v>
      </c>
      <c r="B23" s="3" t="s">
        <v>27</v>
      </c>
      <c r="C23" s="5" t="s">
        <v>777</v>
      </c>
      <c r="D23" s="4" t="s">
        <v>778</v>
      </c>
      <c r="E23" s="6">
        <v>9</v>
      </c>
      <c r="F23" s="6">
        <v>552</v>
      </c>
      <c r="G23" s="3">
        <v>644.4</v>
      </c>
      <c r="H23" s="3" t="s">
        <v>75</v>
      </c>
      <c r="I23" s="7">
        <v>45716</v>
      </c>
      <c r="J23" s="3"/>
      <c r="K23" s="3" t="s">
        <v>62</v>
      </c>
      <c r="L23" s="3"/>
      <c r="M23" s="3"/>
      <c r="N23" s="3"/>
      <c r="O23" s="3"/>
      <c r="P23" s="3"/>
      <c r="Q23" s="6" t="s">
        <v>180</v>
      </c>
      <c r="R23" s="7">
        <v>45749</v>
      </c>
      <c r="S23" s="7">
        <v>45819</v>
      </c>
      <c r="T23" s="7">
        <v>45819</v>
      </c>
      <c r="U23" s="6">
        <v>1443</v>
      </c>
      <c r="V23" s="11">
        <v>1248329</v>
      </c>
      <c r="W23" s="6"/>
      <c r="X23" s="6"/>
      <c r="Y23" s="6"/>
      <c r="Z23" s="6"/>
      <c r="AA23" s="8"/>
      <c r="AB23" s="8"/>
      <c r="AC23" s="6" t="s">
        <v>2486</v>
      </c>
      <c r="AD23" s="6"/>
      <c r="AE23" s="9"/>
    </row>
    <row r="24" spans="1:31" s="10" customFormat="1" ht="59.25" customHeight="1" x14ac:dyDescent="0.25">
      <c r="A24" s="3">
        <v>21</v>
      </c>
      <c r="B24" s="3" t="s">
        <v>27</v>
      </c>
      <c r="C24" s="5" t="s">
        <v>842</v>
      </c>
      <c r="D24" s="4" t="s">
        <v>843</v>
      </c>
      <c r="E24" s="6">
        <v>25</v>
      </c>
      <c r="F24" s="6">
        <v>27</v>
      </c>
      <c r="G24" s="3">
        <v>72.3</v>
      </c>
      <c r="H24" s="3" t="s">
        <v>55</v>
      </c>
      <c r="I24" s="7">
        <v>45720</v>
      </c>
      <c r="J24" s="3"/>
      <c r="K24" s="3"/>
      <c r="L24" s="3"/>
      <c r="M24" s="3"/>
      <c r="N24" s="3"/>
      <c r="O24" s="3"/>
      <c r="P24" s="3" t="s">
        <v>52</v>
      </c>
      <c r="Q24" s="6" t="s">
        <v>180</v>
      </c>
      <c r="R24" s="7">
        <v>45757</v>
      </c>
      <c r="S24" s="7">
        <v>45761</v>
      </c>
      <c r="T24" s="7">
        <v>45761</v>
      </c>
      <c r="U24" s="6">
        <v>2238</v>
      </c>
      <c r="V24" s="11">
        <v>1416978</v>
      </c>
      <c r="W24" s="6"/>
      <c r="X24" s="6"/>
      <c r="Y24" s="6"/>
      <c r="Z24" s="6"/>
      <c r="AA24" s="8"/>
      <c r="AB24" s="8"/>
      <c r="AC24" s="6"/>
      <c r="AD24" s="6"/>
      <c r="AE24" s="9"/>
    </row>
    <row r="25" spans="1:31" s="10" customFormat="1" ht="15.75" x14ac:dyDescent="0.25">
      <c r="A25" s="3">
        <v>22</v>
      </c>
      <c r="B25" s="3" t="s">
        <v>27</v>
      </c>
      <c r="C25" s="5" t="s">
        <v>849</v>
      </c>
      <c r="D25" s="4" t="s">
        <v>848</v>
      </c>
      <c r="E25" s="6">
        <v>13</v>
      </c>
      <c r="F25" s="6">
        <v>168</v>
      </c>
      <c r="G25" s="3">
        <v>386.6</v>
      </c>
      <c r="H25" s="3" t="s">
        <v>75</v>
      </c>
      <c r="I25" s="7">
        <v>45720</v>
      </c>
      <c r="J25" s="3"/>
      <c r="K25" s="3"/>
      <c r="L25" s="3" t="s">
        <v>1</v>
      </c>
      <c r="M25" s="3"/>
      <c r="N25" s="3"/>
      <c r="O25" s="3"/>
      <c r="P25" s="3"/>
      <c r="Q25" s="6" t="s">
        <v>180</v>
      </c>
      <c r="R25" s="7">
        <v>45761</v>
      </c>
      <c r="S25" s="7">
        <v>45762</v>
      </c>
      <c r="T25" s="7">
        <v>45762</v>
      </c>
      <c r="U25" s="6">
        <v>2263</v>
      </c>
      <c r="V25" s="11">
        <v>2523992</v>
      </c>
      <c r="W25" s="6"/>
      <c r="X25" s="6"/>
      <c r="Y25" s="6"/>
      <c r="Z25" s="6"/>
      <c r="AA25" s="8"/>
      <c r="AB25" s="8"/>
      <c r="AC25" s="6"/>
      <c r="AD25" s="6"/>
      <c r="AE25" s="9"/>
    </row>
    <row r="26" spans="1:31" s="10" customFormat="1" ht="31.5" x14ac:dyDescent="0.25">
      <c r="A26" s="3">
        <v>23</v>
      </c>
      <c r="B26" s="3" t="s">
        <v>27</v>
      </c>
      <c r="C26" s="5" t="s">
        <v>937</v>
      </c>
      <c r="D26" s="4" t="s">
        <v>938</v>
      </c>
      <c r="E26" s="6">
        <v>12</v>
      </c>
      <c r="F26" s="6">
        <v>667</v>
      </c>
      <c r="G26" s="3">
        <v>112.3</v>
      </c>
      <c r="H26" s="3" t="s">
        <v>55</v>
      </c>
      <c r="I26" s="7">
        <v>45726</v>
      </c>
      <c r="J26" s="3"/>
      <c r="K26" s="3"/>
      <c r="L26" s="3"/>
      <c r="M26" s="3"/>
      <c r="N26" s="3"/>
      <c r="O26" s="3"/>
      <c r="P26" s="3" t="s">
        <v>52</v>
      </c>
      <c r="Q26" s="6" t="s">
        <v>180</v>
      </c>
      <c r="R26" s="7">
        <v>45828</v>
      </c>
      <c r="S26" s="7">
        <v>45829</v>
      </c>
      <c r="T26" s="7">
        <v>45829</v>
      </c>
      <c r="U26" s="6">
        <v>1778</v>
      </c>
      <c r="V26" s="11">
        <v>1416978</v>
      </c>
      <c r="W26" s="6"/>
      <c r="X26" s="6"/>
      <c r="Y26" s="6"/>
      <c r="Z26" s="6"/>
      <c r="AA26" s="8"/>
      <c r="AB26" s="8"/>
      <c r="AC26" s="8" t="s">
        <v>2654</v>
      </c>
      <c r="AD26" s="6"/>
      <c r="AE26" s="9"/>
    </row>
    <row r="27" spans="1:31" s="10" customFormat="1" ht="31.5" x14ac:dyDescent="0.25">
      <c r="A27" s="3">
        <v>24</v>
      </c>
      <c r="B27" s="3" t="s">
        <v>27</v>
      </c>
      <c r="C27" s="5" t="s">
        <v>979</v>
      </c>
      <c r="D27" s="4" t="s">
        <v>980</v>
      </c>
      <c r="E27" s="6">
        <v>16</v>
      </c>
      <c r="F27" s="6">
        <v>567</v>
      </c>
      <c r="G27" s="3">
        <v>147.30000000000001</v>
      </c>
      <c r="H27" s="3" t="s">
        <v>75</v>
      </c>
      <c r="I27" s="7">
        <v>45728</v>
      </c>
      <c r="J27" s="3"/>
      <c r="K27" s="3"/>
      <c r="L27" s="3" t="s">
        <v>1</v>
      </c>
      <c r="M27" s="3"/>
      <c r="N27" s="3"/>
      <c r="O27" s="3"/>
      <c r="P27" s="3"/>
      <c r="Q27" s="6" t="s">
        <v>180</v>
      </c>
      <c r="R27" s="7"/>
      <c r="S27" s="7"/>
      <c r="T27" s="7"/>
      <c r="U27" s="6"/>
      <c r="V27" s="11"/>
      <c r="W27" s="6"/>
      <c r="X27" s="6"/>
      <c r="Y27" s="6"/>
      <c r="Z27" s="6"/>
      <c r="AA27" s="8"/>
      <c r="AB27" s="8"/>
      <c r="AC27" s="6" t="s">
        <v>1009</v>
      </c>
      <c r="AD27" s="6"/>
      <c r="AE27" s="9"/>
    </row>
    <row r="28" spans="1:31" s="10" customFormat="1" ht="31.5" x14ac:dyDescent="0.25">
      <c r="A28" s="3">
        <v>25</v>
      </c>
      <c r="B28" s="3" t="s">
        <v>27</v>
      </c>
      <c r="C28" s="5" t="s">
        <v>991</v>
      </c>
      <c r="D28" s="4" t="s">
        <v>992</v>
      </c>
      <c r="E28" s="6">
        <v>13</v>
      </c>
      <c r="F28" s="6">
        <v>333</v>
      </c>
      <c r="G28" s="3">
        <v>1362.6</v>
      </c>
      <c r="H28" s="3" t="s">
        <v>75</v>
      </c>
      <c r="I28" s="7">
        <v>45728</v>
      </c>
      <c r="J28" s="3" t="s">
        <v>76</v>
      </c>
      <c r="K28" s="3"/>
      <c r="L28" s="3"/>
      <c r="M28" s="3"/>
      <c r="N28" s="3"/>
      <c r="O28" s="3"/>
      <c r="P28" s="3"/>
      <c r="Q28" s="6" t="s">
        <v>180</v>
      </c>
      <c r="R28" s="7">
        <v>45811</v>
      </c>
      <c r="S28" s="7">
        <v>45812</v>
      </c>
      <c r="T28" s="7">
        <v>45812</v>
      </c>
      <c r="U28" s="20">
        <v>1229</v>
      </c>
      <c r="V28" s="11">
        <v>2942257</v>
      </c>
      <c r="W28" s="6"/>
      <c r="X28" s="6"/>
      <c r="Y28" s="6"/>
      <c r="Z28" s="6" t="s">
        <v>2706</v>
      </c>
      <c r="AA28" s="8" t="s">
        <v>2707</v>
      </c>
      <c r="AB28" s="8"/>
      <c r="AC28" s="6"/>
      <c r="AD28" s="6"/>
      <c r="AE28" s="9"/>
    </row>
    <row r="29" spans="1:31" s="10" customFormat="1" ht="98.25" customHeight="1" x14ac:dyDescent="0.25">
      <c r="A29" s="3">
        <v>26</v>
      </c>
      <c r="B29" s="3" t="s">
        <v>27</v>
      </c>
      <c r="C29" s="5" t="s">
        <v>1110</v>
      </c>
      <c r="D29" s="4" t="s">
        <v>315</v>
      </c>
      <c r="E29" s="6">
        <v>2</v>
      </c>
      <c r="F29" s="6" t="s">
        <v>1111</v>
      </c>
      <c r="G29" s="6" t="s">
        <v>1112</v>
      </c>
      <c r="H29" s="6" t="s">
        <v>1113</v>
      </c>
      <c r="I29" s="7">
        <v>45734</v>
      </c>
      <c r="J29" s="3"/>
      <c r="K29" s="3"/>
      <c r="L29" s="3"/>
      <c r="M29" s="3"/>
      <c r="N29" s="3" t="s">
        <v>56</v>
      </c>
      <c r="O29" s="3"/>
      <c r="P29" s="3"/>
      <c r="Q29" s="6" t="s">
        <v>180</v>
      </c>
      <c r="R29" s="7"/>
      <c r="S29" s="7"/>
      <c r="T29" s="7"/>
      <c r="U29" s="6"/>
      <c r="V29" s="11"/>
      <c r="W29" s="6"/>
      <c r="X29" s="6"/>
      <c r="Y29" s="6"/>
      <c r="Z29" s="6"/>
      <c r="AA29" s="8"/>
      <c r="AB29" s="8" t="s">
        <v>1663</v>
      </c>
      <c r="AC29" s="6" t="s">
        <v>1114</v>
      </c>
      <c r="AD29" s="6"/>
      <c r="AE29" s="9"/>
    </row>
    <row r="30" spans="1:31" s="10" customFormat="1" ht="47.25" x14ac:dyDescent="0.25">
      <c r="A30" s="3">
        <v>27</v>
      </c>
      <c r="B30" s="3" t="s">
        <v>27</v>
      </c>
      <c r="C30" s="5" t="s">
        <v>1155</v>
      </c>
      <c r="D30" s="4" t="s">
        <v>1156</v>
      </c>
      <c r="E30" s="6">
        <v>18</v>
      </c>
      <c r="F30" s="6">
        <v>15</v>
      </c>
      <c r="G30" s="3">
        <v>92.2</v>
      </c>
      <c r="H30" s="3" t="s">
        <v>55</v>
      </c>
      <c r="I30" s="7">
        <v>45736</v>
      </c>
      <c r="J30" s="3"/>
      <c r="K30" s="3"/>
      <c r="L30" s="3"/>
      <c r="M30" s="3"/>
      <c r="N30" s="3"/>
      <c r="O30" s="3"/>
      <c r="P30" s="3" t="s">
        <v>52</v>
      </c>
      <c r="Q30" s="6" t="s">
        <v>180</v>
      </c>
      <c r="R30" s="7">
        <v>45756</v>
      </c>
      <c r="S30" s="7">
        <v>45761</v>
      </c>
      <c r="T30" s="7">
        <v>45761</v>
      </c>
      <c r="U30" s="6">
        <v>2206</v>
      </c>
      <c r="V30" s="11">
        <v>2833958</v>
      </c>
      <c r="W30" s="6"/>
      <c r="X30" s="6"/>
      <c r="Y30" s="6"/>
      <c r="Z30" s="6"/>
      <c r="AA30" s="8"/>
      <c r="AB30" s="8"/>
      <c r="AC30" s="6" t="s">
        <v>1572</v>
      </c>
      <c r="AD30" s="6"/>
      <c r="AE30" s="9"/>
    </row>
    <row r="31" spans="1:31" s="10" customFormat="1" ht="46.5" customHeight="1" x14ac:dyDescent="0.25">
      <c r="A31" s="3">
        <v>28</v>
      </c>
      <c r="B31" s="3" t="s">
        <v>27</v>
      </c>
      <c r="C31" s="5" t="s">
        <v>1174</v>
      </c>
      <c r="D31" s="4" t="s">
        <v>1175</v>
      </c>
      <c r="E31" s="6">
        <v>18</v>
      </c>
      <c r="F31" s="6">
        <v>48</v>
      </c>
      <c r="G31" s="3">
        <v>318.10000000000002</v>
      </c>
      <c r="H31" s="3" t="s">
        <v>51</v>
      </c>
      <c r="I31" s="7">
        <v>45737</v>
      </c>
      <c r="J31" s="3"/>
      <c r="K31" s="3" t="s">
        <v>62</v>
      </c>
      <c r="L31" s="3"/>
      <c r="M31" s="3"/>
      <c r="N31" s="3"/>
      <c r="O31" s="3"/>
      <c r="P31" s="3"/>
      <c r="Q31" s="6" t="s">
        <v>180</v>
      </c>
      <c r="R31" s="7">
        <v>45763</v>
      </c>
      <c r="S31" s="7">
        <v>45763</v>
      </c>
      <c r="T31" s="7">
        <v>45763</v>
      </c>
      <c r="U31" s="6">
        <v>2329</v>
      </c>
      <c r="V31" s="11">
        <v>809727</v>
      </c>
      <c r="W31" s="6"/>
      <c r="X31" s="6"/>
      <c r="Y31" s="6"/>
      <c r="Z31" s="6"/>
      <c r="AA31" s="8"/>
      <c r="AB31" s="8"/>
      <c r="AC31" s="6"/>
      <c r="AD31" s="6"/>
      <c r="AE31" s="9"/>
    </row>
    <row r="32" spans="1:31" s="10" customFormat="1" ht="32.25" customHeight="1" x14ac:dyDescent="0.25">
      <c r="A32" s="3">
        <v>29</v>
      </c>
      <c r="B32" s="3" t="s">
        <v>27</v>
      </c>
      <c r="C32" s="5" t="s">
        <v>1193</v>
      </c>
      <c r="D32" s="4" t="s">
        <v>1194</v>
      </c>
      <c r="E32" s="6">
        <v>12</v>
      </c>
      <c r="F32" s="6">
        <v>581</v>
      </c>
      <c r="G32" s="3">
        <v>254.3</v>
      </c>
      <c r="H32" s="3" t="s">
        <v>75</v>
      </c>
      <c r="I32" s="7">
        <v>45740</v>
      </c>
      <c r="J32" s="3"/>
      <c r="K32" s="3" t="s">
        <v>62</v>
      </c>
      <c r="L32" s="3"/>
      <c r="M32" s="3"/>
      <c r="N32" s="3"/>
      <c r="O32" s="3"/>
      <c r="P32" s="3"/>
      <c r="Q32" s="6" t="s">
        <v>180</v>
      </c>
      <c r="R32" s="7">
        <v>45763</v>
      </c>
      <c r="S32" s="7">
        <v>45763</v>
      </c>
      <c r="T32" s="7">
        <v>45763</v>
      </c>
      <c r="U32" s="6">
        <v>2319</v>
      </c>
      <c r="V32" s="11">
        <v>809727</v>
      </c>
      <c r="W32" s="6"/>
      <c r="X32" s="6"/>
      <c r="Y32" s="6"/>
      <c r="Z32" s="6"/>
      <c r="AA32" s="8"/>
      <c r="AB32" s="8"/>
      <c r="AC32" s="6"/>
      <c r="AD32" s="6"/>
      <c r="AE32" s="9"/>
    </row>
    <row r="33" spans="1:31" s="10" customFormat="1" ht="63" x14ac:dyDescent="0.25">
      <c r="A33" s="3">
        <v>30</v>
      </c>
      <c r="B33" s="3" t="s">
        <v>27</v>
      </c>
      <c r="C33" s="5" t="s">
        <v>1216</v>
      </c>
      <c r="D33" s="4" t="s">
        <v>1217</v>
      </c>
      <c r="E33" s="6">
        <v>5</v>
      </c>
      <c r="F33" s="6" t="s">
        <v>1244</v>
      </c>
      <c r="G33" s="6" t="s">
        <v>1245</v>
      </c>
      <c r="H33" s="3" t="s">
        <v>55</v>
      </c>
      <c r="I33" s="7"/>
      <c r="J33" s="3"/>
      <c r="K33" s="3"/>
      <c r="L33" s="3"/>
      <c r="M33" s="3"/>
      <c r="N33" s="3"/>
      <c r="O33" s="3"/>
      <c r="P33" s="3"/>
      <c r="Q33" s="6" t="s">
        <v>190</v>
      </c>
      <c r="R33" s="7">
        <v>45723</v>
      </c>
      <c r="S33" s="7"/>
      <c r="T33" s="7"/>
      <c r="U33" s="6"/>
      <c r="V33" s="11"/>
      <c r="W33" s="6"/>
      <c r="X33" s="6"/>
      <c r="Y33" s="6"/>
      <c r="Z33" s="6" t="s">
        <v>1218</v>
      </c>
      <c r="AA33" s="8" t="s">
        <v>1219</v>
      </c>
      <c r="AB33" s="8" t="s">
        <v>1511</v>
      </c>
      <c r="AC33" s="6" t="s">
        <v>1243</v>
      </c>
      <c r="AD33" s="6"/>
      <c r="AE33" s="9"/>
    </row>
    <row r="34" spans="1:31" s="10" customFormat="1" ht="78.75" x14ac:dyDescent="0.25">
      <c r="A34" s="3">
        <v>31</v>
      </c>
      <c r="B34" s="3" t="s">
        <v>27</v>
      </c>
      <c r="C34" s="5" t="s">
        <v>1234</v>
      </c>
      <c r="D34" s="4" t="s">
        <v>315</v>
      </c>
      <c r="E34" s="6">
        <v>8</v>
      </c>
      <c r="F34" s="6">
        <v>8</v>
      </c>
      <c r="G34" s="3">
        <v>64.5</v>
      </c>
      <c r="H34" s="3" t="s">
        <v>55</v>
      </c>
      <c r="I34" s="7">
        <v>45742</v>
      </c>
      <c r="J34" s="3"/>
      <c r="K34" s="3"/>
      <c r="L34" s="3"/>
      <c r="M34" s="3"/>
      <c r="N34" s="3" t="s">
        <v>56</v>
      </c>
      <c r="O34" s="3"/>
      <c r="P34" s="3"/>
      <c r="Q34" s="6" t="s">
        <v>180</v>
      </c>
      <c r="R34" s="7"/>
      <c r="S34" s="7"/>
      <c r="T34" s="7"/>
      <c r="U34" s="6"/>
      <c r="V34" s="11"/>
      <c r="W34" s="6"/>
      <c r="X34" s="6"/>
      <c r="Y34" s="6"/>
      <c r="Z34" s="6"/>
      <c r="AA34" s="8"/>
      <c r="AB34" s="8" t="s">
        <v>1563</v>
      </c>
      <c r="AC34" s="6" t="s">
        <v>1235</v>
      </c>
      <c r="AD34" s="6"/>
      <c r="AE34" s="9"/>
    </row>
    <row r="35" spans="1:31" ht="16.5" x14ac:dyDescent="0.25">
      <c r="A35" s="12"/>
      <c r="B35" s="73" t="s">
        <v>1258</v>
      </c>
      <c r="C35" s="74"/>
      <c r="D35" s="74"/>
      <c r="E35" s="74"/>
      <c r="F35" s="74"/>
      <c r="G35" s="74"/>
      <c r="H35" s="75"/>
      <c r="I35" s="13"/>
      <c r="J35" s="14">
        <f>COUNTIF(J21:J34,"Ct")+COUNTIF(J34,"CN")+COUNTIF(J34,"TK")</f>
        <v>1</v>
      </c>
      <c r="K35" s="14">
        <f>COUNTIF(K21:K34,"CMĐ")</f>
        <v>4</v>
      </c>
      <c r="L35" s="14">
        <f>COUNTIF(L21:L34,"XMDT")+COUNTIF(L24:L34,"Mốc")</f>
        <v>3</v>
      </c>
      <c r="M35" s="14">
        <f>COUNTIF(M24:M34,"THÁn")</f>
        <v>0</v>
      </c>
      <c r="N35" s="14">
        <f>COUNTIF(N24:N34,"TÒA")</f>
        <v>2</v>
      </c>
      <c r="O35" s="14">
        <f>COUNTIF(O24:O34,"Cấp GCN")</f>
        <v>0</v>
      </c>
      <c r="P35" s="14">
        <f>COUNTIF(P21:P34,"SHN")</f>
        <v>3</v>
      </c>
      <c r="Q35" s="15"/>
      <c r="R35" s="13"/>
      <c r="S35" s="15"/>
      <c r="T35" s="15"/>
      <c r="U35" s="16"/>
      <c r="V35" s="11"/>
      <c r="W35" s="17"/>
      <c r="X35" s="2"/>
      <c r="AD35" s="14">
        <f>COUNTIF(AD34,"kt")</f>
        <v>0</v>
      </c>
    </row>
    <row r="36" spans="1:31" s="10" customFormat="1" ht="31.5" x14ac:dyDescent="0.25">
      <c r="A36" s="3">
        <v>32</v>
      </c>
      <c r="B36" s="3" t="s">
        <v>27</v>
      </c>
      <c r="C36" s="19" t="s">
        <v>1291</v>
      </c>
      <c r="D36" s="4" t="s">
        <v>1294</v>
      </c>
      <c r="E36" s="3">
        <v>18</v>
      </c>
      <c r="F36" s="6" t="s">
        <v>1292</v>
      </c>
      <c r="G36" s="6" t="s">
        <v>1293</v>
      </c>
      <c r="H36" s="3" t="s">
        <v>55</v>
      </c>
      <c r="I36" s="7">
        <v>45744</v>
      </c>
      <c r="J36" s="3"/>
      <c r="K36" s="3"/>
      <c r="L36" s="3"/>
      <c r="M36" s="3"/>
      <c r="N36" s="3"/>
      <c r="O36" s="3"/>
      <c r="P36" s="3" t="s">
        <v>52</v>
      </c>
      <c r="Q36" s="6" t="s">
        <v>180</v>
      </c>
      <c r="R36" s="7">
        <v>45770</v>
      </c>
      <c r="S36" s="7">
        <v>45772</v>
      </c>
      <c r="T36" s="7">
        <v>45772</v>
      </c>
      <c r="U36" s="6">
        <v>173</v>
      </c>
      <c r="V36" s="11">
        <v>2523992</v>
      </c>
      <c r="W36" s="6"/>
      <c r="X36" s="6"/>
      <c r="Y36" s="6"/>
      <c r="Z36" s="6"/>
      <c r="AA36" s="8"/>
      <c r="AB36" s="8" t="s">
        <v>1753</v>
      </c>
      <c r="AC36" s="6"/>
      <c r="AD36" s="6"/>
      <c r="AE36" s="9"/>
    </row>
    <row r="37" spans="1:31" s="10" customFormat="1" ht="30.75" customHeight="1" x14ac:dyDescent="0.25">
      <c r="A37" s="3">
        <v>33</v>
      </c>
      <c r="B37" s="3" t="s">
        <v>27</v>
      </c>
      <c r="C37" s="5" t="s">
        <v>1297</v>
      </c>
      <c r="D37" s="4" t="s">
        <v>1298</v>
      </c>
      <c r="E37" s="6">
        <v>13</v>
      </c>
      <c r="F37" s="6">
        <v>332</v>
      </c>
      <c r="G37" s="3">
        <v>149.30000000000001</v>
      </c>
      <c r="H37" s="3" t="s">
        <v>75</v>
      </c>
      <c r="I37" s="7">
        <v>45744</v>
      </c>
      <c r="J37" s="3"/>
      <c r="K37" s="3"/>
      <c r="L37" s="3" t="s">
        <v>1</v>
      </c>
      <c r="M37" s="3"/>
      <c r="N37" s="3"/>
      <c r="O37" s="3"/>
      <c r="P37" s="3"/>
      <c r="Q37" s="6" t="s">
        <v>180</v>
      </c>
      <c r="R37" s="7">
        <v>45811</v>
      </c>
      <c r="S37" s="7">
        <v>45812</v>
      </c>
      <c r="T37" s="7">
        <v>45812</v>
      </c>
      <c r="U37" s="20">
        <v>1235</v>
      </c>
      <c r="V37" s="11">
        <v>1619454</v>
      </c>
      <c r="W37" s="6"/>
      <c r="X37" s="6"/>
      <c r="Y37" s="6"/>
      <c r="Z37" s="6"/>
      <c r="AA37" s="8"/>
      <c r="AB37" s="8"/>
      <c r="AC37" s="6"/>
      <c r="AD37" s="6"/>
      <c r="AE37" s="9"/>
    </row>
    <row r="38" spans="1:31" s="10" customFormat="1" ht="78.75" x14ac:dyDescent="0.25">
      <c r="A38" s="3">
        <v>34</v>
      </c>
      <c r="B38" s="3" t="s">
        <v>27</v>
      </c>
      <c r="C38" s="5" t="s">
        <v>1361</v>
      </c>
      <c r="D38" s="4" t="s">
        <v>488</v>
      </c>
      <c r="E38" s="6">
        <v>16</v>
      </c>
      <c r="F38" s="6">
        <v>993</v>
      </c>
      <c r="G38" s="3">
        <v>50</v>
      </c>
      <c r="H38" s="3" t="s">
        <v>55</v>
      </c>
      <c r="I38" s="7">
        <v>45748</v>
      </c>
      <c r="J38" s="3"/>
      <c r="K38" s="3"/>
      <c r="L38" s="3"/>
      <c r="M38" s="3" t="s">
        <v>491</v>
      </c>
      <c r="N38" s="3"/>
      <c r="O38" s="3"/>
      <c r="P38" s="3"/>
      <c r="Q38" s="6" t="s">
        <v>180</v>
      </c>
      <c r="R38" s="7"/>
      <c r="S38" s="7"/>
      <c r="T38" s="7"/>
      <c r="U38" s="6"/>
      <c r="V38" s="11"/>
      <c r="W38" s="6"/>
      <c r="X38" s="6"/>
      <c r="Y38" s="6"/>
      <c r="Z38" s="6"/>
      <c r="AA38" s="8"/>
      <c r="AB38" s="8"/>
      <c r="AC38" s="6" t="s">
        <v>1362</v>
      </c>
      <c r="AD38" s="6"/>
      <c r="AE38" s="9"/>
    </row>
    <row r="39" spans="1:31" s="10" customFormat="1" ht="31.5" x14ac:dyDescent="0.25">
      <c r="A39" s="3">
        <v>35</v>
      </c>
      <c r="B39" s="3" t="s">
        <v>27</v>
      </c>
      <c r="C39" s="5" t="s">
        <v>1385</v>
      </c>
      <c r="D39" s="4" t="s">
        <v>1386</v>
      </c>
      <c r="E39" s="6">
        <v>12</v>
      </c>
      <c r="F39" s="6">
        <v>1180</v>
      </c>
      <c r="G39" s="3">
        <v>567.6</v>
      </c>
      <c r="H39" s="3" t="s">
        <v>51</v>
      </c>
      <c r="I39" s="7"/>
      <c r="J39" s="3"/>
      <c r="K39" s="3"/>
      <c r="L39" s="3"/>
      <c r="M39" s="3"/>
      <c r="N39" s="3"/>
      <c r="O39" s="3"/>
      <c r="P39" s="3"/>
      <c r="Q39" s="6" t="s">
        <v>190</v>
      </c>
      <c r="R39" s="7">
        <v>45645</v>
      </c>
      <c r="S39" s="7"/>
      <c r="T39" s="7"/>
      <c r="U39" s="6"/>
      <c r="V39" s="11"/>
      <c r="W39" s="6"/>
      <c r="X39" s="6"/>
      <c r="Y39" s="6"/>
      <c r="Z39" s="6" t="s">
        <v>1387</v>
      </c>
      <c r="AA39" s="8" t="s">
        <v>1388</v>
      </c>
      <c r="AB39" s="8"/>
      <c r="AC39" s="6"/>
      <c r="AD39" s="6"/>
      <c r="AE39" s="9"/>
    </row>
    <row r="40" spans="1:31" s="10" customFormat="1" ht="31.5" x14ac:dyDescent="0.25">
      <c r="A40" s="3">
        <v>36</v>
      </c>
      <c r="B40" s="3" t="s">
        <v>27</v>
      </c>
      <c r="C40" s="5" t="s">
        <v>1389</v>
      </c>
      <c r="D40" s="4" t="s">
        <v>1390</v>
      </c>
      <c r="E40" s="6">
        <v>15</v>
      </c>
      <c r="F40" s="6">
        <v>586</v>
      </c>
      <c r="G40" s="3">
        <v>357.5</v>
      </c>
      <c r="H40" s="3" t="s">
        <v>75</v>
      </c>
      <c r="I40" s="7">
        <v>45750</v>
      </c>
      <c r="J40" s="3" t="s">
        <v>153</v>
      </c>
      <c r="K40" s="3"/>
      <c r="L40" s="3"/>
      <c r="M40" s="3"/>
      <c r="N40" s="3"/>
      <c r="O40" s="3"/>
      <c r="P40" s="3"/>
      <c r="Q40" s="6" t="s">
        <v>180</v>
      </c>
      <c r="R40" s="7">
        <v>45769</v>
      </c>
      <c r="S40" s="7">
        <v>45769</v>
      </c>
      <c r="T40" s="7">
        <v>45769</v>
      </c>
      <c r="U40" s="6">
        <v>76</v>
      </c>
      <c r="V40" s="11">
        <v>1619454</v>
      </c>
      <c r="W40" s="6"/>
      <c r="X40" s="6"/>
      <c r="Y40" s="6"/>
      <c r="Z40" s="6"/>
      <c r="AA40" s="8"/>
      <c r="AB40" s="8" t="s">
        <v>1775</v>
      </c>
      <c r="AC40" s="6" t="s">
        <v>1776</v>
      </c>
      <c r="AD40" s="6" t="s">
        <v>1391</v>
      </c>
      <c r="AE40" s="9"/>
    </row>
    <row r="41" spans="1:31" s="10" customFormat="1" ht="67.5" customHeight="1" x14ac:dyDescent="0.25">
      <c r="A41" s="3">
        <v>37</v>
      </c>
      <c r="B41" s="3" t="s">
        <v>27</v>
      </c>
      <c r="C41" s="5" t="s">
        <v>1401</v>
      </c>
      <c r="D41" s="4" t="s">
        <v>1402</v>
      </c>
      <c r="E41" s="6">
        <v>28</v>
      </c>
      <c r="F41" s="6">
        <v>46</v>
      </c>
      <c r="G41" s="3">
        <v>77.3</v>
      </c>
      <c r="H41" s="3" t="s">
        <v>55</v>
      </c>
      <c r="I41" s="7">
        <v>45750</v>
      </c>
      <c r="J41" s="3"/>
      <c r="K41" s="3"/>
      <c r="L41" s="3" t="s">
        <v>98</v>
      </c>
      <c r="M41" s="3"/>
      <c r="N41" s="3"/>
      <c r="O41" s="3"/>
      <c r="P41" s="3"/>
      <c r="Q41" s="6" t="s">
        <v>180</v>
      </c>
      <c r="R41" s="7">
        <v>45763</v>
      </c>
      <c r="S41" s="7">
        <v>45804</v>
      </c>
      <c r="T41" s="7">
        <v>45804</v>
      </c>
      <c r="U41" s="6">
        <v>984</v>
      </c>
      <c r="V41" s="11">
        <v>2235043</v>
      </c>
      <c r="W41" s="6"/>
      <c r="X41" s="6"/>
      <c r="Y41" s="6"/>
      <c r="Z41" s="6"/>
      <c r="AA41" s="8"/>
      <c r="AB41" s="8"/>
      <c r="AC41" s="6" t="s">
        <v>1403</v>
      </c>
      <c r="AD41" s="6"/>
      <c r="AE41" s="9"/>
    </row>
    <row r="42" spans="1:31" s="10" customFormat="1" ht="15.75" x14ac:dyDescent="0.25">
      <c r="A42" s="3">
        <v>38</v>
      </c>
      <c r="B42" s="3" t="s">
        <v>27</v>
      </c>
      <c r="C42" s="5" t="s">
        <v>1454</v>
      </c>
      <c r="D42" s="4" t="s">
        <v>660</v>
      </c>
      <c r="E42" s="6">
        <v>7</v>
      </c>
      <c r="F42" s="6">
        <v>29</v>
      </c>
      <c r="G42" s="3">
        <v>1288.9000000000001</v>
      </c>
      <c r="H42" s="3" t="s">
        <v>51</v>
      </c>
      <c r="I42" s="7">
        <v>45755</v>
      </c>
      <c r="J42" s="3"/>
      <c r="K42" s="3" t="s">
        <v>62</v>
      </c>
      <c r="L42" s="3"/>
      <c r="M42" s="3"/>
      <c r="N42" s="3"/>
      <c r="O42" s="3"/>
      <c r="P42" s="3"/>
      <c r="Q42" s="6" t="s">
        <v>180</v>
      </c>
      <c r="R42" s="7">
        <v>45805</v>
      </c>
      <c r="S42" s="7">
        <v>45805</v>
      </c>
      <c r="T42" s="7">
        <v>45805</v>
      </c>
      <c r="U42" s="6">
        <v>1034</v>
      </c>
      <c r="V42" s="11">
        <v>1248329</v>
      </c>
      <c r="W42" s="6"/>
      <c r="X42" s="6"/>
      <c r="Y42" s="6"/>
      <c r="Z42" s="6"/>
      <c r="AA42" s="8"/>
      <c r="AB42" s="8"/>
      <c r="AC42" s="6"/>
      <c r="AD42" s="6"/>
      <c r="AE42" s="9"/>
    </row>
    <row r="43" spans="1:31" ht="16.5" x14ac:dyDescent="0.25">
      <c r="A43" s="12"/>
      <c r="B43" s="73" t="s">
        <v>1479</v>
      </c>
      <c r="C43" s="74"/>
      <c r="D43" s="74"/>
      <c r="E43" s="74"/>
      <c r="F43" s="74"/>
      <c r="G43" s="74"/>
      <c r="H43" s="75"/>
      <c r="I43" s="13"/>
      <c r="J43" s="14">
        <f>COUNTIF(J36:J42,"CQ")+COUNTIF(J42,"CN")+COUNTIF(J42,"TK")</f>
        <v>1</v>
      </c>
      <c r="K43" s="14">
        <f>COUNTIF(K36:K42,"CMĐ")</f>
        <v>1</v>
      </c>
      <c r="L43" s="14">
        <f>COUNTIF(L36:L42,"XMDT")+COUNTIF(L36:L42,"Mốc")</f>
        <v>2</v>
      </c>
      <c r="M43" s="14">
        <f>COUNTIF(M36:M42,"THÁn")</f>
        <v>1</v>
      </c>
      <c r="N43" s="14">
        <f>COUNTIF(N36:N42,"TÒA")</f>
        <v>0</v>
      </c>
      <c r="O43" s="14">
        <f>COUNTIF(O32:O42,"Cấp GCN")</f>
        <v>0</v>
      </c>
      <c r="P43" s="14">
        <f>COUNTIF(P36:P42,"SHN")</f>
        <v>1</v>
      </c>
      <c r="Q43" s="15"/>
      <c r="R43" s="13"/>
      <c r="S43" s="15"/>
      <c r="T43" s="15"/>
      <c r="U43" s="16"/>
      <c r="V43" s="11"/>
      <c r="W43" s="17"/>
      <c r="X43" s="2"/>
      <c r="AD43" s="14">
        <f>COUNTIF(AD42,"kt")</f>
        <v>0</v>
      </c>
    </row>
    <row r="44" spans="1:31" s="10" customFormat="1" ht="31.5" x14ac:dyDescent="0.25">
      <c r="A44" s="3">
        <v>39</v>
      </c>
      <c r="B44" s="3" t="s">
        <v>27</v>
      </c>
      <c r="C44" s="5" t="s">
        <v>1482</v>
      </c>
      <c r="D44" s="4" t="s">
        <v>1483</v>
      </c>
      <c r="E44" s="6">
        <v>12</v>
      </c>
      <c r="F44" s="6">
        <v>775</v>
      </c>
      <c r="G44" s="3">
        <v>61.2</v>
      </c>
      <c r="H44" s="3" t="s">
        <v>55</v>
      </c>
      <c r="I44" s="7">
        <v>45756</v>
      </c>
      <c r="J44" s="3"/>
      <c r="K44" s="3"/>
      <c r="L44" s="3"/>
      <c r="M44" s="3"/>
      <c r="N44" s="3"/>
      <c r="O44" s="3"/>
      <c r="P44" s="3" t="s">
        <v>52</v>
      </c>
      <c r="Q44" s="6" t="s">
        <v>180</v>
      </c>
      <c r="R44" s="7">
        <v>45800</v>
      </c>
      <c r="S44" s="7">
        <v>45803</v>
      </c>
      <c r="T44" s="7">
        <v>45803</v>
      </c>
      <c r="U44" s="6">
        <v>914</v>
      </c>
      <c r="V44" s="11">
        <v>1416978</v>
      </c>
      <c r="W44" s="6"/>
      <c r="X44" s="6"/>
      <c r="Y44" s="6"/>
      <c r="Z44" s="6"/>
      <c r="AA44" s="8"/>
      <c r="AB44" s="8"/>
      <c r="AC44" s="6" t="s">
        <v>2209</v>
      </c>
      <c r="AD44" s="6"/>
      <c r="AE44" s="9"/>
    </row>
    <row r="45" spans="1:31" s="10" customFormat="1" ht="15.75" x14ac:dyDescent="0.25">
      <c r="A45" s="3">
        <v>40</v>
      </c>
      <c r="B45" s="3" t="s">
        <v>27</v>
      </c>
      <c r="C45" s="5" t="s">
        <v>1509</v>
      </c>
      <c r="D45" s="4"/>
      <c r="E45" s="6">
        <v>15</v>
      </c>
      <c r="F45" s="6">
        <v>592</v>
      </c>
      <c r="G45" s="3">
        <v>351.1</v>
      </c>
      <c r="H45" s="3" t="s">
        <v>75</v>
      </c>
      <c r="I45" s="7">
        <v>45756</v>
      </c>
      <c r="J45" s="3"/>
      <c r="K45" s="3" t="s">
        <v>62</v>
      </c>
      <c r="L45" s="3"/>
      <c r="M45" s="3"/>
      <c r="N45" s="3"/>
      <c r="O45" s="3"/>
      <c r="P45" s="3"/>
      <c r="Q45" s="6" t="s">
        <v>180</v>
      </c>
      <c r="R45" s="7"/>
      <c r="S45" s="7"/>
      <c r="T45" s="7"/>
      <c r="U45" s="6"/>
      <c r="V45" s="11"/>
      <c r="W45" s="6"/>
      <c r="X45" s="6"/>
      <c r="Y45" s="6"/>
      <c r="Z45" s="6"/>
      <c r="AA45" s="8"/>
      <c r="AB45" s="8"/>
      <c r="AC45" s="6"/>
      <c r="AD45" s="6"/>
      <c r="AE45" s="9" t="s">
        <v>1260</v>
      </c>
    </row>
    <row r="46" spans="1:31" s="10" customFormat="1" ht="51" customHeight="1" x14ac:dyDescent="0.25">
      <c r="A46" s="3">
        <v>41</v>
      </c>
      <c r="B46" s="3" t="s">
        <v>27</v>
      </c>
      <c r="C46" s="5" t="s">
        <v>1512</v>
      </c>
      <c r="D46" s="4" t="s">
        <v>1513</v>
      </c>
      <c r="E46" s="6">
        <v>19</v>
      </c>
      <c r="F46" s="6">
        <v>15</v>
      </c>
      <c r="G46" s="3">
        <v>92.2</v>
      </c>
      <c r="H46" s="3" t="s">
        <v>55</v>
      </c>
      <c r="I46" s="7">
        <v>45757</v>
      </c>
      <c r="J46" s="3"/>
      <c r="K46" s="3"/>
      <c r="L46" s="3"/>
      <c r="M46" s="3"/>
      <c r="N46" s="3"/>
      <c r="O46" s="3"/>
      <c r="P46" s="3" t="s">
        <v>52</v>
      </c>
      <c r="Q46" s="6" t="s">
        <v>180</v>
      </c>
      <c r="R46" s="7"/>
      <c r="S46" s="7"/>
      <c r="T46" s="7"/>
      <c r="U46" s="6"/>
      <c r="V46" s="11"/>
      <c r="W46" s="6"/>
      <c r="X46" s="6"/>
      <c r="Y46" s="6"/>
      <c r="Z46" s="6"/>
      <c r="AA46" s="8"/>
      <c r="AB46" s="8"/>
      <c r="AC46" s="6"/>
      <c r="AD46" s="6"/>
      <c r="AE46" s="9"/>
    </row>
    <row r="47" spans="1:31" ht="16.5" x14ac:dyDescent="0.25">
      <c r="A47" s="12"/>
      <c r="B47" s="73" t="s">
        <v>1543</v>
      </c>
      <c r="C47" s="74"/>
      <c r="D47" s="74"/>
      <c r="E47" s="74"/>
      <c r="F47" s="74"/>
      <c r="G47" s="74"/>
      <c r="H47" s="75"/>
      <c r="I47" s="13"/>
      <c r="J47" s="14">
        <f>COUNTIF(J44:J46,"CQ")+COUNTIF(J46,"CN")+COUNTIF(J46,"TK")</f>
        <v>0</v>
      </c>
      <c r="K47" s="14">
        <f>COUNTIF(K44:K46,"CMĐ")</f>
        <v>1</v>
      </c>
      <c r="L47" s="14">
        <f>COUNTIF(L44:L46,"XMDT")+COUNTIF(L44:L46,"Mốc")</f>
        <v>0</v>
      </c>
      <c r="M47" s="14">
        <f>COUNTIF(M40:M46,"THÁn")</f>
        <v>0</v>
      </c>
      <c r="N47" s="14">
        <f>COUNTIF(N40:N46,"TÒA")</f>
        <v>0</v>
      </c>
      <c r="O47" s="14">
        <f>COUNTIF(O36:O46,"Cấp GCN")</f>
        <v>0</v>
      </c>
      <c r="P47" s="14">
        <f>COUNTIF(P40:P46,"SHN")</f>
        <v>2</v>
      </c>
      <c r="Q47" s="15"/>
      <c r="R47" s="13"/>
      <c r="S47" s="15"/>
      <c r="T47" s="15"/>
      <c r="U47" s="16"/>
      <c r="V47" s="11"/>
      <c r="W47" s="17"/>
      <c r="X47" s="2"/>
      <c r="AD47" s="14">
        <f>COUNTIF(AD46,"kt")</f>
        <v>0</v>
      </c>
    </row>
    <row r="48" spans="1:31" s="10" customFormat="1" ht="78.75" x14ac:dyDescent="0.25">
      <c r="A48" s="3">
        <v>42</v>
      </c>
      <c r="B48" s="3" t="s">
        <v>27</v>
      </c>
      <c r="C48" s="5" t="s">
        <v>1583</v>
      </c>
      <c r="D48" s="4" t="s">
        <v>315</v>
      </c>
      <c r="E48" s="6">
        <v>16</v>
      </c>
      <c r="F48" s="6">
        <v>334</v>
      </c>
      <c r="G48" s="3">
        <v>156.6</v>
      </c>
      <c r="H48" s="3" t="s">
        <v>51</v>
      </c>
      <c r="I48" s="7">
        <v>45762</v>
      </c>
      <c r="J48" s="3"/>
      <c r="K48" s="3"/>
      <c r="L48" s="3"/>
      <c r="M48" s="3"/>
      <c r="N48" s="3" t="s">
        <v>56</v>
      </c>
      <c r="O48" s="3"/>
      <c r="P48" s="3"/>
      <c r="Q48" s="6" t="s">
        <v>180</v>
      </c>
      <c r="R48" s="7"/>
      <c r="S48" s="7"/>
      <c r="T48" s="7"/>
      <c r="U48" s="6"/>
      <c r="V48" s="11"/>
      <c r="W48" s="6"/>
      <c r="X48" s="6"/>
      <c r="Y48" s="6"/>
      <c r="Z48" s="6"/>
      <c r="AA48" s="8"/>
      <c r="AB48" s="8" t="s">
        <v>1969</v>
      </c>
      <c r="AC48" s="6" t="s">
        <v>1584</v>
      </c>
      <c r="AD48" s="6"/>
      <c r="AE48" s="9"/>
    </row>
    <row r="49" spans="1:31" s="10" customFormat="1" ht="47.25" x14ac:dyDescent="0.25">
      <c r="A49" s="3">
        <v>43</v>
      </c>
      <c r="B49" s="3" t="s">
        <v>27</v>
      </c>
      <c r="C49" s="5" t="s">
        <v>1625</v>
      </c>
      <c r="D49" s="4" t="s">
        <v>1626</v>
      </c>
      <c r="E49" s="6">
        <v>9</v>
      </c>
      <c r="F49" s="6">
        <v>1224</v>
      </c>
      <c r="G49" s="3">
        <v>98.1</v>
      </c>
      <c r="H49" s="3" t="s">
        <v>75</v>
      </c>
      <c r="I49" s="7">
        <v>45764</v>
      </c>
      <c r="J49" s="3"/>
      <c r="K49" s="3"/>
      <c r="L49" s="3" t="s">
        <v>98</v>
      </c>
      <c r="M49" s="3"/>
      <c r="N49" s="3"/>
      <c r="O49" s="3"/>
      <c r="P49" s="3"/>
      <c r="Q49" s="6" t="s">
        <v>180</v>
      </c>
      <c r="R49" s="7">
        <v>45770</v>
      </c>
      <c r="S49" s="7">
        <v>45804</v>
      </c>
      <c r="T49" s="7">
        <v>45804</v>
      </c>
      <c r="U49" s="6">
        <v>985</v>
      </c>
      <c r="V49" s="11">
        <v>2583973</v>
      </c>
      <c r="W49" s="6"/>
      <c r="X49" s="6"/>
      <c r="Y49" s="6"/>
      <c r="Z49" s="6"/>
      <c r="AA49" s="8"/>
      <c r="AB49" s="8"/>
      <c r="AC49" s="6" t="s">
        <v>1627</v>
      </c>
      <c r="AD49" s="6"/>
      <c r="AE49" s="9"/>
    </row>
    <row r="50" spans="1:31" s="10" customFormat="1" ht="31.5" x14ac:dyDescent="0.25">
      <c r="A50" s="3">
        <v>44</v>
      </c>
      <c r="B50" s="3" t="s">
        <v>27</v>
      </c>
      <c r="C50" s="5" t="s">
        <v>1630</v>
      </c>
      <c r="D50" s="4" t="s">
        <v>1631</v>
      </c>
      <c r="E50" s="6">
        <v>4</v>
      </c>
      <c r="F50" s="6">
        <v>364</v>
      </c>
      <c r="G50" s="3">
        <v>350.4</v>
      </c>
      <c r="H50" s="3" t="s">
        <v>75</v>
      </c>
      <c r="I50" s="7">
        <v>45764</v>
      </c>
      <c r="J50" s="3"/>
      <c r="K50" s="3"/>
      <c r="L50" s="3"/>
      <c r="M50" s="3"/>
      <c r="N50" s="3"/>
      <c r="O50" s="3"/>
      <c r="P50" s="3" t="s">
        <v>52</v>
      </c>
      <c r="Q50" s="6" t="s">
        <v>180</v>
      </c>
      <c r="R50" s="7">
        <v>45798</v>
      </c>
      <c r="S50" s="7">
        <v>45799</v>
      </c>
      <c r="T50" s="7">
        <v>45799</v>
      </c>
      <c r="U50" s="20">
        <v>830</v>
      </c>
      <c r="V50" s="11">
        <v>1682662</v>
      </c>
      <c r="W50" s="6"/>
      <c r="X50" s="6"/>
      <c r="Y50" s="6"/>
      <c r="Z50" s="6"/>
      <c r="AA50" s="8"/>
      <c r="AB50" s="8"/>
      <c r="AC50" s="6" t="s">
        <v>2178</v>
      </c>
      <c r="AD50" s="6"/>
      <c r="AE50" s="9"/>
    </row>
    <row r="51" spans="1:31" ht="16.5" x14ac:dyDescent="0.25">
      <c r="A51" s="12"/>
      <c r="B51" s="73" t="s">
        <v>1656</v>
      </c>
      <c r="C51" s="74"/>
      <c r="D51" s="74"/>
      <c r="E51" s="74"/>
      <c r="F51" s="74"/>
      <c r="G51" s="74"/>
      <c r="H51" s="75"/>
      <c r="I51" s="13"/>
      <c r="J51" s="14">
        <f>COUNTIF(J48:J50,"CQ")+COUNTIF(J50,"CN")+COUNTIF(J50,"TK")</f>
        <v>0</v>
      </c>
      <c r="K51" s="14">
        <f>COUNTIF(K48:K50,"CMĐ")</f>
        <v>0</v>
      </c>
      <c r="L51" s="14">
        <f>COUNTIF(L48:L50,"XMDT")+COUNTIF(L48:L50,"Mốc")</f>
        <v>1</v>
      </c>
      <c r="M51" s="14">
        <f>COUNTIF(M44:M50,"THÁn")</f>
        <v>0</v>
      </c>
      <c r="N51" s="14">
        <f>COUNTIF(N44:N50,"TÒA")</f>
        <v>1</v>
      </c>
      <c r="O51" s="14">
        <f>COUNTIF(O40:O50,"Cấp GCN")</f>
        <v>0</v>
      </c>
      <c r="P51" s="14">
        <f>COUNTIF(P48:P50,"SHN")</f>
        <v>1</v>
      </c>
      <c r="Q51" s="15"/>
      <c r="R51" s="13"/>
      <c r="S51" s="15"/>
      <c r="T51" s="15"/>
      <c r="U51" s="16"/>
      <c r="V51" s="11"/>
      <c r="W51" s="17"/>
      <c r="X51" s="2"/>
      <c r="AD51" s="14">
        <f>COUNTIF(AD50,"kt")</f>
        <v>0</v>
      </c>
    </row>
    <row r="52" spans="1:31" s="10" customFormat="1" ht="47.25" x14ac:dyDescent="0.25">
      <c r="A52" s="3">
        <v>45</v>
      </c>
      <c r="B52" s="3" t="s">
        <v>27</v>
      </c>
      <c r="C52" s="5" t="s">
        <v>1682</v>
      </c>
      <c r="D52" s="4" t="s">
        <v>1683</v>
      </c>
      <c r="E52" s="6">
        <v>9</v>
      </c>
      <c r="F52" s="6">
        <v>737</v>
      </c>
      <c r="G52" s="3">
        <v>269</v>
      </c>
      <c r="H52" s="3" t="s">
        <v>75</v>
      </c>
      <c r="I52" s="7">
        <v>45769</v>
      </c>
      <c r="J52" s="3"/>
      <c r="K52" s="3"/>
      <c r="L52" s="3" t="s">
        <v>98</v>
      </c>
      <c r="M52" s="3"/>
      <c r="N52" s="3"/>
      <c r="O52" s="3"/>
      <c r="P52" s="3"/>
      <c r="Q52" s="6" t="s">
        <v>180</v>
      </c>
      <c r="R52" s="7">
        <v>45770</v>
      </c>
      <c r="S52" s="7">
        <v>45796</v>
      </c>
      <c r="T52" s="7">
        <v>45796</v>
      </c>
      <c r="U52" s="6">
        <v>701</v>
      </c>
      <c r="V52" s="11">
        <v>2235043</v>
      </c>
      <c r="W52" s="6"/>
      <c r="X52" s="6"/>
      <c r="Y52" s="6"/>
      <c r="Z52" s="6"/>
      <c r="AA52" s="8"/>
      <c r="AB52" s="8"/>
      <c r="AC52" s="6" t="s">
        <v>1684</v>
      </c>
      <c r="AD52" s="6"/>
      <c r="AE52" s="9"/>
    </row>
    <row r="53" spans="1:31" s="10" customFormat="1" ht="47.25" x14ac:dyDescent="0.25">
      <c r="A53" s="3">
        <v>46</v>
      </c>
      <c r="B53" s="3" t="s">
        <v>27</v>
      </c>
      <c r="C53" s="5" t="s">
        <v>1711</v>
      </c>
      <c r="D53" s="4" t="s">
        <v>218</v>
      </c>
      <c r="E53" s="6">
        <v>12</v>
      </c>
      <c r="F53" s="6" t="s">
        <v>1712</v>
      </c>
      <c r="G53" s="3" t="s">
        <v>1713</v>
      </c>
      <c r="H53" s="3" t="s">
        <v>55</v>
      </c>
      <c r="I53" s="7">
        <v>45770</v>
      </c>
      <c r="J53" s="3"/>
      <c r="K53" s="3"/>
      <c r="L53" s="3"/>
      <c r="M53" s="3"/>
      <c r="N53" s="3"/>
      <c r="O53" s="3"/>
      <c r="P53" s="3" t="s">
        <v>52</v>
      </c>
      <c r="Q53" s="6" t="s">
        <v>180</v>
      </c>
      <c r="R53" s="7"/>
      <c r="S53" s="7"/>
      <c r="T53" s="7"/>
      <c r="U53" s="6"/>
      <c r="V53" s="11"/>
      <c r="W53" s="6"/>
      <c r="X53" s="6"/>
      <c r="Y53" s="6"/>
      <c r="Z53" s="6"/>
      <c r="AA53" s="8"/>
      <c r="AB53" s="8"/>
      <c r="AC53" s="6" t="s">
        <v>1902</v>
      </c>
      <c r="AD53" s="6"/>
      <c r="AE53" s="9"/>
    </row>
    <row r="54" spans="1:31" s="10" customFormat="1" ht="35.25" customHeight="1" x14ac:dyDescent="0.25">
      <c r="A54" s="3">
        <v>47</v>
      </c>
      <c r="B54" s="3" t="s">
        <v>27</v>
      </c>
      <c r="C54" s="5" t="s">
        <v>497</v>
      </c>
      <c r="D54" s="4" t="s">
        <v>1716</v>
      </c>
      <c r="E54" s="6">
        <v>8</v>
      </c>
      <c r="F54" s="6">
        <v>103</v>
      </c>
      <c r="G54" s="3">
        <v>247.9</v>
      </c>
      <c r="H54" s="3" t="s">
        <v>75</v>
      </c>
      <c r="I54" s="7">
        <v>45770</v>
      </c>
      <c r="J54" s="3"/>
      <c r="K54" s="3"/>
      <c r="L54" s="3" t="s">
        <v>1</v>
      </c>
      <c r="M54" s="3"/>
      <c r="N54" s="3"/>
      <c r="O54" s="3"/>
      <c r="P54" s="3"/>
      <c r="Q54" s="6" t="s">
        <v>180</v>
      </c>
      <c r="R54" s="7"/>
      <c r="S54" s="7"/>
      <c r="T54" s="7"/>
      <c r="U54" s="6"/>
      <c r="V54" s="11"/>
      <c r="W54" s="6"/>
      <c r="X54" s="6"/>
      <c r="Y54" s="6"/>
      <c r="Z54" s="6"/>
      <c r="AA54" s="8"/>
      <c r="AB54" s="8"/>
      <c r="AC54" s="6"/>
      <c r="AD54" s="6"/>
      <c r="AE54" s="9"/>
    </row>
    <row r="55" spans="1:31" s="10" customFormat="1" ht="15.75" x14ac:dyDescent="0.25">
      <c r="A55" s="3">
        <v>48</v>
      </c>
      <c r="B55" s="3" t="s">
        <v>27</v>
      </c>
      <c r="C55" s="5" t="s">
        <v>1717</v>
      </c>
      <c r="D55" s="4" t="s">
        <v>802</v>
      </c>
      <c r="E55" s="6">
        <v>27</v>
      </c>
      <c r="F55" s="6">
        <v>125</v>
      </c>
      <c r="G55" s="3">
        <v>223.5</v>
      </c>
      <c r="H55" s="3" t="s">
        <v>75</v>
      </c>
      <c r="I55" s="7">
        <v>45770</v>
      </c>
      <c r="J55" s="3"/>
      <c r="K55" s="3" t="s">
        <v>62</v>
      </c>
      <c r="L55" s="3"/>
      <c r="M55" s="3"/>
      <c r="N55" s="3"/>
      <c r="O55" s="3"/>
      <c r="P55" s="3"/>
      <c r="Q55" s="6" t="s">
        <v>180</v>
      </c>
      <c r="R55" s="7">
        <v>45805</v>
      </c>
      <c r="S55" s="7">
        <v>45805</v>
      </c>
      <c r="T55" s="7">
        <v>45805</v>
      </c>
      <c r="U55" s="6">
        <v>1038</v>
      </c>
      <c r="V55" s="11">
        <v>809727</v>
      </c>
      <c r="W55" s="6"/>
      <c r="X55" s="6"/>
      <c r="Y55" s="6"/>
      <c r="Z55" s="6"/>
      <c r="AA55" s="8"/>
      <c r="AB55" s="8"/>
      <c r="AC55" s="6"/>
      <c r="AD55" s="6"/>
      <c r="AE55" s="9"/>
    </row>
    <row r="56" spans="1:31" s="10" customFormat="1" ht="47.25" x14ac:dyDescent="0.25">
      <c r="A56" s="3">
        <v>49</v>
      </c>
      <c r="B56" s="3" t="s">
        <v>27</v>
      </c>
      <c r="C56" s="5" t="s">
        <v>1767</v>
      </c>
      <c r="D56" s="4" t="s">
        <v>1768</v>
      </c>
      <c r="E56" s="6">
        <v>6</v>
      </c>
      <c r="F56" s="6">
        <v>283</v>
      </c>
      <c r="G56" s="3">
        <v>67.8</v>
      </c>
      <c r="H56" s="3" t="s">
        <v>55</v>
      </c>
      <c r="I56" s="7">
        <v>45772</v>
      </c>
      <c r="J56" s="3"/>
      <c r="K56" s="3"/>
      <c r="L56" s="3"/>
      <c r="M56" s="3"/>
      <c r="N56" s="3"/>
      <c r="O56" s="3"/>
      <c r="P56" s="3" t="s">
        <v>52</v>
      </c>
      <c r="Q56" s="6" t="s">
        <v>180</v>
      </c>
      <c r="R56" s="7"/>
      <c r="S56" s="7"/>
      <c r="T56" s="7"/>
      <c r="U56" s="6"/>
      <c r="V56" s="11"/>
      <c r="W56" s="6"/>
      <c r="X56" s="6"/>
      <c r="Y56" s="6"/>
      <c r="Z56" s="6"/>
      <c r="AA56" s="8"/>
      <c r="AB56" s="8" t="s">
        <v>2357</v>
      </c>
      <c r="AC56" s="6" t="s">
        <v>1975</v>
      </c>
      <c r="AD56" s="6"/>
      <c r="AE56" s="9"/>
    </row>
    <row r="57" spans="1:31" s="10" customFormat="1" ht="15.75" x14ac:dyDescent="0.25">
      <c r="A57" s="3">
        <v>50</v>
      </c>
      <c r="B57" s="3" t="s">
        <v>27</v>
      </c>
      <c r="C57" s="5" t="s">
        <v>1780</v>
      </c>
      <c r="D57" s="4" t="s">
        <v>1781</v>
      </c>
      <c r="E57" s="6">
        <v>9</v>
      </c>
      <c r="F57" s="6">
        <v>858</v>
      </c>
      <c r="G57" s="3">
        <v>111.1</v>
      </c>
      <c r="H57" s="3" t="s">
        <v>55</v>
      </c>
      <c r="I57" s="7">
        <v>45775</v>
      </c>
      <c r="J57" s="3"/>
      <c r="K57" s="3"/>
      <c r="L57" s="3" t="s">
        <v>1</v>
      </c>
      <c r="M57" s="3"/>
      <c r="N57" s="3"/>
      <c r="O57" s="3"/>
      <c r="P57" s="3"/>
      <c r="Q57" s="6" t="s">
        <v>180</v>
      </c>
      <c r="R57" s="7">
        <v>45834</v>
      </c>
      <c r="S57" s="7"/>
      <c r="T57" s="7"/>
      <c r="U57" s="6"/>
      <c r="V57" s="11"/>
      <c r="W57" s="6"/>
      <c r="X57" s="6"/>
      <c r="Y57" s="6"/>
      <c r="Z57" s="6"/>
      <c r="AA57" s="8"/>
      <c r="AB57" s="8"/>
      <c r="AC57" s="6"/>
      <c r="AD57" s="6"/>
      <c r="AE57" s="9"/>
    </row>
    <row r="58" spans="1:31" ht="16.5" x14ac:dyDescent="0.25">
      <c r="A58" s="12"/>
      <c r="B58" s="73" t="s">
        <v>1782</v>
      </c>
      <c r="C58" s="74"/>
      <c r="D58" s="74"/>
      <c r="E58" s="74"/>
      <c r="F58" s="74"/>
      <c r="G58" s="74"/>
      <c r="H58" s="75"/>
      <c r="I58" s="13"/>
      <c r="J58" s="14">
        <f>COUNTIF(J55:J57,"CQ")+COUNTIF(J57,"CN")+COUNTIF(J57,"TK")</f>
        <v>0</v>
      </c>
      <c r="K58" s="14">
        <f>COUNTIF(K55:K57,"CMĐ")</f>
        <v>1</v>
      </c>
      <c r="L58" s="14">
        <f>COUNTIF(L52:L57,"XMDT")+COUNTIF(L52:L57,"Mốc")</f>
        <v>3</v>
      </c>
      <c r="M58" s="14">
        <f>COUNTIF(M51:M57,"THÁn")</f>
        <v>0</v>
      </c>
      <c r="N58" s="14">
        <f>COUNTIF(N51:N57,"TÒA")</f>
        <v>0</v>
      </c>
      <c r="O58" s="14">
        <f>COUNTIF(O47:O57,"Cấp GCN")</f>
        <v>0</v>
      </c>
      <c r="P58" s="14">
        <f>COUNTIF(P52:P57,"SHN")</f>
        <v>2</v>
      </c>
      <c r="Q58" s="15"/>
      <c r="R58" s="13"/>
      <c r="S58" s="15"/>
      <c r="T58" s="15"/>
      <c r="U58" s="16"/>
      <c r="V58" s="11"/>
      <c r="W58" s="17"/>
      <c r="X58" s="2"/>
      <c r="AD58" s="14">
        <f>COUNTIF(AD57,"kt")</f>
        <v>0</v>
      </c>
    </row>
    <row r="59" spans="1:31" s="10" customFormat="1" ht="31.5" x14ac:dyDescent="0.25">
      <c r="A59" s="3">
        <v>51</v>
      </c>
      <c r="B59" s="3" t="s">
        <v>27</v>
      </c>
      <c r="C59" s="5" t="s">
        <v>1899</v>
      </c>
      <c r="D59" s="4" t="s">
        <v>1900</v>
      </c>
      <c r="E59" s="6">
        <v>9</v>
      </c>
      <c r="F59" s="6">
        <v>544</v>
      </c>
      <c r="G59" s="3">
        <v>518.29999999999995</v>
      </c>
      <c r="H59" s="3" t="s">
        <v>75</v>
      </c>
      <c r="I59" s="7" t="s">
        <v>2484</v>
      </c>
      <c r="J59" s="3"/>
      <c r="K59" s="3"/>
      <c r="L59" s="3" t="s">
        <v>1</v>
      </c>
      <c r="M59" s="3"/>
      <c r="N59" s="3"/>
      <c r="O59" s="3"/>
      <c r="P59" s="3"/>
      <c r="Q59" s="6" t="s">
        <v>1901</v>
      </c>
      <c r="R59" s="7"/>
      <c r="S59" s="7"/>
      <c r="T59" s="7"/>
      <c r="U59" s="6"/>
      <c r="V59" s="11"/>
      <c r="W59" s="6"/>
      <c r="X59" s="6"/>
      <c r="Y59" s="6"/>
      <c r="Z59" s="6"/>
      <c r="AA59" s="8"/>
      <c r="AB59" s="8" t="s">
        <v>2461</v>
      </c>
      <c r="AC59" s="6"/>
      <c r="AD59" s="6"/>
      <c r="AE59" s="9"/>
    </row>
    <row r="60" spans="1:31" s="10" customFormat="1" ht="63" x14ac:dyDescent="0.25">
      <c r="A60" s="3">
        <v>52</v>
      </c>
      <c r="B60" s="3" t="s">
        <v>27</v>
      </c>
      <c r="C60" s="5" t="s">
        <v>1903</v>
      </c>
      <c r="D60" s="4" t="s">
        <v>1904</v>
      </c>
      <c r="E60" s="6">
        <v>16</v>
      </c>
      <c r="F60" s="6">
        <v>147</v>
      </c>
      <c r="G60" s="3">
        <v>161.6</v>
      </c>
      <c r="H60" s="3" t="s">
        <v>51</v>
      </c>
      <c r="I60" s="7">
        <v>45785</v>
      </c>
      <c r="J60" s="3"/>
      <c r="K60" s="3"/>
      <c r="L60" s="3" t="s">
        <v>98</v>
      </c>
      <c r="M60" s="3"/>
      <c r="N60" s="3"/>
      <c r="O60" s="3"/>
      <c r="P60" s="3"/>
      <c r="Q60" s="6" t="s">
        <v>1901</v>
      </c>
      <c r="R60" s="7">
        <v>45799</v>
      </c>
      <c r="S60" s="7">
        <v>45813</v>
      </c>
      <c r="T60" s="7">
        <v>45813</v>
      </c>
      <c r="U60" s="20">
        <v>1301</v>
      </c>
      <c r="V60" s="11">
        <v>2060577</v>
      </c>
      <c r="W60" s="6"/>
      <c r="X60" s="6"/>
      <c r="Y60" s="6"/>
      <c r="Z60" s="6"/>
      <c r="AA60" s="8"/>
      <c r="AB60" s="8"/>
      <c r="AC60" s="6" t="s">
        <v>1905</v>
      </c>
      <c r="AD60" s="6"/>
      <c r="AE60" s="9"/>
    </row>
    <row r="61" spans="1:31" ht="16.5" x14ac:dyDescent="0.25">
      <c r="A61" s="12"/>
      <c r="B61" s="73" t="s">
        <v>1919</v>
      </c>
      <c r="C61" s="74"/>
      <c r="D61" s="74"/>
      <c r="E61" s="74"/>
      <c r="F61" s="74"/>
      <c r="G61" s="74"/>
      <c r="H61" s="75"/>
      <c r="I61" s="13"/>
      <c r="J61" s="14">
        <f>COUNTIF(J58:J60,"CQ")+COUNTIF(J60,"CN")+COUNTIF(J60,"TK")</f>
        <v>0</v>
      </c>
      <c r="K61" s="14">
        <f>COUNTIF(K58:K60,"CMĐ")</f>
        <v>0</v>
      </c>
      <c r="L61" s="14">
        <f>COUNTIF(L59:L60,"XMDT")+COUNTIF(L55:L60,"Mốc")</f>
        <v>2</v>
      </c>
      <c r="M61" s="14">
        <f>COUNTIF(M54:M60,"THÁn")</f>
        <v>0</v>
      </c>
      <c r="N61" s="14">
        <f>COUNTIF(N54:N60,"TÒA")</f>
        <v>0</v>
      </c>
      <c r="O61" s="14">
        <f>COUNTIF(O50:O60,"Cấp GCN")</f>
        <v>0</v>
      </c>
      <c r="P61" s="14">
        <f>COUNTIF(P59:P60,"SHN")</f>
        <v>0</v>
      </c>
      <c r="Q61" s="15"/>
      <c r="R61" s="13"/>
      <c r="S61" s="15"/>
      <c r="T61" s="15"/>
      <c r="U61" s="16"/>
      <c r="V61" s="11"/>
      <c r="W61" s="17"/>
      <c r="X61" s="2"/>
      <c r="AD61" s="14">
        <f>COUNTIF(AD60,"kt")</f>
        <v>0</v>
      </c>
    </row>
    <row r="62" spans="1:31" s="10" customFormat="1" ht="78.75" x14ac:dyDescent="0.25">
      <c r="A62" s="3">
        <v>53</v>
      </c>
      <c r="B62" s="3" t="s">
        <v>27</v>
      </c>
      <c r="C62" s="5" t="s">
        <v>1960</v>
      </c>
      <c r="D62" s="4" t="s">
        <v>315</v>
      </c>
      <c r="E62" s="6">
        <v>16</v>
      </c>
      <c r="F62" s="6">
        <v>650</v>
      </c>
      <c r="G62" s="3"/>
      <c r="H62" s="3"/>
      <c r="I62" s="7">
        <v>45790</v>
      </c>
      <c r="J62" s="3"/>
      <c r="K62" s="3"/>
      <c r="L62" s="3"/>
      <c r="M62" s="3"/>
      <c r="N62" s="3" t="s">
        <v>56</v>
      </c>
      <c r="O62" s="3"/>
      <c r="P62" s="3"/>
      <c r="Q62" s="6" t="s">
        <v>180</v>
      </c>
      <c r="R62" s="7"/>
      <c r="S62" s="7"/>
      <c r="T62" s="7"/>
      <c r="U62" s="6"/>
      <c r="V62" s="11"/>
      <c r="W62" s="6"/>
      <c r="X62" s="6"/>
      <c r="Y62" s="6"/>
      <c r="Z62" s="6"/>
      <c r="AA62" s="8"/>
      <c r="AB62" s="8" t="s">
        <v>2145</v>
      </c>
      <c r="AC62" s="6" t="s">
        <v>1961</v>
      </c>
      <c r="AD62" s="6"/>
      <c r="AE62" s="9"/>
    </row>
    <row r="63" spans="1:31" s="10" customFormat="1" ht="15.75" x14ac:dyDescent="0.25">
      <c r="A63" s="3">
        <v>54</v>
      </c>
      <c r="B63" s="3" t="s">
        <v>27</v>
      </c>
      <c r="C63" s="5" t="s">
        <v>1977</v>
      </c>
      <c r="D63" s="4" t="s">
        <v>1978</v>
      </c>
      <c r="E63" s="6">
        <v>13</v>
      </c>
      <c r="F63" s="6">
        <v>13</v>
      </c>
      <c r="G63" s="3">
        <v>69.599999999999994</v>
      </c>
      <c r="H63" s="3" t="s">
        <v>1979</v>
      </c>
      <c r="I63" s="7">
        <v>45791</v>
      </c>
      <c r="J63" s="3"/>
      <c r="K63" s="3"/>
      <c r="L63" s="3" t="s">
        <v>1</v>
      </c>
      <c r="M63" s="3"/>
      <c r="N63" s="3"/>
      <c r="O63" s="3"/>
      <c r="P63" s="3"/>
      <c r="Q63" s="6" t="s">
        <v>180</v>
      </c>
      <c r="R63" s="7">
        <v>45834</v>
      </c>
      <c r="S63" s="7"/>
      <c r="T63" s="7"/>
      <c r="U63" s="6"/>
      <c r="V63" s="11"/>
      <c r="W63" s="6"/>
      <c r="X63" s="6"/>
      <c r="Y63" s="6"/>
      <c r="Z63" s="6"/>
      <c r="AA63" s="8"/>
      <c r="AB63" s="8"/>
      <c r="AC63" s="6"/>
      <c r="AD63" s="6"/>
      <c r="AE63" s="9"/>
    </row>
    <row r="64" spans="1:31" s="10" customFormat="1" ht="31.5" x14ac:dyDescent="0.25">
      <c r="A64" s="3">
        <v>55</v>
      </c>
      <c r="B64" s="3" t="s">
        <v>27</v>
      </c>
      <c r="C64" s="5" t="s">
        <v>2002</v>
      </c>
      <c r="D64" s="4" t="s">
        <v>2003</v>
      </c>
      <c r="E64" s="6">
        <v>18</v>
      </c>
      <c r="F64" s="6">
        <v>160</v>
      </c>
      <c r="G64" s="3">
        <v>441.1</v>
      </c>
      <c r="H64" s="3" t="s">
        <v>51</v>
      </c>
      <c r="I64" s="7"/>
      <c r="J64" s="3"/>
      <c r="K64" s="3"/>
      <c r="L64" s="3"/>
      <c r="M64" s="3"/>
      <c r="N64" s="3"/>
      <c r="O64" s="3"/>
      <c r="P64" s="3"/>
      <c r="Q64" s="6" t="s">
        <v>190</v>
      </c>
      <c r="R64" s="7"/>
      <c r="S64" s="7"/>
      <c r="T64" s="7"/>
      <c r="U64" s="6"/>
      <c r="V64" s="11"/>
      <c r="W64" s="6"/>
      <c r="X64" s="6"/>
      <c r="Y64" s="6"/>
      <c r="Z64" s="6" t="s">
        <v>1998</v>
      </c>
      <c r="AA64" s="8" t="s">
        <v>2004</v>
      </c>
      <c r="AB64" s="8"/>
      <c r="AC64" s="6"/>
      <c r="AD64" s="6"/>
      <c r="AE64" s="9"/>
    </row>
    <row r="65" spans="1:31" s="10" customFormat="1" ht="78.75" x14ac:dyDescent="0.25">
      <c r="A65" s="3">
        <v>56</v>
      </c>
      <c r="B65" s="3" t="s">
        <v>27</v>
      </c>
      <c r="C65" s="5" t="s">
        <v>2026</v>
      </c>
      <c r="D65" s="4" t="s">
        <v>488</v>
      </c>
      <c r="E65" s="6">
        <v>9</v>
      </c>
      <c r="F65" s="6">
        <v>457</v>
      </c>
      <c r="G65" s="3">
        <v>121.1</v>
      </c>
      <c r="H65" s="3"/>
      <c r="I65" s="7">
        <v>45792</v>
      </c>
      <c r="J65" s="3"/>
      <c r="K65" s="3"/>
      <c r="L65" s="3"/>
      <c r="M65" s="3" t="s">
        <v>491</v>
      </c>
      <c r="N65" s="3"/>
      <c r="O65" s="3"/>
      <c r="P65" s="3"/>
      <c r="Q65" s="6" t="s">
        <v>180</v>
      </c>
      <c r="R65" s="7"/>
      <c r="S65" s="7"/>
      <c r="T65" s="7"/>
      <c r="U65" s="6"/>
      <c r="V65" s="11"/>
      <c r="W65" s="6"/>
      <c r="X65" s="6"/>
      <c r="Y65" s="6"/>
      <c r="Z65" s="6"/>
      <c r="AA65" s="8"/>
      <c r="AB65" s="8"/>
      <c r="AC65" s="6" t="s">
        <v>2027</v>
      </c>
      <c r="AD65" s="6"/>
      <c r="AE65" s="9"/>
    </row>
    <row r="66" spans="1:31" s="10" customFormat="1" ht="31.5" x14ac:dyDescent="0.25">
      <c r="A66" s="3">
        <v>57</v>
      </c>
      <c r="B66" s="3" t="s">
        <v>27</v>
      </c>
      <c r="C66" s="5" t="s">
        <v>2040</v>
      </c>
      <c r="D66" s="4" t="s">
        <v>2041</v>
      </c>
      <c r="E66" s="6" t="s">
        <v>2042</v>
      </c>
      <c r="F66" s="6" t="s">
        <v>2043</v>
      </c>
      <c r="G66" s="3">
        <v>159.19999999999999</v>
      </c>
      <c r="H66" s="3" t="s">
        <v>55</v>
      </c>
      <c r="I66" s="7">
        <v>45792</v>
      </c>
      <c r="J66" s="3"/>
      <c r="K66" s="3"/>
      <c r="L66" s="3"/>
      <c r="M66" s="3"/>
      <c r="N66" s="3"/>
      <c r="O66" s="3"/>
      <c r="P66" s="3" t="s">
        <v>52</v>
      </c>
      <c r="Q66" s="6" t="s">
        <v>180</v>
      </c>
      <c r="R66" s="7"/>
      <c r="S66" s="7"/>
      <c r="T66" s="7"/>
      <c r="U66" s="6"/>
      <c r="V66" s="11"/>
      <c r="W66" s="6"/>
      <c r="X66" s="6"/>
      <c r="Y66" s="6"/>
      <c r="Z66" s="6"/>
      <c r="AA66" s="8"/>
      <c r="AB66" s="8"/>
      <c r="AC66" s="6"/>
      <c r="AD66" s="6"/>
      <c r="AE66" s="9"/>
    </row>
    <row r="67" spans="1:31" s="10" customFormat="1" ht="15.75" x14ac:dyDescent="0.25">
      <c r="A67" s="3">
        <v>58</v>
      </c>
      <c r="B67" s="3" t="s">
        <v>27</v>
      </c>
      <c r="C67" s="5" t="s">
        <v>2066</v>
      </c>
      <c r="D67" s="4" t="s">
        <v>2067</v>
      </c>
      <c r="E67" s="6">
        <v>13</v>
      </c>
      <c r="F67" s="6">
        <v>764</v>
      </c>
      <c r="G67" s="3">
        <v>383.1</v>
      </c>
      <c r="H67" s="3" t="s">
        <v>1350</v>
      </c>
      <c r="I67" s="7">
        <v>45793</v>
      </c>
      <c r="J67" s="3"/>
      <c r="K67" s="3"/>
      <c r="L67" s="3"/>
      <c r="M67" s="3"/>
      <c r="N67" s="3"/>
      <c r="O67" s="3"/>
      <c r="P67" s="3" t="s">
        <v>52</v>
      </c>
      <c r="Q67" s="6" t="s">
        <v>180</v>
      </c>
      <c r="R67" s="7"/>
      <c r="S67" s="7"/>
      <c r="T67" s="7"/>
      <c r="U67" s="6"/>
      <c r="V67" s="11"/>
      <c r="W67" s="6"/>
      <c r="X67" s="6"/>
      <c r="Y67" s="6"/>
      <c r="Z67" s="6"/>
      <c r="AA67" s="8"/>
      <c r="AB67" s="8"/>
      <c r="AC67" s="6"/>
      <c r="AD67" s="6"/>
      <c r="AE67" s="9"/>
    </row>
    <row r="68" spans="1:31" ht="16.5" x14ac:dyDescent="0.25">
      <c r="A68" s="12"/>
      <c r="B68" s="73" t="s">
        <v>2099</v>
      </c>
      <c r="C68" s="74"/>
      <c r="D68" s="74"/>
      <c r="E68" s="74"/>
      <c r="F68" s="74"/>
      <c r="G68" s="74"/>
      <c r="H68" s="75"/>
      <c r="I68" s="13"/>
      <c r="J68" s="14">
        <f>COUNTIF(J65:J67,"CQ")+COUNTIF(J67,"CN")+COUNTIF(J67,"TK")</f>
        <v>0</v>
      </c>
      <c r="K68" s="14">
        <f>COUNTIF(K65:K67,"CMĐ")</f>
        <v>0</v>
      </c>
      <c r="L68" s="14">
        <f>COUNTIF(L62:L67,"XMDT")+COUNTIF(L62:L67,"Mốc")</f>
        <v>1</v>
      </c>
      <c r="M68" s="14">
        <f>COUNTIF(M61:M67,"THÁn")</f>
        <v>1</v>
      </c>
      <c r="N68" s="14">
        <f>COUNTIF(N61:N67,"TÒA")</f>
        <v>1</v>
      </c>
      <c r="O68" s="14">
        <f>COUNTIF(O57:O67,"Cấp GCN")</f>
        <v>0</v>
      </c>
      <c r="P68" s="14">
        <f>COUNTIF(P66:P67,"SHN")</f>
        <v>2</v>
      </c>
      <c r="Q68" s="15"/>
      <c r="R68" s="13"/>
      <c r="S68" s="15"/>
      <c r="T68" s="15"/>
      <c r="U68" s="16"/>
      <c r="V68" s="11"/>
      <c r="W68" s="17"/>
      <c r="X68" s="2"/>
      <c r="AD68" s="14">
        <f>COUNTIF(AD67,"kt")</f>
        <v>0</v>
      </c>
    </row>
    <row r="69" spans="1:31" s="10" customFormat="1" ht="31.5" x14ac:dyDescent="0.25">
      <c r="A69" s="3">
        <v>59</v>
      </c>
      <c r="B69" s="3" t="s">
        <v>27</v>
      </c>
      <c r="C69" s="5" t="s">
        <v>2119</v>
      </c>
      <c r="D69" s="4"/>
      <c r="E69" s="6">
        <v>15</v>
      </c>
      <c r="F69" s="6">
        <v>555</v>
      </c>
      <c r="G69" s="3">
        <v>2230.1999999999998</v>
      </c>
      <c r="H69" s="3" t="s">
        <v>75</v>
      </c>
      <c r="I69" s="7"/>
      <c r="J69" s="3"/>
      <c r="K69" s="3"/>
      <c r="L69" s="3"/>
      <c r="M69" s="3"/>
      <c r="N69" s="3"/>
      <c r="O69" s="3"/>
      <c r="P69" s="3"/>
      <c r="Q69" s="6" t="s">
        <v>190</v>
      </c>
      <c r="R69" s="7"/>
      <c r="S69" s="7"/>
      <c r="T69" s="7"/>
      <c r="U69" s="6"/>
      <c r="V69" s="11"/>
      <c r="W69" s="6"/>
      <c r="X69" s="6"/>
      <c r="Y69" s="6"/>
      <c r="Z69" s="6" t="s">
        <v>2120</v>
      </c>
      <c r="AA69" s="8" t="s">
        <v>2121</v>
      </c>
      <c r="AB69" s="8"/>
      <c r="AC69" s="6"/>
      <c r="AD69" s="6"/>
      <c r="AE69" s="9"/>
    </row>
    <row r="70" spans="1:31" s="10" customFormat="1" ht="31.5" x14ac:dyDescent="0.25">
      <c r="A70" s="3">
        <v>60</v>
      </c>
      <c r="B70" s="3" t="s">
        <v>27</v>
      </c>
      <c r="C70" s="5" t="s">
        <v>2192</v>
      </c>
      <c r="D70" s="4" t="s">
        <v>2193</v>
      </c>
      <c r="E70" s="6">
        <v>8</v>
      </c>
      <c r="F70" s="6" t="s">
        <v>2194</v>
      </c>
      <c r="G70" s="6" t="s">
        <v>2195</v>
      </c>
      <c r="H70" s="3" t="s">
        <v>2196</v>
      </c>
      <c r="I70" s="7">
        <v>45799</v>
      </c>
      <c r="J70" s="3"/>
      <c r="K70" s="3"/>
      <c r="L70" s="3" t="s">
        <v>1</v>
      </c>
      <c r="M70" s="3"/>
      <c r="N70" s="3"/>
      <c r="O70" s="3"/>
      <c r="P70" s="3"/>
      <c r="Q70" s="6" t="s">
        <v>180</v>
      </c>
      <c r="R70" s="7">
        <v>45834</v>
      </c>
      <c r="S70" s="7">
        <v>45835</v>
      </c>
      <c r="T70" s="7">
        <v>45835</v>
      </c>
      <c r="U70" s="6">
        <v>1991</v>
      </c>
      <c r="V70" s="11">
        <v>1619454</v>
      </c>
      <c r="W70" s="6"/>
      <c r="X70" s="6"/>
      <c r="Y70" s="6"/>
      <c r="Z70" s="6"/>
      <c r="AA70" s="8"/>
      <c r="AB70" s="8"/>
      <c r="AC70" s="6"/>
      <c r="AD70" s="6"/>
      <c r="AE70" s="9"/>
    </row>
    <row r="71" spans="1:31" s="10" customFormat="1" ht="15.75" x14ac:dyDescent="0.25">
      <c r="A71" s="3">
        <v>61</v>
      </c>
      <c r="B71" s="3" t="s">
        <v>27</v>
      </c>
      <c r="C71" s="5" t="s">
        <v>2200</v>
      </c>
      <c r="D71" s="4" t="s">
        <v>2201</v>
      </c>
      <c r="E71" s="6">
        <v>4</v>
      </c>
      <c r="F71" s="6">
        <v>215</v>
      </c>
      <c r="G71" s="3">
        <v>1639.5</v>
      </c>
      <c r="H71" s="3" t="s">
        <v>75</v>
      </c>
      <c r="I71" s="7">
        <v>45800</v>
      </c>
      <c r="J71" s="3"/>
      <c r="K71" s="3" t="s">
        <v>62</v>
      </c>
      <c r="L71" s="3"/>
      <c r="M71" s="3"/>
      <c r="N71" s="3"/>
      <c r="O71" s="3"/>
      <c r="P71" s="3"/>
      <c r="Q71" s="6" t="s">
        <v>180</v>
      </c>
      <c r="R71" s="7">
        <v>45817</v>
      </c>
      <c r="S71" s="7">
        <v>45818</v>
      </c>
      <c r="T71" s="7">
        <v>45818</v>
      </c>
      <c r="U71" s="6">
        <v>1416</v>
      </c>
      <c r="V71" s="11">
        <v>961551</v>
      </c>
      <c r="W71" s="6"/>
      <c r="X71" s="6"/>
      <c r="Y71" s="6"/>
      <c r="Z71" s="6"/>
      <c r="AA71" s="8"/>
      <c r="AB71" s="8"/>
      <c r="AC71" s="6"/>
      <c r="AD71" s="6"/>
      <c r="AE71" s="9"/>
    </row>
    <row r="72" spans="1:31" ht="16.5" x14ac:dyDescent="0.25">
      <c r="A72" s="12"/>
      <c r="B72" s="73" t="s">
        <v>2208</v>
      </c>
      <c r="C72" s="74"/>
      <c r="D72" s="74"/>
      <c r="E72" s="74"/>
      <c r="F72" s="74"/>
      <c r="G72" s="74"/>
      <c r="H72" s="75"/>
      <c r="I72" s="13"/>
      <c r="J72" s="14">
        <f>COUNTIF(J69:J71,"CQ")+COUNTIF(J71,"CN")+COUNTIF(J71,"TK")</f>
        <v>0</v>
      </c>
      <c r="K72" s="14">
        <f>COUNTIF(K69:K71,"CMĐ")</f>
        <v>1</v>
      </c>
      <c r="L72" s="14">
        <f>COUNTIF(L66:L71,"XMDT")+COUNTIF(L66:L71,"Mốc")</f>
        <v>1</v>
      </c>
      <c r="M72" s="14">
        <f>COUNTIF(M69:M71,"THÁn")</f>
        <v>0</v>
      </c>
      <c r="N72" s="14">
        <f>COUNTIF(N65:N71,"TÒA")</f>
        <v>0</v>
      </c>
      <c r="O72" s="14">
        <f>COUNTIF(O61:O71,"Cấp GCN")</f>
        <v>0</v>
      </c>
      <c r="P72" s="14">
        <f>COUNTIF(P70:P71,"SHN")</f>
        <v>0</v>
      </c>
      <c r="Q72" s="15"/>
      <c r="R72" s="13"/>
      <c r="S72" s="15"/>
      <c r="T72" s="15"/>
      <c r="U72" s="16"/>
      <c r="V72" s="11"/>
      <c r="W72" s="17"/>
      <c r="X72" s="2"/>
      <c r="AD72" s="14">
        <f>COUNTIF(AD71,"kt")</f>
        <v>0</v>
      </c>
    </row>
    <row r="73" spans="1:31" s="10" customFormat="1" ht="31.5" x14ac:dyDescent="0.25">
      <c r="A73" s="3">
        <v>62</v>
      </c>
      <c r="B73" s="3" t="s">
        <v>27</v>
      </c>
      <c r="C73" s="5" t="s">
        <v>2258</v>
      </c>
      <c r="D73" s="4" t="s">
        <v>2259</v>
      </c>
      <c r="E73" s="6">
        <v>13</v>
      </c>
      <c r="F73" s="6">
        <v>200</v>
      </c>
      <c r="G73" s="3">
        <v>116.4</v>
      </c>
      <c r="H73" s="3" t="s">
        <v>55</v>
      </c>
      <c r="I73" s="7">
        <v>45804</v>
      </c>
      <c r="J73" s="3"/>
      <c r="K73" s="3"/>
      <c r="L73" s="3"/>
      <c r="M73" s="3"/>
      <c r="N73" s="3"/>
      <c r="O73" s="3"/>
      <c r="P73" s="3" t="s">
        <v>52</v>
      </c>
      <c r="Q73" s="6" t="s">
        <v>180</v>
      </c>
      <c r="R73" s="7">
        <v>45828</v>
      </c>
      <c r="S73" s="7">
        <v>45829</v>
      </c>
      <c r="T73" s="7">
        <v>45829</v>
      </c>
      <c r="U73" s="6">
        <v>1780</v>
      </c>
      <c r="V73" s="11">
        <v>1416978</v>
      </c>
      <c r="W73" s="6"/>
      <c r="X73" s="6"/>
      <c r="Y73" s="6"/>
      <c r="Z73" s="6"/>
      <c r="AA73" s="8"/>
      <c r="AB73" s="8"/>
      <c r="AC73" s="8" t="s">
        <v>2654</v>
      </c>
      <c r="AD73" s="6"/>
      <c r="AE73" s="9"/>
    </row>
    <row r="74" spans="1:31" s="10" customFormat="1" ht="31.5" x14ac:dyDescent="0.25">
      <c r="A74" s="3">
        <v>63</v>
      </c>
      <c r="B74" s="3" t="s">
        <v>27</v>
      </c>
      <c r="C74" s="5" t="s">
        <v>2192</v>
      </c>
      <c r="D74" s="4" t="s">
        <v>2193</v>
      </c>
      <c r="E74" s="6">
        <v>8</v>
      </c>
      <c r="F74" s="6" t="s">
        <v>2307</v>
      </c>
      <c r="G74" s="6" t="s">
        <v>2308</v>
      </c>
      <c r="H74" s="3" t="s">
        <v>2309</v>
      </c>
      <c r="I74" s="7">
        <v>45807</v>
      </c>
      <c r="J74" s="3"/>
      <c r="K74" s="3"/>
      <c r="L74" s="3" t="s">
        <v>1</v>
      </c>
      <c r="M74" s="3"/>
      <c r="N74" s="3"/>
      <c r="O74" s="3"/>
      <c r="P74" s="3"/>
      <c r="Q74" s="6" t="s">
        <v>180</v>
      </c>
      <c r="R74" s="7">
        <v>45834</v>
      </c>
      <c r="S74" s="7"/>
      <c r="T74" s="7"/>
      <c r="U74" s="6"/>
      <c r="V74" s="11"/>
      <c r="W74" s="6"/>
      <c r="X74" s="6"/>
      <c r="Y74" s="6"/>
      <c r="Z74" s="6"/>
      <c r="AA74" s="8"/>
      <c r="AB74" s="8"/>
      <c r="AC74" s="6"/>
      <c r="AD74" s="6"/>
      <c r="AE74" s="9"/>
    </row>
    <row r="75" spans="1:31" ht="16.5" x14ac:dyDescent="0.25">
      <c r="A75" s="12"/>
      <c r="B75" s="73" t="s">
        <v>2324</v>
      </c>
      <c r="C75" s="74"/>
      <c r="D75" s="74"/>
      <c r="E75" s="74"/>
      <c r="F75" s="74"/>
      <c r="G75" s="74"/>
      <c r="H75" s="75"/>
      <c r="I75" s="13"/>
      <c r="J75" s="14">
        <f>COUNTIF(J72:J74,"CQ")+COUNTIF(J74,"CN")+COUNTIF(J74,"TK")</f>
        <v>0</v>
      </c>
      <c r="K75" s="14">
        <f>COUNTIF(K72:K74,"CMĐ")</f>
        <v>0</v>
      </c>
      <c r="L75" s="14">
        <f>COUNTIF(L73:L74,"XMDT")+COUNTIF(L69:L74,"Mốc")</f>
        <v>1</v>
      </c>
      <c r="M75" s="14">
        <f>COUNTIF(M72:M74,"THÁn")</f>
        <v>0</v>
      </c>
      <c r="N75" s="14">
        <f>COUNTIF(N68:N74,"TÒA")</f>
        <v>0</v>
      </c>
      <c r="O75" s="14">
        <f>COUNTIF(O64:O74,"Cấp GCN")</f>
        <v>0</v>
      </c>
      <c r="P75" s="14">
        <f>COUNTIF(P73:P74,"SHN")</f>
        <v>1</v>
      </c>
      <c r="Q75" s="15"/>
      <c r="R75" s="13"/>
      <c r="S75" s="15"/>
      <c r="T75" s="15"/>
      <c r="U75" s="16"/>
      <c r="V75" s="11"/>
      <c r="W75" s="17"/>
      <c r="X75" s="2"/>
      <c r="AD75" s="14">
        <f>COUNTIF(AD74,"kt")</f>
        <v>0</v>
      </c>
    </row>
    <row r="76" spans="1:31" s="10" customFormat="1" ht="15.75" x14ac:dyDescent="0.25">
      <c r="A76" s="3">
        <v>64</v>
      </c>
      <c r="B76" s="3" t="s">
        <v>27</v>
      </c>
      <c r="C76" s="5" t="s">
        <v>2333</v>
      </c>
      <c r="D76" s="4" t="s">
        <v>2334</v>
      </c>
      <c r="E76" s="6">
        <v>19</v>
      </c>
      <c r="F76" s="6">
        <v>126</v>
      </c>
      <c r="G76" s="3">
        <v>85.5</v>
      </c>
      <c r="H76" s="3" t="s">
        <v>55</v>
      </c>
      <c r="I76" s="7">
        <v>45810</v>
      </c>
      <c r="J76" s="3"/>
      <c r="K76" s="3"/>
      <c r="L76" s="3"/>
      <c r="M76" s="3"/>
      <c r="N76" s="3"/>
      <c r="O76" s="3"/>
      <c r="P76" s="3" t="s">
        <v>52</v>
      </c>
      <c r="Q76" s="6" t="s">
        <v>180</v>
      </c>
      <c r="R76" s="7"/>
      <c r="S76" s="7"/>
      <c r="T76" s="7"/>
      <c r="U76" s="6"/>
      <c r="V76" s="11"/>
      <c r="W76" s="6"/>
      <c r="X76" s="6"/>
      <c r="Y76" s="6"/>
      <c r="Z76" s="6"/>
      <c r="AA76" s="8"/>
      <c r="AB76" s="8"/>
      <c r="AC76" s="6"/>
      <c r="AD76" s="6"/>
      <c r="AE76" s="9"/>
    </row>
    <row r="77" spans="1:31" s="10" customFormat="1" ht="63" x14ac:dyDescent="0.25">
      <c r="A77" s="3">
        <v>65</v>
      </c>
      <c r="B77" s="3" t="s">
        <v>27</v>
      </c>
      <c r="C77" s="5" t="s">
        <v>2335</v>
      </c>
      <c r="D77" s="4" t="s">
        <v>2336</v>
      </c>
      <c r="E77" s="6"/>
      <c r="F77" s="6"/>
      <c r="G77" s="3"/>
      <c r="H77" s="3"/>
      <c r="I77" s="7">
        <v>45811</v>
      </c>
      <c r="J77" s="3"/>
      <c r="K77" s="3"/>
      <c r="L77" s="3"/>
      <c r="M77" s="3"/>
      <c r="N77" s="3"/>
      <c r="O77" s="3"/>
      <c r="P77" s="3" t="s">
        <v>52</v>
      </c>
      <c r="Q77" s="6" t="s">
        <v>180</v>
      </c>
      <c r="R77" s="7"/>
      <c r="S77" s="7"/>
      <c r="T77" s="7"/>
      <c r="U77" s="6"/>
      <c r="V77" s="11"/>
      <c r="W77" s="6"/>
      <c r="X77" s="6"/>
      <c r="Y77" s="6"/>
      <c r="Z77" s="6"/>
      <c r="AA77" s="8"/>
      <c r="AB77" s="8"/>
      <c r="AC77" s="6" t="s">
        <v>2337</v>
      </c>
      <c r="AD77" s="6"/>
      <c r="AE77" s="9"/>
    </row>
    <row r="78" spans="1:31" ht="16.5" x14ac:dyDescent="0.25">
      <c r="A78" s="12"/>
      <c r="B78" s="73" t="s">
        <v>2377</v>
      </c>
      <c r="C78" s="74"/>
      <c r="D78" s="74"/>
      <c r="E78" s="74"/>
      <c r="F78" s="74"/>
      <c r="G78" s="74"/>
      <c r="H78" s="75"/>
      <c r="I78" s="13"/>
      <c r="J78" s="14">
        <f>COUNTIF(J75:J77,"CQ")+COUNTIF(J77,"CN")+COUNTIF(J77,"TK")</f>
        <v>0</v>
      </c>
      <c r="K78" s="14">
        <f>COUNTIF(K75:K77,"CMĐ")</f>
        <v>0</v>
      </c>
      <c r="L78" s="14">
        <f>COUNTIF(L76:L77,"XMDT")+COUNTIF(L72:L77,"Mốc")</f>
        <v>0</v>
      </c>
      <c r="M78" s="14">
        <f>COUNTIF(M75:M77,"THÁn")</f>
        <v>0</v>
      </c>
      <c r="N78" s="14">
        <f>COUNTIF(N71:N77,"TÒA")</f>
        <v>0</v>
      </c>
      <c r="O78" s="14">
        <f>COUNTIF(O67:O77,"Cấp GCN")</f>
        <v>0</v>
      </c>
      <c r="P78" s="14">
        <f>COUNTIF(P76:P77,"SHN")</f>
        <v>2</v>
      </c>
      <c r="Q78" s="15"/>
      <c r="R78" s="13"/>
      <c r="S78" s="15"/>
      <c r="T78" s="15"/>
      <c r="U78" s="16"/>
      <c r="V78" s="11"/>
      <c r="W78" s="17"/>
      <c r="X78" s="2"/>
      <c r="AD78" s="14">
        <f>COUNTIF(AD77,"kt")</f>
        <v>0</v>
      </c>
    </row>
    <row r="79" spans="1:31" s="10" customFormat="1" ht="63" x14ac:dyDescent="0.25">
      <c r="A79" s="3">
        <v>66</v>
      </c>
      <c r="B79" s="3" t="s">
        <v>27</v>
      </c>
      <c r="C79" s="5" t="s">
        <v>2636</v>
      </c>
      <c r="D79" s="4" t="s">
        <v>2433</v>
      </c>
      <c r="E79" s="6">
        <v>19</v>
      </c>
      <c r="F79" s="6">
        <v>505</v>
      </c>
      <c r="G79" s="3">
        <v>60.4</v>
      </c>
      <c r="H79" s="3" t="s">
        <v>51</v>
      </c>
      <c r="I79" s="7">
        <v>45813</v>
      </c>
      <c r="J79" s="3"/>
      <c r="K79" s="3"/>
      <c r="L79" s="3" t="s">
        <v>98</v>
      </c>
      <c r="M79" s="3"/>
      <c r="N79" s="3"/>
      <c r="O79" s="3"/>
      <c r="P79" s="3"/>
      <c r="Q79" s="6" t="s">
        <v>180</v>
      </c>
      <c r="R79" s="7">
        <v>45821</v>
      </c>
      <c r="S79" s="7">
        <v>45828</v>
      </c>
      <c r="T79" s="7">
        <v>45828</v>
      </c>
      <c r="U79" s="6">
        <v>1741</v>
      </c>
      <c r="V79" s="11">
        <v>2932904</v>
      </c>
      <c r="W79" s="6"/>
      <c r="X79" s="6"/>
      <c r="Y79" s="6"/>
      <c r="Z79" s="6"/>
      <c r="AA79" s="8"/>
      <c r="AB79" s="8"/>
      <c r="AC79" s="6" t="s">
        <v>2472</v>
      </c>
      <c r="AD79" s="6"/>
      <c r="AE79" s="9"/>
    </row>
    <row r="80" spans="1:31" s="10" customFormat="1" ht="63" x14ac:dyDescent="0.25">
      <c r="A80" s="3">
        <v>67</v>
      </c>
      <c r="B80" s="3" t="s">
        <v>27</v>
      </c>
      <c r="C80" s="5" t="s">
        <v>883</v>
      </c>
      <c r="D80" s="4" t="s">
        <v>884</v>
      </c>
      <c r="E80" s="6">
        <v>16</v>
      </c>
      <c r="F80" s="6">
        <v>724</v>
      </c>
      <c r="G80" s="3">
        <v>173.9</v>
      </c>
      <c r="H80" s="3" t="s">
        <v>75</v>
      </c>
      <c r="I80" s="7">
        <v>45819</v>
      </c>
      <c r="J80" s="3"/>
      <c r="K80" s="3"/>
      <c r="L80" s="3" t="s">
        <v>98</v>
      </c>
      <c r="M80" s="3"/>
      <c r="N80" s="3"/>
      <c r="O80" s="3"/>
      <c r="P80" s="3"/>
      <c r="Q80" s="6" t="s">
        <v>180</v>
      </c>
      <c r="R80" s="7">
        <v>45821</v>
      </c>
      <c r="S80" s="7">
        <v>45828</v>
      </c>
      <c r="T80" s="7">
        <v>45828</v>
      </c>
      <c r="U80" s="6">
        <v>1740</v>
      </c>
      <c r="V80" s="11">
        <v>2235043</v>
      </c>
      <c r="W80" s="6"/>
      <c r="X80" s="6"/>
      <c r="Y80" s="6"/>
      <c r="Z80" s="6"/>
      <c r="AA80" s="8"/>
      <c r="AB80" s="8"/>
      <c r="AC80" s="6" t="s">
        <v>2473</v>
      </c>
      <c r="AD80" s="6"/>
      <c r="AE80" s="9"/>
    </row>
    <row r="81" spans="1:31" ht="16.5" x14ac:dyDescent="0.25">
      <c r="A81" s="12"/>
      <c r="B81" s="73" t="s">
        <v>2523</v>
      </c>
      <c r="C81" s="74"/>
      <c r="D81" s="74"/>
      <c r="E81" s="74"/>
      <c r="F81" s="74"/>
      <c r="G81" s="74"/>
      <c r="H81" s="75"/>
      <c r="I81" s="13"/>
      <c r="J81" s="14">
        <f>COUNTIF(J78:J80,"CQ")+COUNTIF(J80,"CN")+COUNTIF(J80,"TK")</f>
        <v>0</v>
      </c>
      <c r="K81" s="14">
        <f>COUNTIF(K78:K80,"CMĐ")</f>
        <v>0</v>
      </c>
      <c r="L81" s="14">
        <f>COUNTIF(L79:L80,"XMDT")+COUNTIF(L75:L80,"Mốc")</f>
        <v>2</v>
      </c>
      <c r="M81" s="14">
        <f>COUNTIF(M78:M80,"THÁn")</f>
        <v>0</v>
      </c>
      <c r="N81" s="14">
        <f>COUNTIF(N74:N80,"TÒA")</f>
        <v>0</v>
      </c>
      <c r="O81" s="14">
        <f>COUNTIF(O70:O80,"Cấp GCN")</f>
        <v>0</v>
      </c>
      <c r="P81" s="14">
        <f>COUNTIF(P79:P80,"SHN")</f>
        <v>0</v>
      </c>
      <c r="Q81" s="15"/>
      <c r="R81" s="13"/>
      <c r="S81" s="15"/>
      <c r="T81" s="15"/>
      <c r="U81" s="16"/>
      <c r="V81" s="11"/>
      <c r="W81" s="17"/>
      <c r="X81" s="2"/>
      <c r="AD81" s="14">
        <f>COUNTIF(AD80,"kt")</f>
        <v>0</v>
      </c>
    </row>
    <row r="82" spans="1:31" s="10" customFormat="1" ht="15.75" x14ac:dyDescent="0.25">
      <c r="A82" s="3">
        <v>68</v>
      </c>
      <c r="B82" s="3" t="s">
        <v>27</v>
      </c>
      <c r="C82" s="5" t="s">
        <v>2614</v>
      </c>
      <c r="D82" s="4" t="s">
        <v>2615</v>
      </c>
      <c r="E82" s="6">
        <v>5</v>
      </c>
      <c r="F82" s="6">
        <v>37</v>
      </c>
      <c r="G82" s="3">
        <v>292.89999999999998</v>
      </c>
      <c r="H82" s="3" t="s">
        <v>75</v>
      </c>
      <c r="I82" s="7">
        <v>45827</v>
      </c>
      <c r="J82" s="3" t="s">
        <v>76</v>
      </c>
      <c r="K82" s="3"/>
      <c r="L82" s="3"/>
      <c r="M82" s="3"/>
      <c r="N82" s="3"/>
      <c r="O82" s="3"/>
      <c r="P82" s="3"/>
      <c r="Q82" s="6" t="s">
        <v>180</v>
      </c>
      <c r="R82" s="7"/>
      <c r="S82" s="7"/>
      <c r="T82" s="7"/>
      <c r="U82" s="6"/>
      <c r="V82" s="11"/>
      <c r="W82" s="6"/>
      <c r="X82" s="6"/>
      <c r="Y82" s="6"/>
      <c r="Z82" s="6"/>
      <c r="AA82" s="8"/>
      <c r="AB82" s="8"/>
      <c r="AC82" s="6"/>
      <c r="AD82" s="6"/>
      <c r="AE82" s="9"/>
    </row>
    <row r="83" spans="1:31" s="10" customFormat="1" ht="15.75" x14ac:dyDescent="0.25">
      <c r="A83" s="3">
        <v>69</v>
      </c>
      <c r="B83" s="3" t="s">
        <v>27</v>
      </c>
      <c r="C83" s="5" t="s">
        <v>2641</v>
      </c>
      <c r="D83" s="4" t="s">
        <v>2642</v>
      </c>
      <c r="E83" s="6">
        <v>10</v>
      </c>
      <c r="F83" s="6">
        <v>385</v>
      </c>
      <c r="G83" s="3">
        <v>2227.6999999999998</v>
      </c>
      <c r="H83" s="3" t="s">
        <v>51</v>
      </c>
      <c r="I83" s="7">
        <v>45828</v>
      </c>
      <c r="J83" s="3"/>
      <c r="K83" s="3"/>
      <c r="L83" s="3" t="s">
        <v>1</v>
      </c>
      <c r="M83" s="3"/>
      <c r="N83" s="3"/>
      <c r="O83" s="3"/>
      <c r="P83" s="3"/>
      <c r="Q83" s="6" t="s">
        <v>180</v>
      </c>
      <c r="R83" s="7"/>
      <c r="S83" s="7"/>
      <c r="T83" s="7"/>
      <c r="U83" s="6"/>
      <c r="V83" s="11"/>
      <c r="W83" s="6"/>
      <c r="X83" s="6"/>
      <c r="Y83" s="6"/>
      <c r="Z83" s="6"/>
      <c r="AA83" s="8"/>
      <c r="AB83" s="8"/>
      <c r="AC83" s="6"/>
      <c r="AD83" s="6"/>
      <c r="AE83" s="9"/>
    </row>
    <row r="84" spans="1:31" ht="16.5" x14ac:dyDescent="0.25">
      <c r="A84" s="12"/>
      <c r="B84" s="73" t="s">
        <v>2655</v>
      </c>
      <c r="C84" s="74"/>
      <c r="D84" s="74"/>
      <c r="E84" s="74"/>
      <c r="F84" s="74"/>
      <c r="G84" s="74"/>
      <c r="H84" s="75"/>
      <c r="I84" s="13"/>
      <c r="J84" s="14">
        <f>COUNTIF(J82:J83,"CT")+COUNTIF(J83,"CN")+COUNTIF(J83,"TK")</f>
        <v>1</v>
      </c>
      <c r="K84" s="14">
        <f>COUNTIF(K81:K83,"CMĐ")</f>
        <v>0</v>
      </c>
      <c r="L84" s="14">
        <f>COUNTIF(L82:L83,"XMDT")+COUNTIF(L82:L83,"Mốc")</f>
        <v>1</v>
      </c>
      <c r="M84" s="14">
        <f>COUNTIF(M81:M83,"THÁn")</f>
        <v>0</v>
      </c>
      <c r="N84" s="14">
        <f>COUNTIF(N77:N83,"TÒA")</f>
        <v>0</v>
      </c>
      <c r="O84" s="14">
        <f>COUNTIF(O73:O83,"Cấp GCN")</f>
        <v>0</v>
      </c>
      <c r="P84" s="14">
        <f>COUNTIF(P82:P83,"SHN")</f>
        <v>0</v>
      </c>
      <c r="Q84" s="15"/>
      <c r="R84" s="13"/>
      <c r="S84" s="15"/>
      <c r="T84" s="15"/>
      <c r="U84" s="16"/>
      <c r="V84" s="11"/>
      <c r="W84" s="17"/>
      <c r="X84" s="2"/>
      <c r="AD84" s="14">
        <f>COUNTIF(AD83,"kt")</f>
        <v>0</v>
      </c>
    </row>
    <row r="85" spans="1:31" s="10" customFormat="1" ht="15.75" x14ac:dyDescent="0.25">
      <c r="A85" s="3">
        <v>70</v>
      </c>
      <c r="B85" s="3" t="s">
        <v>27</v>
      </c>
      <c r="C85" s="5"/>
      <c r="D85" s="4"/>
      <c r="E85" s="6"/>
      <c r="F85" s="6"/>
      <c r="G85" s="3"/>
      <c r="H85" s="3"/>
      <c r="I85" s="7"/>
      <c r="J85" s="3"/>
      <c r="K85" s="3"/>
      <c r="L85" s="3"/>
      <c r="M85" s="3"/>
      <c r="N85" s="3"/>
      <c r="O85" s="3"/>
      <c r="P85" s="3"/>
      <c r="Q85" s="6"/>
      <c r="R85" s="7"/>
      <c r="S85" s="7"/>
      <c r="T85" s="7"/>
      <c r="U85" s="6"/>
      <c r="V85" s="11"/>
      <c r="W85" s="6"/>
      <c r="X85" s="6"/>
      <c r="Y85" s="6"/>
      <c r="Z85" s="6"/>
      <c r="AA85" s="8"/>
      <c r="AB85" s="8"/>
      <c r="AC85" s="6"/>
      <c r="AD85" s="6"/>
      <c r="AE85" s="9"/>
    </row>
    <row r="86" spans="1:31" s="10" customFormat="1" ht="15.75" x14ac:dyDescent="0.25">
      <c r="A86" s="3">
        <v>71</v>
      </c>
      <c r="B86" s="3" t="s">
        <v>27</v>
      </c>
      <c r="C86" s="5"/>
      <c r="D86" s="4"/>
      <c r="E86" s="6"/>
      <c r="F86" s="6"/>
      <c r="G86" s="3"/>
      <c r="H86" s="3"/>
      <c r="I86" s="7"/>
      <c r="J86" s="3"/>
      <c r="K86" s="3"/>
      <c r="L86" s="3"/>
      <c r="M86" s="3"/>
      <c r="N86" s="3"/>
      <c r="O86" s="3"/>
      <c r="P86" s="3"/>
      <c r="Q86" s="6"/>
      <c r="R86" s="7"/>
      <c r="S86" s="7"/>
      <c r="T86" s="7"/>
      <c r="U86" s="6"/>
      <c r="V86" s="11"/>
      <c r="W86" s="6"/>
      <c r="X86" s="6"/>
      <c r="Y86" s="6"/>
      <c r="Z86" s="6"/>
      <c r="AA86" s="8"/>
      <c r="AB86" s="8"/>
      <c r="AC86" s="6"/>
      <c r="AD86" s="6"/>
      <c r="AE86" s="9"/>
    </row>
    <row r="87" spans="1:31" s="10" customFormat="1" ht="15.75" x14ac:dyDescent="0.25">
      <c r="A87" s="3">
        <v>72</v>
      </c>
      <c r="B87" s="3" t="s">
        <v>27</v>
      </c>
      <c r="C87" s="5"/>
      <c r="D87" s="4"/>
      <c r="E87" s="6"/>
      <c r="F87" s="6"/>
      <c r="G87" s="3"/>
      <c r="H87" s="3"/>
      <c r="I87" s="7"/>
      <c r="J87" s="3"/>
      <c r="K87" s="3"/>
      <c r="L87" s="3"/>
      <c r="M87" s="3"/>
      <c r="N87" s="3"/>
      <c r="O87" s="3"/>
      <c r="P87" s="3"/>
      <c r="Q87" s="6"/>
      <c r="R87" s="7"/>
      <c r="S87" s="7"/>
      <c r="T87" s="7"/>
      <c r="U87" s="6"/>
      <c r="V87" s="11"/>
      <c r="W87" s="6"/>
      <c r="X87" s="6"/>
      <c r="Y87" s="6"/>
      <c r="Z87" s="6"/>
      <c r="AA87" s="8"/>
      <c r="AB87" s="8"/>
      <c r="AC87" s="6"/>
      <c r="AD87" s="6"/>
      <c r="AE87" s="9"/>
    </row>
    <row r="88" spans="1:31" s="10" customFormat="1" ht="15.75" x14ac:dyDescent="0.25">
      <c r="A88" s="3">
        <v>73</v>
      </c>
      <c r="B88" s="3" t="s">
        <v>27</v>
      </c>
      <c r="C88" s="5"/>
      <c r="D88" s="4"/>
      <c r="E88" s="6"/>
      <c r="F88" s="6"/>
      <c r="G88" s="3"/>
      <c r="H88" s="3"/>
      <c r="I88" s="7"/>
      <c r="J88" s="3"/>
      <c r="K88" s="3"/>
      <c r="L88" s="3"/>
      <c r="M88" s="3"/>
      <c r="N88" s="3"/>
      <c r="O88" s="3"/>
      <c r="P88" s="3"/>
      <c r="Q88" s="6"/>
      <c r="R88" s="7"/>
      <c r="S88" s="7"/>
      <c r="T88" s="7"/>
      <c r="U88" s="6"/>
      <c r="V88" s="11"/>
      <c r="W88" s="6"/>
      <c r="X88" s="6"/>
      <c r="Y88" s="6"/>
      <c r="Z88" s="6"/>
      <c r="AA88" s="8"/>
      <c r="AB88" s="8"/>
      <c r="AC88" s="6"/>
      <c r="AD88" s="6"/>
      <c r="AE88" s="9"/>
    </row>
    <row r="89" spans="1:31" s="10" customFormat="1" ht="15.75" x14ac:dyDescent="0.25">
      <c r="A89" s="3">
        <v>74</v>
      </c>
      <c r="B89" s="3" t="s">
        <v>27</v>
      </c>
      <c r="C89" s="5"/>
      <c r="D89" s="4"/>
      <c r="E89" s="6"/>
      <c r="F89" s="6"/>
      <c r="G89" s="3"/>
      <c r="H89" s="3"/>
      <c r="I89" s="7"/>
      <c r="J89" s="3"/>
      <c r="K89" s="3"/>
      <c r="L89" s="3"/>
      <c r="M89" s="3"/>
      <c r="N89" s="3"/>
      <c r="O89" s="3"/>
      <c r="P89" s="3"/>
      <c r="Q89" s="6"/>
      <c r="R89" s="7"/>
      <c r="S89" s="7"/>
      <c r="T89" s="7"/>
      <c r="U89" s="6"/>
      <c r="V89" s="11"/>
      <c r="W89" s="6"/>
      <c r="X89" s="6"/>
      <c r="Y89" s="6"/>
      <c r="Z89" s="6"/>
      <c r="AA89" s="8"/>
      <c r="AB89" s="8"/>
      <c r="AC89" s="6"/>
      <c r="AD89" s="6"/>
      <c r="AE89" s="9"/>
    </row>
    <row r="90" spans="1:31" s="10" customFormat="1" ht="15.75" x14ac:dyDescent="0.25">
      <c r="A90" s="3">
        <v>75</v>
      </c>
      <c r="B90" s="3" t="s">
        <v>27</v>
      </c>
      <c r="C90" s="5"/>
      <c r="D90" s="4"/>
      <c r="E90" s="6"/>
      <c r="F90" s="6"/>
      <c r="G90" s="3"/>
      <c r="H90" s="3"/>
      <c r="I90" s="7"/>
      <c r="J90" s="3"/>
      <c r="K90" s="3"/>
      <c r="L90" s="3"/>
      <c r="M90" s="3"/>
      <c r="N90" s="3"/>
      <c r="O90" s="3"/>
      <c r="P90" s="3"/>
      <c r="Q90" s="6"/>
      <c r="R90" s="7"/>
      <c r="S90" s="7"/>
      <c r="T90" s="7"/>
      <c r="U90" s="6"/>
      <c r="V90" s="11"/>
      <c r="W90" s="6"/>
      <c r="X90" s="6"/>
      <c r="Y90" s="6"/>
      <c r="Z90" s="6"/>
      <c r="AA90" s="8"/>
      <c r="AB90" s="8"/>
      <c r="AC90" s="6"/>
      <c r="AD90" s="6"/>
      <c r="AE90" s="9"/>
    </row>
    <row r="91" spans="1:31" s="10" customFormat="1" ht="15.75" x14ac:dyDescent="0.25">
      <c r="A91" s="3">
        <v>76</v>
      </c>
      <c r="B91" s="3" t="s">
        <v>27</v>
      </c>
      <c r="C91" s="5"/>
      <c r="D91" s="4"/>
      <c r="E91" s="6"/>
      <c r="F91" s="6"/>
      <c r="G91" s="3"/>
      <c r="H91" s="3"/>
      <c r="I91" s="7"/>
      <c r="J91" s="3"/>
      <c r="K91" s="3"/>
      <c r="L91" s="3"/>
      <c r="M91" s="3"/>
      <c r="N91" s="3"/>
      <c r="O91" s="3"/>
      <c r="P91" s="3"/>
      <c r="Q91" s="6"/>
      <c r="R91" s="7"/>
      <c r="S91" s="7"/>
      <c r="T91" s="7"/>
      <c r="U91" s="6"/>
      <c r="V91" s="11"/>
      <c r="W91" s="6"/>
      <c r="X91" s="6"/>
      <c r="Y91" s="6"/>
      <c r="Z91" s="6"/>
      <c r="AA91" s="8"/>
      <c r="AB91" s="8"/>
      <c r="AC91" s="6"/>
      <c r="AD91" s="6"/>
      <c r="AE91" s="9"/>
    </row>
    <row r="92" spans="1:31" s="10" customFormat="1" ht="15.75" x14ac:dyDescent="0.25">
      <c r="A92" s="3">
        <v>77</v>
      </c>
      <c r="B92" s="3" t="s">
        <v>27</v>
      </c>
      <c r="C92" s="5"/>
      <c r="D92" s="4"/>
      <c r="E92" s="6"/>
      <c r="F92" s="6"/>
      <c r="G92" s="3"/>
      <c r="H92" s="3"/>
      <c r="I92" s="7"/>
      <c r="J92" s="3"/>
      <c r="K92" s="3"/>
      <c r="L92" s="3"/>
      <c r="M92" s="3"/>
      <c r="N92" s="3"/>
      <c r="O92" s="3"/>
      <c r="P92" s="3"/>
      <c r="Q92" s="6"/>
      <c r="R92" s="7"/>
      <c r="S92" s="7"/>
      <c r="T92" s="7"/>
      <c r="U92" s="6"/>
      <c r="V92" s="11"/>
      <c r="W92" s="6"/>
      <c r="X92" s="6"/>
      <c r="Y92" s="6"/>
      <c r="Z92" s="6"/>
      <c r="AA92" s="8"/>
      <c r="AB92" s="8"/>
      <c r="AC92" s="6"/>
      <c r="AD92" s="6"/>
      <c r="AE92" s="9"/>
    </row>
    <row r="93" spans="1:31" s="10" customFormat="1" ht="15.75" x14ac:dyDescent="0.25">
      <c r="A93" s="3">
        <v>78</v>
      </c>
      <c r="B93" s="3" t="s">
        <v>27</v>
      </c>
      <c r="C93" s="5"/>
      <c r="D93" s="4"/>
      <c r="E93" s="6"/>
      <c r="F93" s="6"/>
      <c r="G93" s="3"/>
      <c r="H93" s="3"/>
      <c r="I93" s="7"/>
      <c r="J93" s="3"/>
      <c r="K93" s="3"/>
      <c r="L93" s="3"/>
      <c r="M93" s="3"/>
      <c r="N93" s="3"/>
      <c r="O93" s="3"/>
      <c r="P93" s="3"/>
      <c r="Q93" s="6"/>
      <c r="R93" s="7"/>
      <c r="S93" s="7"/>
      <c r="T93" s="7"/>
      <c r="U93" s="6"/>
      <c r="V93" s="11"/>
      <c r="W93" s="6"/>
      <c r="X93" s="6"/>
      <c r="Y93" s="6"/>
      <c r="Z93" s="6"/>
      <c r="AA93" s="8"/>
      <c r="AB93" s="8"/>
      <c r="AC93" s="6"/>
      <c r="AD93" s="6"/>
      <c r="AE93" s="9"/>
    </row>
    <row r="94" spans="1:31" s="10" customFormat="1" ht="15.75" x14ac:dyDescent="0.25">
      <c r="A94" s="3">
        <v>79</v>
      </c>
      <c r="B94" s="3" t="s">
        <v>27</v>
      </c>
      <c r="C94" s="5"/>
      <c r="D94" s="4"/>
      <c r="E94" s="6"/>
      <c r="F94" s="6"/>
      <c r="G94" s="3"/>
      <c r="H94" s="3"/>
      <c r="I94" s="7"/>
      <c r="J94" s="3"/>
      <c r="K94" s="3"/>
      <c r="L94" s="3"/>
      <c r="M94" s="3"/>
      <c r="N94" s="3"/>
      <c r="O94" s="3"/>
      <c r="P94" s="3"/>
      <c r="Q94" s="6"/>
      <c r="R94" s="7"/>
      <c r="S94" s="7"/>
      <c r="T94" s="7"/>
      <c r="U94" s="6"/>
      <c r="V94" s="11"/>
      <c r="W94" s="6"/>
      <c r="X94" s="6"/>
      <c r="Y94" s="6"/>
      <c r="Z94" s="6"/>
      <c r="AA94" s="8"/>
      <c r="AB94" s="8"/>
      <c r="AC94" s="6"/>
      <c r="AD94" s="6"/>
      <c r="AE94" s="9"/>
    </row>
    <row r="95" spans="1:31" s="10" customFormat="1" ht="15.75" x14ac:dyDescent="0.25">
      <c r="A95" s="3">
        <v>80</v>
      </c>
      <c r="B95" s="3" t="s">
        <v>27</v>
      </c>
      <c r="C95" s="5"/>
      <c r="D95" s="4"/>
      <c r="E95" s="6"/>
      <c r="F95" s="6"/>
      <c r="G95" s="3"/>
      <c r="H95" s="3"/>
      <c r="I95" s="7"/>
      <c r="J95" s="3"/>
      <c r="K95" s="3"/>
      <c r="L95" s="3"/>
      <c r="M95" s="3"/>
      <c r="N95" s="3"/>
      <c r="O95" s="3"/>
      <c r="P95" s="3"/>
      <c r="Q95" s="6"/>
      <c r="R95" s="7"/>
      <c r="S95" s="7"/>
      <c r="T95" s="7"/>
      <c r="U95" s="6"/>
      <c r="V95" s="11"/>
      <c r="W95" s="6"/>
      <c r="X95" s="6"/>
      <c r="Y95" s="6"/>
      <c r="Z95" s="6"/>
      <c r="AA95" s="8"/>
      <c r="AB95" s="8"/>
      <c r="AC95" s="6"/>
      <c r="AD95" s="6"/>
      <c r="AE95" s="9"/>
    </row>
    <row r="96" spans="1:31" s="10" customFormat="1" ht="15.75" x14ac:dyDescent="0.25">
      <c r="A96" s="3">
        <v>81</v>
      </c>
      <c r="B96" s="3" t="s">
        <v>27</v>
      </c>
      <c r="C96" s="5"/>
      <c r="D96" s="4"/>
      <c r="E96" s="6"/>
      <c r="F96" s="6"/>
      <c r="G96" s="3"/>
      <c r="H96" s="3"/>
      <c r="I96" s="7"/>
      <c r="J96" s="3"/>
      <c r="K96" s="3"/>
      <c r="L96" s="3"/>
      <c r="M96" s="3"/>
      <c r="N96" s="3"/>
      <c r="O96" s="3"/>
      <c r="P96" s="3"/>
      <c r="Q96" s="6"/>
      <c r="R96" s="7"/>
      <c r="S96" s="7"/>
      <c r="T96" s="7"/>
      <c r="U96" s="6"/>
      <c r="V96" s="11"/>
      <c r="W96" s="6"/>
      <c r="X96" s="6"/>
      <c r="Y96" s="6"/>
      <c r="Z96" s="6"/>
      <c r="AA96" s="8"/>
      <c r="AB96" s="8"/>
      <c r="AC96" s="6"/>
      <c r="AD96" s="6"/>
      <c r="AE96" s="9"/>
    </row>
    <row r="97" spans="1:31" s="10" customFormat="1" ht="15.75" x14ac:dyDescent="0.25">
      <c r="A97" s="3">
        <v>82</v>
      </c>
      <c r="B97" s="3" t="s">
        <v>27</v>
      </c>
      <c r="C97" s="5"/>
      <c r="D97" s="4"/>
      <c r="E97" s="6"/>
      <c r="F97" s="6"/>
      <c r="G97" s="3"/>
      <c r="H97" s="3"/>
      <c r="I97" s="7"/>
      <c r="J97" s="3"/>
      <c r="K97" s="3"/>
      <c r="L97" s="3"/>
      <c r="M97" s="3"/>
      <c r="N97" s="3"/>
      <c r="O97" s="3"/>
      <c r="P97" s="3"/>
      <c r="Q97" s="6"/>
      <c r="R97" s="7"/>
      <c r="S97" s="7"/>
      <c r="T97" s="7"/>
      <c r="U97" s="6"/>
      <c r="V97" s="11"/>
      <c r="W97" s="6"/>
      <c r="X97" s="6"/>
      <c r="Y97" s="6"/>
      <c r="Z97" s="6"/>
      <c r="AA97" s="8"/>
      <c r="AB97" s="8"/>
      <c r="AC97" s="6"/>
      <c r="AD97" s="6"/>
      <c r="AE97" s="9"/>
    </row>
    <row r="98" spans="1:31" s="10" customFormat="1" ht="15.75" x14ac:dyDescent="0.25">
      <c r="A98" s="3">
        <v>83</v>
      </c>
      <c r="B98" s="3" t="s">
        <v>27</v>
      </c>
      <c r="C98" s="5"/>
      <c r="D98" s="4"/>
      <c r="E98" s="6"/>
      <c r="F98" s="6"/>
      <c r="G98" s="3"/>
      <c r="H98" s="3"/>
      <c r="I98" s="7"/>
      <c r="J98" s="3"/>
      <c r="K98" s="3"/>
      <c r="L98" s="3"/>
      <c r="M98" s="3"/>
      <c r="N98" s="3"/>
      <c r="O98" s="3"/>
      <c r="P98" s="3"/>
      <c r="Q98" s="6"/>
      <c r="R98" s="7"/>
      <c r="S98" s="7"/>
      <c r="T98" s="7"/>
      <c r="U98" s="6"/>
      <c r="V98" s="11"/>
      <c r="W98" s="6"/>
      <c r="X98" s="6"/>
      <c r="Y98" s="6"/>
      <c r="Z98" s="6"/>
      <c r="AA98" s="8"/>
      <c r="AB98" s="8"/>
      <c r="AC98" s="6"/>
      <c r="AD98" s="6"/>
      <c r="AE98" s="9"/>
    </row>
    <row r="99" spans="1:31" s="10" customFormat="1" ht="15.75" x14ac:dyDescent="0.25">
      <c r="A99" s="3">
        <v>84</v>
      </c>
      <c r="B99" s="3" t="s">
        <v>27</v>
      </c>
      <c r="C99" s="5"/>
      <c r="D99" s="4"/>
      <c r="E99" s="6"/>
      <c r="F99" s="6"/>
      <c r="G99" s="3"/>
      <c r="H99" s="3"/>
      <c r="I99" s="7"/>
      <c r="J99" s="3"/>
      <c r="K99" s="3"/>
      <c r="L99" s="3"/>
      <c r="M99" s="3"/>
      <c r="N99" s="3"/>
      <c r="O99" s="3"/>
      <c r="P99" s="3"/>
      <c r="Q99" s="6"/>
      <c r="R99" s="7"/>
      <c r="S99" s="7"/>
      <c r="T99" s="7"/>
      <c r="U99" s="6"/>
      <c r="V99" s="11"/>
      <c r="W99" s="6"/>
      <c r="X99" s="6"/>
      <c r="Y99" s="6"/>
      <c r="Z99" s="6"/>
      <c r="AA99" s="8"/>
      <c r="AB99" s="8"/>
      <c r="AC99" s="6"/>
      <c r="AD99" s="6"/>
      <c r="AE99" s="9"/>
    </row>
    <row r="100" spans="1:31" s="10" customFormat="1" ht="15.75" x14ac:dyDescent="0.25">
      <c r="A100" s="3">
        <v>85</v>
      </c>
      <c r="B100" s="3" t="s">
        <v>27</v>
      </c>
      <c r="C100" s="5"/>
      <c r="D100" s="4"/>
      <c r="E100" s="6"/>
      <c r="F100" s="6"/>
      <c r="G100" s="3"/>
      <c r="H100" s="3"/>
      <c r="I100" s="7"/>
      <c r="J100" s="3"/>
      <c r="K100" s="3"/>
      <c r="L100" s="3"/>
      <c r="M100" s="3"/>
      <c r="N100" s="3"/>
      <c r="O100" s="3"/>
      <c r="P100" s="3"/>
      <c r="Q100" s="6"/>
      <c r="R100" s="7"/>
      <c r="S100" s="7"/>
      <c r="T100" s="7"/>
      <c r="U100" s="6"/>
      <c r="V100" s="11"/>
      <c r="W100" s="6"/>
      <c r="X100" s="6"/>
      <c r="Y100" s="6"/>
      <c r="Z100" s="6"/>
      <c r="AA100" s="8"/>
      <c r="AB100" s="8"/>
      <c r="AC100" s="6"/>
      <c r="AD100" s="6"/>
      <c r="AE100" s="9"/>
    </row>
    <row r="101" spans="1:31" s="10" customFormat="1" ht="15.75" x14ac:dyDescent="0.25">
      <c r="A101" s="3">
        <v>86</v>
      </c>
      <c r="B101" s="3" t="s">
        <v>27</v>
      </c>
      <c r="C101" s="5"/>
      <c r="D101" s="4"/>
      <c r="E101" s="6"/>
      <c r="F101" s="6"/>
      <c r="G101" s="3"/>
      <c r="H101" s="3"/>
      <c r="I101" s="7"/>
      <c r="J101" s="3"/>
      <c r="K101" s="3"/>
      <c r="L101" s="3"/>
      <c r="M101" s="3"/>
      <c r="N101" s="3"/>
      <c r="O101" s="3"/>
      <c r="P101" s="3"/>
      <c r="Q101" s="6"/>
      <c r="R101" s="7"/>
      <c r="S101" s="7"/>
      <c r="T101" s="7"/>
      <c r="U101" s="6"/>
      <c r="V101" s="11"/>
      <c r="W101" s="6"/>
      <c r="X101" s="6"/>
      <c r="Y101" s="6"/>
      <c r="Z101" s="6"/>
      <c r="AA101" s="8"/>
      <c r="AB101" s="8"/>
      <c r="AC101" s="6"/>
      <c r="AD101" s="6"/>
      <c r="AE101" s="9"/>
    </row>
    <row r="102" spans="1:31" s="10" customFormat="1" ht="15.75" x14ac:dyDescent="0.25">
      <c r="A102" s="3">
        <v>87</v>
      </c>
      <c r="B102" s="3" t="s">
        <v>27</v>
      </c>
      <c r="C102" s="5"/>
      <c r="D102" s="4"/>
      <c r="E102" s="6"/>
      <c r="F102" s="6"/>
      <c r="G102" s="3"/>
      <c r="H102" s="3"/>
      <c r="I102" s="7"/>
      <c r="J102" s="3"/>
      <c r="K102" s="3"/>
      <c r="L102" s="3"/>
      <c r="M102" s="3"/>
      <c r="N102" s="3"/>
      <c r="O102" s="3"/>
      <c r="P102" s="3"/>
      <c r="Q102" s="6"/>
      <c r="R102" s="7"/>
      <c r="S102" s="7"/>
      <c r="T102" s="7"/>
      <c r="U102" s="6"/>
      <c r="V102" s="11"/>
      <c r="W102" s="6"/>
      <c r="X102" s="6"/>
      <c r="Y102" s="6"/>
      <c r="Z102" s="6"/>
      <c r="AA102" s="8"/>
      <c r="AB102" s="8"/>
      <c r="AC102" s="6"/>
      <c r="AD102" s="6"/>
      <c r="AE102" s="9"/>
    </row>
    <row r="103" spans="1:31" s="10" customFormat="1" ht="15.75" x14ac:dyDescent="0.25">
      <c r="A103" s="3">
        <v>88</v>
      </c>
      <c r="B103" s="3" t="s">
        <v>27</v>
      </c>
      <c r="C103" s="5"/>
      <c r="D103" s="4"/>
      <c r="E103" s="6"/>
      <c r="F103" s="6"/>
      <c r="G103" s="3"/>
      <c r="H103" s="3"/>
      <c r="I103" s="7"/>
      <c r="J103" s="3"/>
      <c r="K103" s="3"/>
      <c r="L103" s="3"/>
      <c r="M103" s="3"/>
      <c r="N103" s="3"/>
      <c r="O103" s="3"/>
      <c r="P103" s="3"/>
      <c r="Q103" s="6"/>
      <c r="R103" s="7"/>
      <c r="S103" s="7"/>
      <c r="T103" s="7"/>
      <c r="U103" s="6"/>
      <c r="V103" s="11"/>
      <c r="W103" s="6"/>
      <c r="X103" s="6"/>
      <c r="Y103" s="6"/>
      <c r="Z103" s="6"/>
      <c r="AA103" s="8"/>
      <c r="AB103" s="8"/>
      <c r="AC103" s="6"/>
      <c r="AD103" s="6"/>
      <c r="AE103" s="9"/>
    </row>
    <row r="104" spans="1:31" ht="16.5" x14ac:dyDescent="0.25">
      <c r="A104" s="12"/>
      <c r="B104" s="73" t="s">
        <v>37</v>
      </c>
      <c r="C104" s="74"/>
      <c r="D104" s="74"/>
      <c r="E104" s="74"/>
      <c r="F104" s="74"/>
      <c r="G104" s="74"/>
      <c r="H104" s="75"/>
      <c r="I104" s="13"/>
      <c r="J104" s="14">
        <f>COUNTIF(J3:J103,"CQ")+COUNTIF(J103,"CN")+COUNTIF(J103,"TK")</f>
        <v>2</v>
      </c>
      <c r="K104" s="14">
        <f ca="1">COUNTIF(K3:K103,"CMĐ")</f>
        <v>0</v>
      </c>
      <c r="L104" s="14">
        <f>COUNTIF(L103,"XMDT")+COUNTIF(L103,"Mốc")</f>
        <v>0</v>
      </c>
      <c r="M104" s="14">
        <f>COUNTIF(M103,"THÁn")</f>
        <v>0</v>
      </c>
      <c r="N104" s="14">
        <f>COUNTIF(N103,"TÒA")</f>
        <v>0</v>
      </c>
      <c r="O104" s="14">
        <f>COUNTIF(O3:O103,"Cấp GCN")</f>
        <v>1</v>
      </c>
      <c r="P104" s="14">
        <f>COUNTIF(P3:P103,"SHN")</f>
        <v>18</v>
      </c>
      <c r="Q104" s="15"/>
      <c r="R104" s="13"/>
      <c r="S104" s="15"/>
      <c r="T104" s="15"/>
      <c r="U104" s="16"/>
      <c r="V104" s="11"/>
      <c r="W104" s="17"/>
      <c r="X104" s="2"/>
      <c r="AD104" s="14">
        <f>COUNTIF(AD103,"kt")</f>
        <v>0</v>
      </c>
    </row>
  </sheetData>
  <mergeCells count="16">
    <mergeCell ref="A1:AC1"/>
    <mergeCell ref="B104:H104"/>
    <mergeCell ref="B8:H8"/>
    <mergeCell ref="B20:H20"/>
    <mergeCell ref="B35:H35"/>
    <mergeCell ref="B43:H43"/>
    <mergeCell ref="B47:H47"/>
    <mergeCell ref="B51:H51"/>
    <mergeCell ref="B58:H58"/>
    <mergeCell ref="B61:H61"/>
    <mergeCell ref="B68:H68"/>
    <mergeCell ref="B72:H72"/>
    <mergeCell ref="B75:H75"/>
    <mergeCell ref="B78:H78"/>
    <mergeCell ref="B81:H81"/>
    <mergeCell ref="B84:H84"/>
  </mergeCells>
  <phoneticPr fontId="4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142"/>
  <sheetViews>
    <sheetView zoomScale="85" zoomScaleNormal="85" workbookViewId="0">
      <pane ySplit="2" topLeftCell="A74" activePane="bottomLeft" state="frozen"/>
      <selection pane="bottomLeft" activeCell="C78" sqref="C78:I78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9" width="12" customWidth="1"/>
    <col min="10" max="10" width="8.42578125" customWidth="1"/>
    <col min="11" max="11" width="7.28515625" customWidth="1"/>
    <col min="12" max="12" width="8.28515625" customWidth="1"/>
    <col min="13" max="13" width="7.5703125" customWidth="1"/>
    <col min="14" max="14" width="5.5703125" customWidth="1"/>
    <col min="15" max="15" width="10.7109375" customWidth="1"/>
    <col min="16" max="16" width="9.42578125" customWidth="1"/>
    <col min="17" max="17" width="14.5703125" customWidth="1"/>
    <col min="18" max="20" width="12.140625" customWidth="1"/>
    <col min="21" max="21" width="10.7109375" customWidth="1"/>
    <col min="22" max="22" width="13.28515625" customWidth="1"/>
    <col min="23" max="24" width="9" customWidth="1"/>
    <col min="25" max="25" width="10.28515625" customWidth="1"/>
    <col min="26" max="26" width="15.140625" customWidth="1"/>
    <col min="27" max="27" width="16.85546875" customWidth="1"/>
    <col min="28" max="28" width="20.7109375" customWidth="1"/>
    <col min="29" max="30" width="18.5703125" customWidth="1"/>
    <col min="31" max="31" width="13.140625" style="2" customWidth="1"/>
  </cols>
  <sheetData>
    <row r="1" spans="1:31" ht="25.5" customHeight="1" x14ac:dyDescent="0.35">
      <c r="A1" s="76" t="s">
        <v>42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2"/>
    </row>
    <row r="2" spans="1:31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4</v>
      </c>
      <c r="K2" s="1" t="s">
        <v>3</v>
      </c>
      <c r="L2" s="1" t="s">
        <v>1</v>
      </c>
      <c r="M2" s="1" t="s">
        <v>19</v>
      </c>
      <c r="N2" s="1" t="s">
        <v>11</v>
      </c>
      <c r="O2" s="1" t="s">
        <v>12</v>
      </c>
      <c r="P2" s="1" t="s">
        <v>52</v>
      </c>
      <c r="Q2" s="1" t="s">
        <v>2</v>
      </c>
      <c r="R2" s="1" t="s">
        <v>20</v>
      </c>
      <c r="S2" s="1" t="s">
        <v>29</v>
      </c>
      <c r="T2" s="1" t="s">
        <v>30</v>
      </c>
      <c r="U2" s="1" t="s">
        <v>31</v>
      </c>
      <c r="V2" s="1" t="s">
        <v>22</v>
      </c>
      <c r="W2" s="1" t="s">
        <v>21</v>
      </c>
      <c r="X2" s="1" t="s">
        <v>23</v>
      </c>
      <c r="Y2" s="1" t="s">
        <v>24</v>
      </c>
      <c r="Z2" s="1" t="s">
        <v>14</v>
      </c>
      <c r="AA2" s="1" t="s">
        <v>13</v>
      </c>
      <c r="AB2" s="1" t="s">
        <v>18</v>
      </c>
      <c r="AC2" s="1" t="s">
        <v>8</v>
      </c>
      <c r="AD2" s="1" t="s">
        <v>35</v>
      </c>
    </row>
    <row r="3" spans="1:31" s="10" customFormat="1" ht="31.5" x14ac:dyDescent="0.25">
      <c r="A3" s="3">
        <v>1</v>
      </c>
      <c r="B3" s="3" t="s">
        <v>26</v>
      </c>
      <c r="C3" s="5" t="s">
        <v>144</v>
      </c>
      <c r="D3" s="4" t="s">
        <v>145</v>
      </c>
      <c r="E3" s="6">
        <v>41</v>
      </c>
      <c r="F3" s="6">
        <v>1061</v>
      </c>
      <c r="G3" s="3">
        <v>153.69999999999999</v>
      </c>
      <c r="H3" s="3" t="s">
        <v>51</v>
      </c>
      <c r="I3" s="7" t="s">
        <v>94</v>
      </c>
      <c r="J3" s="3"/>
      <c r="K3" s="3" t="s">
        <v>62</v>
      </c>
      <c r="L3" s="3"/>
      <c r="M3" s="3"/>
      <c r="N3" s="3"/>
      <c r="O3" s="3"/>
      <c r="P3" s="3"/>
      <c r="Q3" s="6" t="s">
        <v>133</v>
      </c>
      <c r="R3" s="7">
        <v>45702</v>
      </c>
      <c r="S3" s="7">
        <v>45705</v>
      </c>
      <c r="T3" s="7">
        <v>45705</v>
      </c>
      <c r="U3" s="8">
        <v>814</v>
      </c>
      <c r="V3" s="11">
        <v>809727</v>
      </c>
      <c r="W3" s="6"/>
      <c r="X3" s="6"/>
      <c r="Y3" s="8"/>
      <c r="Z3" s="8"/>
      <c r="AA3" s="6" t="s">
        <v>1199</v>
      </c>
      <c r="AB3" s="8" t="s">
        <v>1200</v>
      </c>
      <c r="AC3" s="8"/>
      <c r="AD3" s="6"/>
      <c r="AE3" s="9"/>
    </row>
    <row r="4" spans="1:31" s="10" customFormat="1" ht="47.25" x14ac:dyDescent="0.25">
      <c r="A4" s="3">
        <v>2</v>
      </c>
      <c r="B4" s="3" t="s">
        <v>26</v>
      </c>
      <c r="C4" s="5" t="s">
        <v>146</v>
      </c>
      <c r="D4" s="4" t="s">
        <v>147</v>
      </c>
      <c r="E4" s="6">
        <v>31</v>
      </c>
      <c r="F4" s="6">
        <v>937</v>
      </c>
      <c r="G4" s="3">
        <v>172.6</v>
      </c>
      <c r="H4" s="3" t="s">
        <v>75</v>
      </c>
      <c r="I4" s="7" t="s">
        <v>94</v>
      </c>
      <c r="J4" s="3"/>
      <c r="K4" s="3"/>
      <c r="L4" s="3"/>
      <c r="M4" s="3"/>
      <c r="N4" s="3"/>
      <c r="O4" s="3"/>
      <c r="P4" s="3" t="s">
        <v>52</v>
      </c>
      <c r="Q4" s="6" t="s">
        <v>133</v>
      </c>
      <c r="R4" s="7"/>
      <c r="S4" s="7"/>
      <c r="T4" s="7"/>
      <c r="U4" s="6"/>
      <c r="V4" s="11"/>
      <c r="W4" s="6"/>
      <c r="X4" s="6"/>
      <c r="Y4" s="6"/>
      <c r="Z4" s="6"/>
      <c r="AA4" s="8"/>
      <c r="AB4" s="8"/>
      <c r="AC4" s="6"/>
      <c r="AD4" s="6" t="s">
        <v>295</v>
      </c>
      <c r="AE4" s="9"/>
    </row>
    <row r="5" spans="1:31" s="10" customFormat="1" ht="31.5" x14ac:dyDescent="0.25">
      <c r="A5" s="3">
        <v>3</v>
      </c>
      <c r="B5" s="3" t="s">
        <v>26</v>
      </c>
      <c r="C5" s="5" t="s">
        <v>148</v>
      </c>
      <c r="D5" s="4" t="s">
        <v>149</v>
      </c>
      <c r="E5" s="6">
        <v>34</v>
      </c>
      <c r="F5" s="6">
        <v>884</v>
      </c>
      <c r="G5" s="3">
        <v>303.89999999999998</v>
      </c>
      <c r="H5" s="3" t="s">
        <v>51</v>
      </c>
      <c r="I5" s="7" t="s">
        <v>94</v>
      </c>
      <c r="J5" s="3"/>
      <c r="K5" s="3" t="s">
        <v>62</v>
      </c>
      <c r="L5" s="3"/>
      <c r="M5" s="3"/>
      <c r="N5" s="3"/>
      <c r="O5" s="3"/>
      <c r="P5" s="3"/>
      <c r="Q5" s="6" t="s">
        <v>133</v>
      </c>
      <c r="R5" s="7"/>
      <c r="S5" s="6"/>
      <c r="T5" s="6"/>
      <c r="U5" s="6"/>
      <c r="V5" s="11"/>
      <c r="W5" s="6"/>
      <c r="X5" s="6"/>
      <c r="Y5" s="6"/>
      <c r="Z5" s="6"/>
      <c r="AA5" s="8"/>
      <c r="AB5" s="8"/>
      <c r="AC5" s="6"/>
      <c r="AD5" s="6"/>
      <c r="AE5" s="9"/>
    </row>
    <row r="6" spans="1:31" s="10" customFormat="1" ht="31.5" x14ac:dyDescent="0.25">
      <c r="A6" s="3">
        <v>4</v>
      </c>
      <c r="B6" s="3" t="s">
        <v>26</v>
      </c>
      <c r="C6" s="5" t="s">
        <v>150</v>
      </c>
      <c r="D6" s="4" t="s">
        <v>151</v>
      </c>
      <c r="E6" s="6">
        <v>11</v>
      </c>
      <c r="F6" s="6">
        <v>137</v>
      </c>
      <c r="G6" s="3">
        <v>185.3</v>
      </c>
      <c r="H6" s="3" t="s">
        <v>75</v>
      </c>
      <c r="I6" s="7" t="s">
        <v>129</v>
      </c>
      <c r="J6" s="3"/>
      <c r="K6" s="3"/>
      <c r="L6" s="3" t="s">
        <v>1</v>
      </c>
      <c r="M6" s="3"/>
      <c r="N6" s="3"/>
      <c r="O6" s="3"/>
      <c r="P6" s="3"/>
      <c r="Q6" s="6" t="s">
        <v>133</v>
      </c>
      <c r="R6" s="7"/>
      <c r="S6" s="7"/>
      <c r="T6" s="7"/>
      <c r="U6" s="6"/>
      <c r="V6" s="11"/>
      <c r="W6" s="6"/>
      <c r="X6" s="6"/>
      <c r="Y6" s="6"/>
      <c r="Z6" s="6"/>
      <c r="AA6" s="8"/>
      <c r="AB6" s="8" t="s">
        <v>770</v>
      </c>
      <c r="AC6" s="6"/>
      <c r="AD6" s="6"/>
      <c r="AE6" s="9"/>
    </row>
    <row r="7" spans="1:31" s="10" customFormat="1" ht="63" x14ac:dyDescent="0.25">
      <c r="A7" s="3">
        <v>5</v>
      </c>
      <c r="B7" s="3" t="s">
        <v>26</v>
      </c>
      <c r="C7" s="5" t="s">
        <v>152</v>
      </c>
      <c r="D7" s="4"/>
      <c r="E7" s="6">
        <v>31</v>
      </c>
      <c r="F7" s="6">
        <v>941</v>
      </c>
      <c r="G7" s="3">
        <v>123.5</v>
      </c>
      <c r="H7" s="3" t="s">
        <v>55</v>
      </c>
      <c r="I7" s="7" t="s">
        <v>523</v>
      </c>
      <c r="J7" s="3" t="s">
        <v>153</v>
      </c>
      <c r="K7" s="3"/>
      <c r="L7" s="3"/>
      <c r="M7" s="3"/>
      <c r="N7" s="3"/>
      <c r="O7" s="3"/>
      <c r="P7" s="3"/>
      <c r="Q7" s="6" t="s">
        <v>133</v>
      </c>
      <c r="R7" s="7">
        <v>45721</v>
      </c>
      <c r="S7" s="7">
        <v>45722</v>
      </c>
      <c r="T7" s="7">
        <v>45722</v>
      </c>
      <c r="U7" s="6" t="s">
        <v>976</v>
      </c>
      <c r="V7" s="11">
        <v>1771278</v>
      </c>
      <c r="W7" s="6"/>
      <c r="X7" s="6"/>
      <c r="Y7" s="6"/>
      <c r="Z7" s="6" t="s">
        <v>1232</v>
      </c>
      <c r="AA7" s="8" t="s">
        <v>1233</v>
      </c>
      <c r="AB7" s="8"/>
      <c r="AC7" s="6"/>
      <c r="AD7" s="6"/>
      <c r="AE7" s="9"/>
    </row>
    <row r="8" spans="1:31" s="10" customFormat="1" ht="47.25" x14ac:dyDescent="0.25">
      <c r="A8" s="3">
        <v>6</v>
      </c>
      <c r="B8" s="3" t="s">
        <v>26</v>
      </c>
      <c r="C8" s="5" t="s">
        <v>204</v>
      </c>
      <c r="D8" s="4" t="s">
        <v>205</v>
      </c>
      <c r="E8" s="6">
        <v>10</v>
      </c>
      <c r="F8" s="6">
        <v>600</v>
      </c>
      <c r="G8" s="3">
        <v>81.2</v>
      </c>
      <c r="H8" s="3" t="s">
        <v>55</v>
      </c>
      <c r="I8" s="7">
        <v>45664</v>
      </c>
      <c r="J8" s="3"/>
      <c r="K8" s="3"/>
      <c r="L8" s="3" t="s">
        <v>1</v>
      </c>
      <c r="M8" s="3"/>
      <c r="N8" s="3"/>
      <c r="O8" s="3"/>
      <c r="P8" s="3"/>
      <c r="Q8" s="6" t="s">
        <v>133</v>
      </c>
      <c r="R8" s="7"/>
      <c r="S8" s="7"/>
      <c r="T8" s="7"/>
      <c r="U8" s="6"/>
      <c r="V8" s="11"/>
      <c r="W8" s="6"/>
      <c r="X8" s="6"/>
      <c r="Y8" s="6"/>
      <c r="Z8" s="6"/>
      <c r="AA8" s="8"/>
      <c r="AB8" s="8"/>
      <c r="AC8" s="6" t="s">
        <v>452</v>
      </c>
      <c r="AD8" s="6" t="s">
        <v>453</v>
      </c>
      <c r="AE8" s="9"/>
    </row>
    <row r="9" spans="1:31" s="10" customFormat="1" ht="31.5" x14ac:dyDescent="0.25">
      <c r="A9" s="3">
        <v>7</v>
      </c>
      <c r="B9" s="3" t="s">
        <v>26</v>
      </c>
      <c r="C9" s="5" t="s">
        <v>208</v>
      </c>
      <c r="D9" s="4" t="s">
        <v>209</v>
      </c>
      <c r="E9" s="6">
        <v>11</v>
      </c>
      <c r="F9" s="6">
        <v>278</v>
      </c>
      <c r="G9" s="3">
        <v>1930.8</v>
      </c>
      <c r="H9" s="3" t="s">
        <v>75</v>
      </c>
      <c r="I9" s="7">
        <v>45664</v>
      </c>
      <c r="J9" s="3"/>
      <c r="K9" s="3"/>
      <c r="L9" s="3"/>
      <c r="M9" s="3"/>
      <c r="N9" s="3"/>
      <c r="O9" s="3"/>
      <c r="P9" s="3" t="s">
        <v>52</v>
      </c>
      <c r="Q9" s="6" t="s">
        <v>133</v>
      </c>
      <c r="R9" s="7"/>
      <c r="S9" s="7"/>
      <c r="T9" s="7"/>
      <c r="U9" s="6"/>
      <c r="V9" s="11"/>
      <c r="W9" s="6"/>
      <c r="X9" s="6"/>
      <c r="Y9" s="6"/>
      <c r="Z9" s="6"/>
      <c r="AA9" s="8"/>
      <c r="AB9" s="8"/>
      <c r="AC9" s="6" t="s">
        <v>239</v>
      </c>
      <c r="AD9" s="6"/>
      <c r="AE9" s="9" t="s">
        <v>210</v>
      </c>
    </row>
    <row r="10" spans="1:31" s="10" customFormat="1" ht="31.5" customHeight="1" x14ac:dyDescent="0.25">
      <c r="A10" s="3">
        <v>8</v>
      </c>
      <c r="B10" s="3" t="s">
        <v>26</v>
      </c>
      <c r="C10" s="5" t="s">
        <v>230</v>
      </c>
      <c r="D10" s="4" t="s">
        <v>231</v>
      </c>
      <c r="E10" s="6">
        <v>11</v>
      </c>
      <c r="F10" s="6">
        <v>257</v>
      </c>
      <c r="G10" s="3">
        <v>54.4</v>
      </c>
      <c r="H10" s="3" t="s">
        <v>55</v>
      </c>
      <c r="I10" s="7">
        <v>45665</v>
      </c>
      <c r="J10" s="3"/>
      <c r="K10" s="3"/>
      <c r="L10" s="3" t="s">
        <v>98</v>
      </c>
      <c r="M10" s="3"/>
      <c r="N10" s="3"/>
      <c r="O10" s="3"/>
      <c r="P10" s="3"/>
      <c r="Q10" s="6" t="s">
        <v>133</v>
      </c>
      <c r="R10" s="7">
        <v>45714</v>
      </c>
      <c r="S10" s="7">
        <v>45714</v>
      </c>
      <c r="T10" s="7">
        <v>45714</v>
      </c>
      <c r="U10" s="6">
        <v>1110</v>
      </c>
      <c r="V10" s="11">
        <v>2583973</v>
      </c>
      <c r="W10" s="6"/>
      <c r="X10" s="6"/>
      <c r="Y10" s="6"/>
      <c r="Z10" s="6"/>
      <c r="AA10" s="8"/>
      <c r="AB10" s="8"/>
      <c r="AC10" s="6" t="s">
        <v>484</v>
      </c>
      <c r="AD10" s="6"/>
      <c r="AE10" s="9"/>
    </row>
    <row r="11" spans="1:31" s="10" customFormat="1" ht="47.25" x14ac:dyDescent="0.25">
      <c r="A11" s="3">
        <v>9</v>
      </c>
      <c r="B11" s="3" t="s">
        <v>26</v>
      </c>
      <c r="C11" s="5" t="s">
        <v>255</v>
      </c>
      <c r="D11" s="4" t="s">
        <v>256</v>
      </c>
      <c r="E11" s="6">
        <v>27</v>
      </c>
      <c r="F11" s="6">
        <v>604</v>
      </c>
      <c r="G11" s="6">
        <v>69.8</v>
      </c>
      <c r="H11" s="3" t="s">
        <v>75</v>
      </c>
      <c r="I11" s="7">
        <v>45670</v>
      </c>
      <c r="J11" s="3"/>
      <c r="K11" s="3"/>
      <c r="L11" s="3"/>
      <c r="M11" s="3"/>
      <c r="N11" s="3"/>
      <c r="O11" s="3"/>
      <c r="P11" s="3" t="s">
        <v>52</v>
      </c>
      <c r="Q11" s="6" t="s">
        <v>133</v>
      </c>
      <c r="R11" s="7">
        <v>45820</v>
      </c>
      <c r="S11" s="7"/>
      <c r="T11" s="7"/>
      <c r="U11" s="6"/>
      <c r="V11" s="11"/>
      <c r="W11" s="6"/>
      <c r="X11" s="6"/>
      <c r="Y11" s="6"/>
      <c r="Z11" s="6"/>
      <c r="AA11" s="8"/>
      <c r="AB11" s="8" t="s">
        <v>2509</v>
      </c>
      <c r="AC11" s="6" t="s">
        <v>382</v>
      </c>
      <c r="AD11" s="6" t="s">
        <v>383</v>
      </c>
      <c r="AE11" s="9"/>
    </row>
    <row r="12" spans="1:31" s="10" customFormat="1" ht="15.75" x14ac:dyDescent="0.25">
      <c r="A12" s="3">
        <v>10</v>
      </c>
      <c r="B12" s="3" t="s">
        <v>26</v>
      </c>
      <c r="C12" s="5" t="s">
        <v>258</v>
      </c>
      <c r="D12" s="4"/>
      <c r="E12" s="6">
        <v>37</v>
      </c>
      <c r="F12" s="6">
        <v>194</v>
      </c>
      <c r="G12" s="3">
        <v>230.3</v>
      </c>
      <c r="H12" s="3" t="s">
        <v>75</v>
      </c>
      <c r="I12" s="7">
        <v>45670</v>
      </c>
      <c r="J12" s="3"/>
      <c r="K12" s="3" t="s">
        <v>62</v>
      </c>
      <c r="L12" s="3"/>
      <c r="M12" s="3"/>
      <c r="N12" s="3"/>
      <c r="O12" s="3"/>
      <c r="P12" s="3"/>
      <c r="Q12" s="6" t="s">
        <v>133</v>
      </c>
      <c r="R12" s="7">
        <v>45755</v>
      </c>
      <c r="S12" s="7">
        <v>45756</v>
      </c>
      <c r="T12" s="7">
        <v>45756</v>
      </c>
      <c r="U12" s="6">
        <v>2085</v>
      </c>
      <c r="V12" s="11">
        <v>809727</v>
      </c>
      <c r="W12" s="6"/>
      <c r="X12" s="6"/>
      <c r="Y12" s="6"/>
      <c r="Z12" s="6"/>
      <c r="AA12" s="8"/>
      <c r="AB12" s="8"/>
      <c r="AC12" s="6"/>
      <c r="AD12" s="6"/>
      <c r="AE12" s="9" t="s">
        <v>261</v>
      </c>
    </row>
    <row r="13" spans="1:31" s="10" customFormat="1" ht="31.5" x14ac:dyDescent="0.25">
      <c r="A13" s="3">
        <v>11</v>
      </c>
      <c r="B13" s="3" t="s">
        <v>26</v>
      </c>
      <c r="C13" s="5" t="s">
        <v>291</v>
      </c>
      <c r="D13" s="4" t="s">
        <v>292</v>
      </c>
      <c r="E13" s="6">
        <v>33</v>
      </c>
      <c r="F13" s="6">
        <v>585</v>
      </c>
      <c r="G13" s="3">
        <v>339.3</v>
      </c>
      <c r="H13" s="3" t="s">
        <v>75</v>
      </c>
      <c r="I13" s="7">
        <v>45671</v>
      </c>
      <c r="J13" s="3"/>
      <c r="K13" s="3"/>
      <c r="L13" s="3" t="s">
        <v>1</v>
      </c>
      <c r="M13" s="3"/>
      <c r="N13" s="3"/>
      <c r="O13" s="3"/>
      <c r="P13" s="3"/>
      <c r="Q13" s="6" t="s">
        <v>133</v>
      </c>
      <c r="R13" s="7"/>
      <c r="S13" s="7"/>
      <c r="T13" s="7"/>
      <c r="U13" s="6"/>
      <c r="V13" s="11"/>
      <c r="W13" s="6"/>
      <c r="X13" s="6"/>
      <c r="Y13" s="6"/>
      <c r="Z13" s="6"/>
      <c r="AA13" s="8"/>
      <c r="AB13" s="8"/>
      <c r="AC13" s="6" t="s">
        <v>579</v>
      </c>
      <c r="AD13" s="6"/>
      <c r="AE13" s="9"/>
    </row>
    <row r="14" spans="1:31" s="10" customFormat="1" ht="47.25" x14ac:dyDescent="0.25">
      <c r="A14" s="3">
        <v>12</v>
      </c>
      <c r="B14" s="3" t="s">
        <v>26</v>
      </c>
      <c r="C14" s="5" t="s">
        <v>299</v>
      </c>
      <c r="D14" s="4" t="s">
        <v>300</v>
      </c>
      <c r="E14" s="6">
        <v>32</v>
      </c>
      <c r="F14" s="6">
        <v>190</v>
      </c>
      <c r="G14" s="3">
        <v>429</v>
      </c>
      <c r="H14" s="3" t="s">
        <v>75</v>
      </c>
      <c r="I14" s="7">
        <v>45673</v>
      </c>
      <c r="J14" s="3"/>
      <c r="K14" s="3"/>
      <c r="L14" s="3"/>
      <c r="M14" s="3"/>
      <c r="N14" s="3"/>
      <c r="O14" s="3"/>
      <c r="P14" s="3" t="s">
        <v>52</v>
      </c>
      <c r="Q14" s="6" t="s">
        <v>133</v>
      </c>
      <c r="R14" s="7"/>
      <c r="S14" s="7"/>
      <c r="T14" s="7"/>
      <c r="U14" s="6"/>
      <c r="V14" s="11"/>
      <c r="W14" s="6"/>
      <c r="X14" s="6"/>
      <c r="Y14" s="6"/>
      <c r="Z14" s="6"/>
      <c r="AA14" s="8"/>
      <c r="AB14" s="8" t="s">
        <v>525</v>
      </c>
      <c r="AC14" s="6" t="s">
        <v>510</v>
      </c>
      <c r="AD14" s="6"/>
      <c r="AE14" s="9"/>
    </row>
    <row r="15" spans="1:31" s="10" customFormat="1" ht="55.5" customHeight="1" x14ac:dyDescent="0.25">
      <c r="A15" s="3">
        <v>13</v>
      </c>
      <c r="B15" s="3" t="s">
        <v>26</v>
      </c>
      <c r="C15" s="5" t="s">
        <v>310</v>
      </c>
      <c r="D15" s="4" t="s">
        <v>311</v>
      </c>
      <c r="E15" s="6">
        <v>35</v>
      </c>
      <c r="F15" s="6">
        <v>657</v>
      </c>
      <c r="G15" s="3">
        <v>99.8</v>
      </c>
      <c r="H15" s="3" t="s">
        <v>55</v>
      </c>
      <c r="I15" s="7">
        <v>45674</v>
      </c>
      <c r="J15" s="3"/>
      <c r="K15" s="3"/>
      <c r="L15" s="3"/>
      <c r="M15" s="3"/>
      <c r="N15" s="3"/>
      <c r="O15" s="3"/>
      <c r="P15" s="3" t="s">
        <v>52</v>
      </c>
      <c r="Q15" s="6" t="s">
        <v>133</v>
      </c>
      <c r="R15" s="7">
        <v>45693</v>
      </c>
      <c r="S15" s="7">
        <v>45694</v>
      </c>
      <c r="T15" s="7">
        <v>45694</v>
      </c>
      <c r="U15" s="6">
        <v>619</v>
      </c>
      <c r="V15" s="11">
        <v>2125468</v>
      </c>
      <c r="W15" s="6"/>
      <c r="X15" s="6"/>
      <c r="Y15" s="6"/>
      <c r="Z15" s="6"/>
      <c r="AA15" s="8"/>
      <c r="AB15" s="8"/>
      <c r="AC15" s="6" t="s">
        <v>424</v>
      </c>
      <c r="AD15" s="6"/>
      <c r="AE15" s="9" t="s">
        <v>312</v>
      </c>
    </row>
    <row r="16" spans="1:31" s="10" customFormat="1" ht="30" customHeight="1" x14ac:dyDescent="0.25">
      <c r="A16" s="3">
        <v>14</v>
      </c>
      <c r="B16" s="3" t="s">
        <v>26</v>
      </c>
      <c r="C16" s="5" t="s">
        <v>319</v>
      </c>
      <c r="D16" s="4"/>
      <c r="E16" s="6">
        <v>41</v>
      </c>
      <c r="F16" s="6">
        <v>326</v>
      </c>
      <c r="G16" s="3">
        <v>698.2</v>
      </c>
      <c r="H16" s="3" t="s">
        <v>51</v>
      </c>
      <c r="I16" s="7"/>
      <c r="J16" s="3"/>
      <c r="K16" s="3"/>
      <c r="L16" s="3"/>
      <c r="M16" s="3"/>
      <c r="N16" s="3"/>
      <c r="O16" s="3"/>
      <c r="P16" s="3"/>
      <c r="Q16" s="6" t="s">
        <v>190</v>
      </c>
      <c r="R16" s="7">
        <v>45645</v>
      </c>
      <c r="S16" s="7"/>
      <c r="T16" s="7"/>
      <c r="U16" s="6"/>
      <c r="V16" s="11"/>
      <c r="W16" s="6"/>
      <c r="X16" s="6"/>
      <c r="Y16" s="6"/>
      <c r="Z16" s="6" t="s">
        <v>320</v>
      </c>
      <c r="AA16" s="8" t="s">
        <v>321</v>
      </c>
      <c r="AB16" s="8" t="s">
        <v>322</v>
      </c>
      <c r="AC16" s="6" t="s">
        <v>333</v>
      </c>
      <c r="AD16" s="6"/>
      <c r="AE16" s="9"/>
    </row>
    <row r="17" spans="1:31" s="10" customFormat="1" ht="31.5" x14ac:dyDescent="0.25">
      <c r="A17" s="3">
        <v>15</v>
      </c>
      <c r="B17" s="3" t="s">
        <v>26</v>
      </c>
      <c r="C17" s="5" t="s">
        <v>323</v>
      </c>
      <c r="D17" s="4" t="s">
        <v>324</v>
      </c>
      <c r="E17" s="6">
        <v>37</v>
      </c>
      <c r="F17" s="6">
        <v>123</v>
      </c>
      <c r="G17" s="3">
        <v>1024.4000000000001</v>
      </c>
      <c r="H17" s="3" t="s">
        <v>75</v>
      </c>
      <c r="I17" s="7"/>
      <c r="J17" s="3"/>
      <c r="K17" s="3"/>
      <c r="L17" s="3"/>
      <c r="M17" s="3"/>
      <c r="N17" s="3"/>
      <c r="O17" s="3"/>
      <c r="P17" s="3"/>
      <c r="Q17" s="6" t="s">
        <v>190</v>
      </c>
      <c r="R17" s="7">
        <v>45671</v>
      </c>
      <c r="S17" s="7"/>
      <c r="T17" s="7"/>
      <c r="U17" s="6"/>
      <c r="V17" s="11"/>
      <c r="W17" s="6"/>
      <c r="X17" s="6"/>
      <c r="Y17" s="6"/>
      <c r="Z17" s="6" t="s">
        <v>325</v>
      </c>
      <c r="AA17" s="8" t="s">
        <v>326</v>
      </c>
      <c r="AB17" s="8"/>
      <c r="AC17" s="6"/>
      <c r="AD17" s="6"/>
      <c r="AE17" s="9"/>
    </row>
    <row r="18" spans="1:31" s="10" customFormat="1" ht="47.25" x14ac:dyDescent="0.25">
      <c r="A18" s="3">
        <v>16</v>
      </c>
      <c r="B18" s="3" t="s">
        <v>26</v>
      </c>
      <c r="C18" s="5" t="s">
        <v>331</v>
      </c>
      <c r="D18" s="4" t="s">
        <v>332</v>
      </c>
      <c r="E18" s="6">
        <v>11</v>
      </c>
      <c r="F18" s="6">
        <v>230</v>
      </c>
      <c r="G18" s="3">
        <v>1513.4</v>
      </c>
      <c r="H18" s="3" t="s">
        <v>75</v>
      </c>
      <c r="I18" s="7">
        <v>45677</v>
      </c>
      <c r="J18" s="3"/>
      <c r="K18" s="3"/>
      <c r="L18" s="3"/>
      <c r="M18" s="3"/>
      <c r="N18" s="3"/>
      <c r="O18" s="3"/>
      <c r="P18" s="3" t="s">
        <v>52</v>
      </c>
      <c r="Q18" s="6" t="s">
        <v>133</v>
      </c>
      <c r="R18" s="7"/>
      <c r="S18" s="7"/>
      <c r="T18" s="7"/>
      <c r="U18" s="6"/>
      <c r="V18" s="11"/>
      <c r="W18" s="6"/>
      <c r="X18" s="6"/>
      <c r="Y18" s="6"/>
      <c r="Z18" s="6"/>
      <c r="AA18" s="8"/>
      <c r="AB18" s="8"/>
      <c r="AC18" s="6" t="s">
        <v>386</v>
      </c>
      <c r="AD18" s="6" t="s">
        <v>383</v>
      </c>
      <c r="AE18" s="9"/>
    </row>
    <row r="19" spans="1:31" s="10" customFormat="1" ht="31.5" x14ac:dyDescent="0.25">
      <c r="A19" s="3">
        <v>17</v>
      </c>
      <c r="B19" s="3" t="s">
        <v>26</v>
      </c>
      <c r="C19" s="5" t="s">
        <v>339</v>
      </c>
      <c r="D19" s="4" t="s">
        <v>340</v>
      </c>
      <c r="E19" s="6">
        <v>35</v>
      </c>
      <c r="F19" s="6">
        <v>557</v>
      </c>
      <c r="G19" s="3">
        <v>89.9</v>
      </c>
      <c r="H19" s="3" t="s">
        <v>55</v>
      </c>
      <c r="I19" s="7">
        <v>45679</v>
      </c>
      <c r="J19" s="3"/>
      <c r="K19" s="3"/>
      <c r="L19" s="3"/>
      <c r="M19" s="3"/>
      <c r="N19" s="3"/>
      <c r="O19" s="3"/>
      <c r="P19" s="3" t="s">
        <v>52</v>
      </c>
      <c r="Q19" s="6" t="s">
        <v>133</v>
      </c>
      <c r="R19" s="7">
        <v>45706</v>
      </c>
      <c r="S19" s="7">
        <v>45712</v>
      </c>
      <c r="T19" s="7">
        <v>45712</v>
      </c>
      <c r="U19" s="20">
        <v>1020</v>
      </c>
      <c r="V19" s="11">
        <v>2833958</v>
      </c>
      <c r="W19" s="11"/>
      <c r="X19" s="6"/>
      <c r="Y19" s="6"/>
      <c r="Z19" s="6"/>
      <c r="AA19" s="8"/>
      <c r="AB19" s="8" t="s">
        <v>1895</v>
      </c>
      <c r="AC19" s="6"/>
      <c r="AD19" s="6"/>
      <c r="AE19" s="9"/>
    </row>
    <row r="20" spans="1:31" ht="16.5" x14ac:dyDescent="0.25">
      <c r="A20" s="12"/>
      <c r="B20" s="73" t="s">
        <v>365</v>
      </c>
      <c r="C20" s="74"/>
      <c r="D20" s="74"/>
      <c r="E20" s="74"/>
      <c r="F20" s="74"/>
      <c r="G20" s="74"/>
      <c r="H20" s="75"/>
      <c r="I20" s="13"/>
      <c r="J20" s="14">
        <f>COUNTIF(J3:J19,"CQ")+COUNTIF(J3:J19,"CN")+COUNTIF(J3:J19,"TK")</f>
        <v>1</v>
      </c>
      <c r="K20" s="14">
        <f>COUNTIF(K3:K19,"CMĐ")</f>
        <v>3</v>
      </c>
      <c r="L20" s="14">
        <f>COUNTIF(L3:L19,"XMDT")+COUNTIF(L3:L19,"Mốc")</f>
        <v>4</v>
      </c>
      <c r="M20" s="14">
        <f>COUNTIF(M19,"THÁn")</f>
        <v>0</v>
      </c>
      <c r="N20" s="14">
        <f>COUNTIF(N19,"TÒA")</f>
        <v>0</v>
      </c>
      <c r="O20" s="14">
        <f>COUNTIF(O3:O19,"Cấp GCN")</f>
        <v>0</v>
      </c>
      <c r="P20" s="14">
        <f>COUNTIF(P3:P19,"SHN")</f>
        <v>7</v>
      </c>
      <c r="Q20" s="15"/>
      <c r="R20" s="13"/>
      <c r="S20" s="15"/>
      <c r="T20" s="15"/>
      <c r="U20" s="16"/>
      <c r="V20" s="11"/>
      <c r="W20" s="17"/>
      <c r="X20" s="2"/>
      <c r="AD20" s="14">
        <f>COUNTIF(AD19,"kt")</f>
        <v>0</v>
      </c>
    </row>
    <row r="21" spans="1:31" s="10" customFormat="1" ht="31.5" x14ac:dyDescent="0.25">
      <c r="A21" s="3">
        <v>18</v>
      </c>
      <c r="B21" s="3" t="s">
        <v>26</v>
      </c>
      <c r="C21" s="5" t="s">
        <v>368</v>
      </c>
      <c r="D21" s="4" t="s">
        <v>369</v>
      </c>
      <c r="E21" s="6">
        <v>31</v>
      </c>
      <c r="F21" s="6">
        <v>955</v>
      </c>
      <c r="G21" s="3">
        <v>330.8</v>
      </c>
      <c r="H21" s="3" t="s">
        <v>55</v>
      </c>
      <c r="I21" s="7"/>
      <c r="J21" s="3"/>
      <c r="K21" s="3"/>
      <c r="L21" s="3"/>
      <c r="M21" s="3"/>
      <c r="N21" s="3"/>
      <c r="O21" s="3"/>
      <c r="P21" s="3"/>
      <c r="Q21" s="6" t="s">
        <v>190</v>
      </c>
      <c r="R21" s="7">
        <v>45636</v>
      </c>
      <c r="S21" s="7"/>
      <c r="T21" s="7"/>
      <c r="U21" s="6"/>
      <c r="V21" s="11"/>
      <c r="W21" s="6"/>
      <c r="X21" s="6"/>
      <c r="Y21" s="6"/>
      <c r="Z21" s="6" t="s">
        <v>370</v>
      </c>
      <c r="AA21" s="8" t="s">
        <v>371</v>
      </c>
      <c r="AB21" s="8"/>
      <c r="AC21" s="6"/>
      <c r="AD21" s="6"/>
      <c r="AE21" s="9"/>
    </row>
    <row r="22" spans="1:31" s="10" customFormat="1" ht="30.75" customHeight="1" x14ac:dyDescent="0.25">
      <c r="A22" s="3">
        <v>19</v>
      </c>
      <c r="B22" s="3" t="s">
        <v>26</v>
      </c>
      <c r="C22" s="5" t="s">
        <v>401</v>
      </c>
      <c r="D22" s="4" t="s">
        <v>402</v>
      </c>
      <c r="E22" s="6">
        <v>32</v>
      </c>
      <c r="F22" s="6">
        <v>384</v>
      </c>
      <c r="G22" s="3">
        <v>506.8</v>
      </c>
      <c r="H22" s="3" t="s">
        <v>51</v>
      </c>
      <c r="I22" s="7"/>
      <c r="J22" s="3"/>
      <c r="K22" s="3"/>
      <c r="L22" s="3"/>
      <c r="M22" s="3"/>
      <c r="N22" s="3"/>
      <c r="O22" s="3"/>
      <c r="P22" s="3"/>
      <c r="Q22" s="6" t="s">
        <v>190</v>
      </c>
      <c r="R22" s="7">
        <v>45656</v>
      </c>
      <c r="S22" s="7"/>
      <c r="T22" s="7"/>
      <c r="U22" s="6"/>
      <c r="V22" s="11"/>
      <c r="W22" s="6"/>
      <c r="X22" s="6"/>
      <c r="Y22" s="6"/>
      <c r="Z22" s="6" t="s">
        <v>403</v>
      </c>
      <c r="AA22" s="8" t="s">
        <v>404</v>
      </c>
      <c r="AB22" s="8"/>
      <c r="AC22" s="6"/>
      <c r="AD22" s="6"/>
      <c r="AE22" s="9"/>
    </row>
    <row r="23" spans="1:31" s="10" customFormat="1" ht="47.25" x14ac:dyDescent="0.25">
      <c r="A23" s="3">
        <v>20</v>
      </c>
      <c r="B23" s="3" t="s">
        <v>26</v>
      </c>
      <c r="C23" s="5" t="s">
        <v>411</v>
      </c>
      <c r="D23" s="4" t="s">
        <v>412</v>
      </c>
      <c r="E23" s="6">
        <v>28</v>
      </c>
      <c r="F23" s="6">
        <v>277</v>
      </c>
      <c r="G23" s="3"/>
      <c r="H23" s="3"/>
      <c r="I23" s="7"/>
      <c r="J23" s="3"/>
      <c r="K23" s="3"/>
      <c r="L23" s="3"/>
      <c r="M23" s="3"/>
      <c r="N23" s="3"/>
      <c r="O23" s="3" t="s">
        <v>81</v>
      </c>
      <c r="P23" s="3"/>
      <c r="Q23" s="6" t="s">
        <v>133</v>
      </c>
      <c r="R23" s="7"/>
      <c r="S23" s="7"/>
      <c r="T23" s="7"/>
      <c r="U23" s="6"/>
      <c r="V23" s="11"/>
      <c r="W23" s="6"/>
      <c r="X23" s="6"/>
      <c r="Y23" s="6"/>
      <c r="Z23" s="6"/>
      <c r="AA23" s="8"/>
      <c r="AB23" s="8"/>
      <c r="AC23" s="6" t="s">
        <v>745</v>
      </c>
      <c r="AD23" s="6"/>
      <c r="AE23" s="9"/>
    </row>
    <row r="24" spans="1:31" s="10" customFormat="1" ht="31.5" x14ac:dyDescent="0.25">
      <c r="A24" s="3">
        <v>21</v>
      </c>
      <c r="B24" s="3" t="s">
        <v>26</v>
      </c>
      <c r="C24" s="5" t="s">
        <v>429</v>
      </c>
      <c r="D24" s="4" t="s">
        <v>430</v>
      </c>
      <c r="E24" s="6">
        <v>34</v>
      </c>
      <c r="F24" s="6">
        <v>318</v>
      </c>
      <c r="G24" s="3">
        <v>90</v>
      </c>
      <c r="H24" s="3" t="s">
        <v>55</v>
      </c>
      <c r="I24" s="7">
        <v>45698</v>
      </c>
      <c r="J24" s="3"/>
      <c r="K24" s="3"/>
      <c r="L24" s="3"/>
      <c r="M24" s="3"/>
      <c r="N24" s="3"/>
      <c r="O24" s="3"/>
      <c r="P24" s="3" t="s">
        <v>52</v>
      </c>
      <c r="Q24" s="6" t="s">
        <v>133</v>
      </c>
      <c r="R24" s="7">
        <v>45714</v>
      </c>
      <c r="S24" s="7">
        <v>45715</v>
      </c>
      <c r="T24" s="7">
        <v>45715</v>
      </c>
      <c r="U24" s="6">
        <v>1094</v>
      </c>
      <c r="V24" s="11">
        <v>2125468</v>
      </c>
      <c r="W24" s="6"/>
      <c r="X24" s="6"/>
      <c r="Y24" s="6"/>
      <c r="Z24" s="6"/>
      <c r="AA24" s="8"/>
      <c r="AB24" s="8"/>
      <c r="AC24" s="6" t="s">
        <v>760</v>
      </c>
      <c r="AD24" s="6"/>
      <c r="AE24" s="9"/>
    </row>
    <row r="25" spans="1:31" s="10" customFormat="1" ht="34.5" customHeight="1" x14ac:dyDescent="0.25">
      <c r="A25" s="3">
        <v>22</v>
      </c>
      <c r="B25" s="3" t="s">
        <v>26</v>
      </c>
      <c r="C25" s="5" t="s">
        <v>437</v>
      </c>
      <c r="D25" s="4" t="s">
        <v>438</v>
      </c>
      <c r="E25" s="6">
        <v>29</v>
      </c>
      <c r="F25" s="6">
        <v>99</v>
      </c>
      <c r="G25" s="3">
        <v>653.5</v>
      </c>
      <c r="H25" s="3" t="s">
        <v>75</v>
      </c>
      <c r="I25" s="7">
        <v>45698</v>
      </c>
      <c r="J25" s="3"/>
      <c r="K25" s="3" t="s">
        <v>62</v>
      </c>
      <c r="L25" s="3"/>
      <c r="M25" s="3"/>
      <c r="N25" s="3"/>
      <c r="O25" s="3"/>
      <c r="P25" s="3"/>
      <c r="Q25" s="6" t="s">
        <v>133</v>
      </c>
      <c r="R25" s="7">
        <v>45740</v>
      </c>
      <c r="S25" s="7">
        <v>45741</v>
      </c>
      <c r="T25" s="7">
        <v>45741</v>
      </c>
      <c r="U25" s="6">
        <v>1705</v>
      </c>
      <c r="V25" s="11">
        <v>961551</v>
      </c>
      <c r="W25" s="6"/>
      <c r="X25" s="6"/>
      <c r="Y25" s="6"/>
      <c r="Z25" s="6" t="s">
        <v>1998</v>
      </c>
      <c r="AA25" s="8" t="s">
        <v>1999</v>
      </c>
      <c r="AB25" s="8" t="s">
        <v>1340</v>
      </c>
      <c r="AC25" s="6" t="s">
        <v>1249</v>
      </c>
      <c r="AD25" s="6"/>
      <c r="AE25" s="9"/>
    </row>
    <row r="26" spans="1:31" s="10" customFormat="1" ht="78.75" x14ac:dyDescent="0.25">
      <c r="A26" s="3">
        <v>23</v>
      </c>
      <c r="B26" s="3" t="s">
        <v>26</v>
      </c>
      <c r="C26" s="5" t="s">
        <v>490</v>
      </c>
      <c r="D26" s="4" t="s">
        <v>491</v>
      </c>
      <c r="E26" s="6">
        <v>33</v>
      </c>
      <c r="F26" s="6">
        <v>284</v>
      </c>
      <c r="G26" s="3">
        <v>219.9</v>
      </c>
      <c r="H26" s="3" t="s">
        <v>55</v>
      </c>
      <c r="I26" s="7">
        <v>45700</v>
      </c>
      <c r="J26" s="3"/>
      <c r="K26" s="3"/>
      <c r="L26" s="3"/>
      <c r="M26" s="3" t="s">
        <v>491</v>
      </c>
      <c r="N26" s="3"/>
      <c r="O26" s="3"/>
      <c r="P26" s="3"/>
      <c r="Q26" s="6" t="s">
        <v>133</v>
      </c>
      <c r="R26" s="7"/>
      <c r="S26" s="7"/>
      <c r="T26" s="7"/>
      <c r="U26" s="6"/>
      <c r="V26" s="11"/>
      <c r="W26" s="6"/>
      <c r="X26" s="6"/>
      <c r="Y26" s="6"/>
      <c r="Z26" s="6"/>
      <c r="AA26" s="8"/>
      <c r="AB26" s="8" t="s">
        <v>608</v>
      </c>
      <c r="AC26" s="6" t="s">
        <v>492</v>
      </c>
      <c r="AD26" s="6"/>
      <c r="AE26" s="9"/>
    </row>
    <row r="27" spans="1:31" s="10" customFormat="1" ht="31.5" x14ac:dyDescent="0.25">
      <c r="A27" s="3">
        <v>24</v>
      </c>
      <c r="B27" s="3" t="s">
        <v>26</v>
      </c>
      <c r="C27" s="5" t="s">
        <v>503</v>
      </c>
      <c r="D27" s="4" t="s">
        <v>504</v>
      </c>
      <c r="E27" s="6">
        <v>34</v>
      </c>
      <c r="F27" s="6">
        <v>326</v>
      </c>
      <c r="G27" s="3">
        <v>90</v>
      </c>
      <c r="H27" s="3" t="s">
        <v>55</v>
      </c>
      <c r="I27" s="7">
        <v>45701</v>
      </c>
      <c r="J27" s="3"/>
      <c r="K27" s="3"/>
      <c r="L27" s="3"/>
      <c r="M27" s="3"/>
      <c r="N27" s="3"/>
      <c r="O27" s="3"/>
      <c r="P27" s="3" t="s">
        <v>52</v>
      </c>
      <c r="Q27" s="6" t="s">
        <v>133</v>
      </c>
      <c r="R27" s="7">
        <v>45713</v>
      </c>
      <c r="S27" s="7">
        <v>45713</v>
      </c>
      <c r="T27" s="7">
        <v>45713</v>
      </c>
      <c r="U27" s="6">
        <v>1038</v>
      </c>
      <c r="V27" s="11">
        <v>2125468</v>
      </c>
      <c r="W27" s="6"/>
      <c r="X27" s="6"/>
      <c r="Y27" s="6"/>
      <c r="Z27" s="6"/>
      <c r="AA27" s="8"/>
      <c r="AB27" s="8"/>
      <c r="AC27" s="6" t="s">
        <v>726</v>
      </c>
      <c r="AD27" s="6"/>
      <c r="AE27" s="9" t="s">
        <v>505</v>
      </c>
    </row>
    <row r="28" spans="1:31" s="10" customFormat="1" ht="31.5" x14ac:dyDescent="0.25">
      <c r="A28" s="3">
        <v>25</v>
      </c>
      <c r="B28" s="3" t="s">
        <v>26</v>
      </c>
      <c r="C28" s="5" t="s">
        <v>520</v>
      </c>
      <c r="D28" s="4" t="s">
        <v>521</v>
      </c>
      <c r="E28" s="6">
        <v>2</v>
      </c>
      <c r="F28" s="6">
        <v>96</v>
      </c>
      <c r="G28" s="3">
        <v>778.4</v>
      </c>
      <c r="H28" s="3" t="s">
        <v>75</v>
      </c>
      <c r="I28" s="7">
        <v>45701</v>
      </c>
      <c r="J28" s="3"/>
      <c r="K28" s="3" t="s">
        <v>62</v>
      </c>
      <c r="L28" s="3"/>
      <c r="M28" s="3"/>
      <c r="N28" s="3"/>
      <c r="O28" s="3"/>
      <c r="P28" s="3"/>
      <c r="Q28" s="6" t="s">
        <v>133</v>
      </c>
      <c r="R28" s="7"/>
      <c r="S28" s="7"/>
      <c r="T28" s="7"/>
      <c r="U28" s="6"/>
      <c r="V28" s="11"/>
      <c r="W28" s="6"/>
      <c r="X28" s="6"/>
      <c r="Y28" s="6"/>
      <c r="Z28" s="6"/>
      <c r="AA28" s="8"/>
      <c r="AB28" s="8"/>
      <c r="AC28" s="6" t="s">
        <v>947</v>
      </c>
      <c r="AD28" s="6"/>
      <c r="AE28" s="9"/>
    </row>
    <row r="29" spans="1:31" s="10" customFormat="1" ht="34.5" customHeight="1" x14ac:dyDescent="0.25">
      <c r="A29" s="3">
        <v>26</v>
      </c>
      <c r="B29" s="3" t="s">
        <v>26</v>
      </c>
      <c r="C29" s="5" t="s">
        <v>549</v>
      </c>
      <c r="D29" s="4" t="s">
        <v>311</v>
      </c>
      <c r="E29" s="6">
        <v>31</v>
      </c>
      <c r="F29" s="6">
        <v>294</v>
      </c>
      <c r="G29" s="3">
        <v>172</v>
      </c>
      <c r="H29" s="3" t="s">
        <v>55</v>
      </c>
      <c r="I29" s="7">
        <v>45702</v>
      </c>
      <c r="J29" s="3"/>
      <c r="K29" s="3"/>
      <c r="L29" s="3"/>
      <c r="M29" s="3"/>
      <c r="N29" s="3"/>
      <c r="O29" s="3"/>
      <c r="P29" s="3" t="s">
        <v>52</v>
      </c>
      <c r="Q29" s="6" t="s">
        <v>133</v>
      </c>
      <c r="R29" s="7">
        <v>45716</v>
      </c>
      <c r="S29" s="7">
        <v>45721</v>
      </c>
      <c r="T29" s="7">
        <v>45721</v>
      </c>
      <c r="U29" s="6">
        <v>1253</v>
      </c>
      <c r="V29" s="11">
        <v>2966799</v>
      </c>
      <c r="W29" s="6"/>
      <c r="X29" s="6"/>
      <c r="Y29" s="6"/>
      <c r="Z29" s="6"/>
      <c r="AA29" s="8"/>
      <c r="AB29" s="8"/>
      <c r="AC29" s="6" t="s">
        <v>944</v>
      </c>
      <c r="AD29" s="6"/>
      <c r="AE29" s="9"/>
    </row>
    <row r="30" spans="1:31" s="10" customFormat="1" ht="52.5" customHeight="1" x14ac:dyDescent="0.25">
      <c r="A30" s="3">
        <v>27</v>
      </c>
      <c r="B30" s="3" t="s">
        <v>26</v>
      </c>
      <c r="C30" s="5" t="s">
        <v>566</v>
      </c>
      <c r="D30" s="4" t="s">
        <v>567</v>
      </c>
      <c r="E30" s="6">
        <v>32</v>
      </c>
      <c r="F30" s="6">
        <v>949</v>
      </c>
      <c r="G30" s="3">
        <v>446</v>
      </c>
      <c r="H30" s="3" t="s">
        <v>51</v>
      </c>
      <c r="I30" s="7">
        <v>45705</v>
      </c>
      <c r="J30" s="3"/>
      <c r="K30" s="3" t="s">
        <v>62</v>
      </c>
      <c r="L30" s="3"/>
      <c r="M30" s="3"/>
      <c r="N30" s="3"/>
      <c r="O30" s="3"/>
      <c r="P30" s="3"/>
      <c r="Q30" s="6" t="s">
        <v>133</v>
      </c>
      <c r="R30" s="7"/>
      <c r="S30" s="7"/>
      <c r="T30" s="7"/>
      <c r="U30" s="6"/>
      <c r="V30" s="11"/>
      <c r="W30" s="6"/>
      <c r="X30" s="6"/>
      <c r="Y30" s="6"/>
      <c r="Z30" s="6"/>
      <c r="AA30" s="8"/>
      <c r="AB30" s="8"/>
      <c r="AC30" s="6" t="s">
        <v>1090</v>
      </c>
      <c r="AD30" s="6"/>
      <c r="AE30" s="9"/>
    </row>
    <row r="31" spans="1:31" s="10" customFormat="1" ht="31.5" x14ac:dyDescent="0.25">
      <c r="A31" s="3">
        <v>28</v>
      </c>
      <c r="B31" s="3" t="s">
        <v>26</v>
      </c>
      <c r="C31" s="5" t="s">
        <v>589</v>
      </c>
      <c r="D31" s="4" t="s">
        <v>590</v>
      </c>
      <c r="E31" s="6">
        <v>32</v>
      </c>
      <c r="F31" s="6">
        <v>589</v>
      </c>
      <c r="G31" s="3">
        <v>157.9</v>
      </c>
      <c r="H31" s="3" t="s">
        <v>51</v>
      </c>
      <c r="I31" s="7"/>
      <c r="J31" s="3"/>
      <c r="K31" s="3"/>
      <c r="L31" s="3"/>
      <c r="M31" s="3"/>
      <c r="N31" s="3"/>
      <c r="O31" s="3"/>
      <c r="P31" s="3"/>
      <c r="Q31" s="6" t="s">
        <v>190</v>
      </c>
      <c r="R31" s="7">
        <v>45645</v>
      </c>
      <c r="S31" s="7"/>
      <c r="T31" s="7"/>
      <c r="U31" s="6"/>
      <c r="V31" s="11"/>
      <c r="W31" s="6"/>
      <c r="X31" s="6"/>
      <c r="Y31" s="6"/>
      <c r="Z31" s="6" t="s">
        <v>591</v>
      </c>
      <c r="AA31" s="8" t="s">
        <v>592</v>
      </c>
      <c r="AB31" s="8"/>
      <c r="AC31" s="6"/>
      <c r="AD31" s="6"/>
      <c r="AE31" s="9"/>
    </row>
    <row r="32" spans="1:31" s="10" customFormat="1" ht="56.25" customHeight="1" x14ac:dyDescent="0.25">
      <c r="A32" s="3">
        <v>29</v>
      </c>
      <c r="B32" s="3" t="s">
        <v>26</v>
      </c>
      <c r="C32" s="5" t="s">
        <v>603</v>
      </c>
      <c r="D32" s="4" t="s">
        <v>567</v>
      </c>
      <c r="E32" s="6">
        <v>6</v>
      </c>
      <c r="F32" s="6">
        <v>414</v>
      </c>
      <c r="G32" s="3">
        <v>518.4</v>
      </c>
      <c r="H32" s="3" t="s">
        <v>279</v>
      </c>
      <c r="I32" s="7">
        <v>45707</v>
      </c>
      <c r="J32" s="3"/>
      <c r="K32" s="3" t="s">
        <v>62</v>
      </c>
      <c r="L32" s="3"/>
      <c r="M32" s="3"/>
      <c r="N32" s="3"/>
      <c r="O32" s="3"/>
      <c r="P32" s="3"/>
      <c r="Q32" s="6" t="s">
        <v>133</v>
      </c>
      <c r="R32" s="7"/>
      <c r="S32" s="7"/>
      <c r="T32" s="7"/>
      <c r="U32" s="6"/>
      <c r="V32" s="11"/>
      <c r="W32" s="6"/>
      <c r="X32" s="6"/>
      <c r="Y32" s="6"/>
      <c r="Z32" s="6"/>
      <c r="AA32" s="8"/>
      <c r="AB32" s="8"/>
      <c r="AC32" s="6" t="s">
        <v>1090</v>
      </c>
      <c r="AD32" s="6"/>
      <c r="AE32" s="9"/>
    </row>
    <row r="33" spans="1:31" s="10" customFormat="1" ht="31.5" x14ac:dyDescent="0.25">
      <c r="A33" s="3">
        <v>30</v>
      </c>
      <c r="B33" s="3" t="s">
        <v>26</v>
      </c>
      <c r="C33" s="5" t="s">
        <v>632</v>
      </c>
      <c r="D33" s="4" t="s">
        <v>633</v>
      </c>
      <c r="E33" s="6">
        <v>30</v>
      </c>
      <c r="F33" s="6">
        <v>36</v>
      </c>
      <c r="G33" s="3">
        <v>966.3</v>
      </c>
      <c r="H33" s="3" t="s">
        <v>51</v>
      </c>
      <c r="I33" s="7"/>
      <c r="J33" s="3"/>
      <c r="K33" s="3"/>
      <c r="L33" s="3"/>
      <c r="M33" s="3"/>
      <c r="N33" s="3"/>
      <c r="O33" s="3"/>
      <c r="P33" s="3"/>
      <c r="Q33" s="6" t="s">
        <v>190</v>
      </c>
      <c r="R33" s="7">
        <v>46022</v>
      </c>
      <c r="S33" s="7"/>
      <c r="T33" s="7"/>
      <c r="U33" s="6"/>
      <c r="V33" s="11"/>
      <c r="W33" s="6"/>
      <c r="X33" s="6"/>
      <c r="Y33" s="6"/>
      <c r="Z33" s="6" t="s">
        <v>634</v>
      </c>
      <c r="AA33" s="8" t="s">
        <v>635</v>
      </c>
      <c r="AB33" s="8"/>
      <c r="AC33" s="6"/>
      <c r="AD33" s="6"/>
      <c r="AE33" s="9"/>
    </row>
    <row r="34" spans="1:31" s="10" customFormat="1" ht="15.75" x14ac:dyDescent="0.25">
      <c r="A34" s="3">
        <v>31</v>
      </c>
      <c r="B34" s="3" t="s">
        <v>26</v>
      </c>
      <c r="C34" s="5" t="s">
        <v>649</v>
      </c>
      <c r="D34" s="4" t="s">
        <v>650</v>
      </c>
      <c r="E34" s="6">
        <v>41</v>
      </c>
      <c r="F34" s="6">
        <v>702</v>
      </c>
      <c r="G34" s="3">
        <v>139.6</v>
      </c>
      <c r="H34" s="3" t="s">
        <v>51</v>
      </c>
      <c r="I34" s="7">
        <v>45709</v>
      </c>
      <c r="J34" s="3"/>
      <c r="K34" s="3"/>
      <c r="L34" s="3"/>
      <c r="M34" s="3"/>
      <c r="N34" s="3"/>
      <c r="O34" s="3"/>
      <c r="P34" s="3"/>
      <c r="Q34" s="6" t="s">
        <v>133</v>
      </c>
      <c r="R34" s="7">
        <v>45743</v>
      </c>
      <c r="S34" s="7">
        <v>45757</v>
      </c>
      <c r="T34" s="7">
        <v>45757</v>
      </c>
      <c r="U34" s="6">
        <v>2135</v>
      </c>
      <c r="V34" s="11">
        <v>961551</v>
      </c>
      <c r="W34" s="6"/>
      <c r="X34" s="6"/>
      <c r="Y34" s="6"/>
      <c r="Z34" s="6"/>
      <c r="AA34" s="8"/>
      <c r="AB34" s="8"/>
      <c r="AC34" s="6"/>
      <c r="AD34" s="6"/>
      <c r="AE34" s="9"/>
    </row>
    <row r="35" spans="1:31" s="10" customFormat="1" ht="31.5" x14ac:dyDescent="0.25">
      <c r="A35" s="3">
        <v>32</v>
      </c>
      <c r="B35" s="3" t="s">
        <v>26</v>
      </c>
      <c r="C35" s="5" t="s">
        <v>662</v>
      </c>
      <c r="D35" s="4"/>
      <c r="E35" s="6">
        <v>3</v>
      </c>
      <c r="F35" s="6">
        <v>293</v>
      </c>
      <c r="G35" s="3">
        <v>285.60000000000002</v>
      </c>
      <c r="H35" s="3" t="s">
        <v>51</v>
      </c>
      <c r="I35" s="7">
        <v>45709</v>
      </c>
      <c r="J35" s="3"/>
      <c r="K35" s="3" t="s">
        <v>62</v>
      </c>
      <c r="L35" s="3"/>
      <c r="M35" s="3"/>
      <c r="N35" s="3"/>
      <c r="O35" s="3"/>
      <c r="P35" s="3"/>
      <c r="Q35" s="6" t="s">
        <v>133</v>
      </c>
      <c r="R35" s="7">
        <v>45722</v>
      </c>
      <c r="S35" s="7">
        <v>45737</v>
      </c>
      <c r="T35" s="7">
        <v>45737</v>
      </c>
      <c r="U35" s="6">
        <v>1669</v>
      </c>
      <c r="V35" s="11">
        <v>809727</v>
      </c>
      <c r="W35" s="6"/>
      <c r="X35" s="6"/>
      <c r="Y35" s="6"/>
      <c r="Z35" s="6" t="s">
        <v>1982</v>
      </c>
      <c r="AA35" s="8" t="s">
        <v>1983</v>
      </c>
      <c r="AB35" s="8"/>
      <c r="AC35" s="6"/>
      <c r="AD35" s="6"/>
      <c r="AE35" s="9" t="s">
        <v>663</v>
      </c>
    </row>
    <row r="36" spans="1:31" s="10" customFormat="1" ht="31.5" x14ac:dyDescent="0.25">
      <c r="A36" s="3">
        <v>33</v>
      </c>
      <c r="B36" s="3" t="s">
        <v>26</v>
      </c>
      <c r="C36" s="5" t="s">
        <v>664</v>
      </c>
      <c r="D36" s="4"/>
      <c r="E36" s="6">
        <v>35</v>
      </c>
      <c r="F36" s="6">
        <v>425</v>
      </c>
      <c r="G36" s="3">
        <v>90.1</v>
      </c>
      <c r="H36" s="3" t="s">
        <v>55</v>
      </c>
      <c r="I36" s="7">
        <v>45709</v>
      </c>
      <c r="J36" s="3"/>
      <c r="K36" s="3"/>
      <c r="L36" s="3"/>
      <c r="M36" s="3"/>
      <c r="N36" s="3"/>
      <c r="O36" s="3"/>
      <c r="P36" s="3" t="s">
        <v>52</v>
      </c>
      <c r="Q36" s="6" t="s">
        <v>133</v>
      </c>
      <c r="R36" s="7">
        <v>45722</v>
      </c>
      <c r="S36" s="7">
        <v>45723</v>
      </c>
      <c r="T36" s="7">
        <v>45723</v>
      </c>
      <c r="U36" s="6">
        <v>1283</v>
      </c>
      <c r="V36" s="11">
        <v>2125468</v>
      </c>
      <c r="W36" s="6"/>
      <c r="X36" s="6"/>
      <c r="Y36" s="6"/>
      <c r="Z36" s="6"/>
      <c r="AA36" s="8"/>
      <c r="AB36" s="8"/>
      <c r="AC36" s="6" t="s">
        <v>952</v>
      </c>
      <c r="AD36" s="6"/>
      <c r="AE36" s="9" t="s">
        <v>663</v>
      </c>
    </row>
    <row r="37" spans="1:31" s="10" customFormat="1" ht="51.75" customHeight="1" x14ac:dyDescent="0.25">
      <c r="A37" s="3">
        <v>34</v>
      </c>
      <c r="B37" s="3" t="s">
        <v>26</v>
      </c>
      <c r="C37" s="5" t="s">
        <v>673</v>
      </c>
      <c r="D37" s="4" t="s">
        <v>674</v>
      </c>
      <c r="E37" s="6">
        <v>36</v>
      </c>
      <c r="F37" s="6">
        <v>687</v>
      </c>
      <c r="G37" s="3">
        <v>149.80000000000001</v>
      </c>
      <c r="H37" s="3" t="s">
        <v>55</v>
      </c>
      <c r="I37" s="7">
        <v>45712</v>
      </c>
      <c r="J37" s="3"/>
      <c r="K37" s="3"/>
      <c r="L37" s="3"/>
      <c r="M37" s="3"/>
      <c r="N37" s="3"/>
      <c r="O37" s="3"/>
      <c r="P37" s="3" t="s">
        <v>52</v>
      </c>
      <c r="Q37" s="6" t="s">
        <v>133</v>
      </c>
      <c r="R37" s="7"/>
      <c r="S37" s="7"/>
      <c r="T37" s="7"/>
      <c r="U37" s="6"/>
      <c r="V37" s="11"/>
      <c r="W37" s="6"/>
      <c r="X37" s="6"/>
      <c r="Y37" s="6"/>
      <c r="Z37" s="6"/>
      <c r="AA37" s="8"/>
      <c r="AB37" s="8"/>
      <c r="AC37" s="6" t="s">
        <v>800</v>
      </c>
      <c r="AD37" s="6"/>
      <c r="AE37" s="9"/>
    </row>
    <row r="38" spans="1:31" ht="16.5" x14ac:dyDescent="0.25">
      <c r="A38" s="12"/>
      <c r="B38" s="73" t="s">
        <v>706</v>
      </c>
      <c r="C38" s="74"/>
      <c r="D38" s="74"/>
      <c r="E38" s="74"/>
      <c r="F38" s="74"/>
      <c r="G38" s="74"/>
      <c r="H38" s="75"/>
      <c r="I38" s="13"/>
      <c r="J38" s="14">
        <f>COUNTIF(J21:J37,"CQ")+COUNTIF(J37,"CN")+COUNTIF(J37,"TK")</f>
        <v>0</v>
      </c>
      <c r="K38" s="14">
        <f>COUNTIF(K21:K37,"CMĐ")</f>
        <v>5</v>
      </c>
      <c r="L38" s="14">
        <f>COUNTIF(L37,"XMDT")+COUNTIF(L37,"Mốc")</f>
        <v>0</v>
      </c>
      <c r="M38" s="14">
        <f>COUNTIF(M21:M37,"THÁn")</f>
        <v>1</v>
      </c>
      <c r="N38" s="14">
        <f>COUNTIF(N37,"TÒA")</f>
        <v>0</v>
      </c>
      <c r="O38" s="14">
        <f>COUNTIF(O21:O37,"Cấp GCN")</f>
        <v>1</v>
      </c>
      <c r="P38" s="14">
        <f>COUNTIF(P21:P37,"SHN")</f>
        <v>5</v>
      </c>
      <c r="Q38" s="15"/>
      <c r="R38" s="13"/>
      <c r="S38" s="15"/>
      <c r="T38" s="15"/>
      <c r="U38" s="16"/>
      <c r="V38" s="11"/>
      <c r="W38" s="17"/>
      <c r="X38" s="2"/>
      <c r="AD38" s="14">
        <f>COUNTIF(AD37,"kt")</f>
        <v>0</v>
      </c>
    </row>
    <row r="39" spans="1:31" s="10" customFormat="1" ht="31.5" x14ac:dyDescent="0.25">
      <c r="A39" s="3">
        <v>35</v>
      </c>
      <c r="B39" s="3" t="s">
        <v>26</v>
      </c>
      <c r="C39" s="5" t="s">
        <v>709</v>
      </c>
      <c r="D39" s="4" t="s">
        <v>710</v>
      </c>
      <c r="E39" s="6">
        <v>41</v>
      </c>
      <c r="F39" s="6">
        <v>1096</v>
      </c>
      <c r="G39" s="3">
        <v>126.1</v>
      </c>
      <c r="H39" s="3" t="s">
        <v>55</v>
      </c>
      <c r="I39" s="7">
        <v>45713</v>
      </c>
      <c r="J39" s="3"/>
      <c r="K39" s="3"/>
      <c r="L39" s="3" t="s">
        <v>98</v>
      </c>
      <c r="M39" s="3"/>
      <c r="N39" s="3"/>
      <c r="O39" s="3"/>
      <c r="P39" s="3"/>
      <c r="Q39" s="6" t="s">
        <v>133</v>
      </c>
      <c r="R39" s="7">
        <v>45725</v>
      </c>
      <c r="S39" s="7">
        <v>45734</v>
      </c>
      <c r="T39" s="7">
        <v>45734</v>
      </c>
      <c r="U39" s="6">
        <v>1532</v>
      </c>
      <c r="V39" s="11">
        <v>2583973</v>
      </c>
      <c r="W39" s="6"/>
      <c r="X39" s="6"/>
      <c r="Y39" s="6"/>
      <c r="Z39" s="6"/>
      <c r="AA39" s="8"/>
      <c r="AB39" s="8"/>
      <c r="AC39" s="6" t="s">
        <v>711</v>
      </c>
      <c r="AD39" s="6" t="s">
        <v>723</v>
      </c>
      <c r="AE39" s="9"/>
    </row>
    <row r="40" spans="1:31" s="10" customFormat="1" ht="31.5" x14ac:dyDescent="0.25">
      <c r="A40" s="3">
        <v>36</v>
      </c>
      <c r="B40" s="3" t="s">
        <v>26</v>
      </c>
      <c r="C40" s="5" t="s">
        <v>756</v>
      </c>
      <c r="D40" s="4" t="s">
        <v>757</v>
      </c>
      <c r="E40" s="6">
        <v>10</v>
      </c>
      <c r="F40" s="6">
        <v>43</v>
      </c>
      <c r="G40" s="3">
        <v>33.5</v>
      </c>
      <c r="H40" s="3" t="s">
        <v>55</v>
      </c>
      <c r="I40" s="7">
        <v>45715</v>
      </c>
      <c r="J40" s="3"/>
      <c r="K40" s="3"/>
      <c r="L40" s="3"/>
      <c r="M40" s="3"/>
      <c r="N40" s="3"/>
      <c r="O40" s="3"/>
      <c r="P40" s="3" t="s">
        <v>52</v>
      </c>
      <c r="Q40" s="6" t="s">
        <v>133</v>
      </c>
      <c r="R40" s="7">
        <v>45764</v>
      </c>
      <c r="S40" s="7">
        <v>45817</v>
      </c>
      <c r="T40" s="7">
        <v>45817</v>
      </c>
      <c r="U40" s="20">
        <v>1357</v>
      </c>
      <c r="V40" s="11">
        <v>1416978</v>
      </c>
      <c r="W40" s="6"/>
      <c r="X40" s="6"/>
      <c r="Y40" s="6"/>
      <c r="Z40" s="6"/>
      <c r="AA40" s="8"/>
      <c r="AB40" s="8"/>
      <c r="AC40" s="6" t="s">
        <v>2715</v>
      </c>
      <c r="AD40" s="6"/>
      <c r="AE40" s="9"/>
    </row>
    <row r="41" spans="1:31" s="10" customFormat="1" ht="31.5" x14ac:dyDescent="0.25">
      <c r="A41" s="3">
        <v>37</v>
      </c>
      <c r="B41" s="3" t="s">
        <v>26</v>
      </c>
      <c r="C41" s="5" t="s">
        <v>790</v>
      </c>
      <c r="D41" s="4"/>
      <c r="E41" s="6">
        <v>35</v>
      </c>
      <c r="F41" s="6">
        <v>420</v>
      </c>
      <c r="G41" s="3">
        <v>124.8</v>
      </c>
      <c r="H41" s="3" t="s">
        <v>55</v>
      </c>
      <c r="I41" s="7">
        <v>45716</v>
      </c>
      <c r="J41" s="3"/>
      <c r="K41" s="3"/>
      <c r="L41" s="3"/>
      <c r="M41" s="3"/>
      <c r="N41" s="3"/>
      <c r="O41" s="3"/>
      <c r="P41" s="3" t="s">
        <v>52</v>
      </c>
      <c r="Q41" s="6" t="s">
        <v>133</v>
      </c>
      <c r="R41" s="7">
        <v>45722</v>
      </c>
      <c r="S41" s="7">
        <v>45723</v>
      </c>
      <c r="T41" s="7">
        <v>45723</v>
      </c>
      <c r="U41" s="6">
        <v>1284</v>
      </c>
      <c r="V41" s="11">
        <v>2523992</v>
      </c>
      <c r="W41" s="6"/>
      <c r="X41" s="6"/>
      <c r="Y41" s="6"/>
      <c r="Z41" s="6"/>
      <c r="AA41" s="8"/>
      <c r="AB41" s="8"/>
      <c r="AC41" s="6" t="s">
        <v>952</v>
      </c>
      <c r="AD41" s="6"/>
      <c r="AE41" s="9"/>
    </row>
    <row r="42" spans="1:31" s="10" customFormat="1" ht="52.5" customHeight="1" x14ac:dyDescent="0.25">
      <c r="A42" s="3">
        <v>38</v>
      </c>
      <c r="B42" s="3" t="s">
        <v>26</v>
      </c>
      <c r="C42" s="5" t="s">
        <v>821</v>
      </c>
      <c r="D42" s="4" t="s">
        <v>822</v>
      </c>
      <c r="E42" s="6">
        <v>16</v>
      </c>
      <c r="F42" s="6">
        <v>238</v>
      </c>
      <c r="G42" s="3">
        <v>245.2</v>
      </c>
      <c r="H42" s="3" t="s">
        <v>75</v>
      </c>
      <c r="I42" s="7">
        <v>45719</v>
      </c>
      <c r="J42" s="3" t="s">
        <v>823</v>
      </c>
      <c r="K42" s="3"/>
      <c r="L42" s="3"/>
      <c r="M42" s="3"/>
      <c r="N42" s="3"/>
      <c r="O42" s="3"/>
      <c r="P42" s="3"/>
      <c r="Q42" s="6" t="s">
        <v>133</v>
      </c>
      <c r="R42" s="7"/>
      <c r="S42" s="7"/>
      <c r="T42" s="7"/>
      <c r="U42" s="6"/>
      <c r="V42" s="11"/>
      <c r="W42" s="6"/>
      <c r="X42" s="6"/>
      <c r="Y42" s="6"/>
      <c r="Z42" s="6"/>
      <c r="AA42" s="8"/>
      <c r="AB42" s="8" t="s">
        <v>1177</v>
      </c>
      <c r="AC42" s="6" t="s">
        <v>1090</v>
      </c>
      <c r="AD42" s="6"/>
      <c r="AE42" s="9"/>
    </row>
    <row r="43" spans="1:31" s="10" customFormat="1" ht="31.5" x14ac:dyDescent="0.25">
      <c r="A43" s="3">
        <v>39</v>
      </c>
      <c r="B43" s="3" t="s">
        <v>26</v>
      </c>
      <c r="C43" s="5" t="s">
        <v>828</v>
      </c>
      <c r="D43" s="4" t="s">
        <v>829</v>
      </c>
      <c r="E43" s="6">
        <v>37</v>
      </c>
      <c r="F43" s="6">
        <v>206</v>
      </c>
      <c r="G43" s="3">
        <v>316</v>
      </c>
      <c r="H43" s="3" t="s">
        <v>55</v>
      </c>
      <c r="I43" s="7">
        <v>45842</v>
      </c>
      <c r="J43" s="3"/>
      <c r="K43" s="3"/>
      <c r="L43" s="3" t="s">
        <v>98</v>
      </c>
      <c r="M43" s="3"/>
      <c r="N43" s="3"/>
      <c r="O43" s="3"/>
      <c r="P43" s="3"/>
      <c r="Q43" s="6" t="s">
        <v>133</v>
      </c>
      <c r="R43" s="7">
        <v>45739</v>
      </c>
      <c r="S43" s="7">
        <v>45751</v>
      </c>
      <c r="T43" s="7">
        <v>45751</v>
      </c>
      <c r="U43" s="6">
        <v>2038</v>
      </c>
      <c r="V43" s="11">
        <v>3281835</v>
      </c>
      <c r="W43" s="6"/>
      <c r="X43" s="6"/>
      <c r="Y43" s="6"/>
      <c r="Z43" s="6"/>
      <c r="AA43" s="8"/>
      <c r="AB43" s="8"/>
      <c r="AC43" s="6" t="s">
        <v>830</v>
      </c>
      <c r="AD43" s="6" t="s">
        <v>831</v>
      </c>
      <c r="AE43" s="9"/>
    </row>
    <row r="44" spans="1:31" s="10" customFormat="1" ht="66.75" customHeight="1" x14ac:dyDescent="0.25">
      <c r="A44" s="3">
        <v>40</v>
      </c>
      <c r="B44" s="3" t="s">
        <v>26</v>
      </c>
      <c r="C44" s="5" t="s">
        <v>921</v>
      </c>
      <c r="D44" s="4" t="s">
        <v>491</v>
      </c>
      <c r="E44" s="6">
        <v>38</v>
      </c>
      <c r="F44" s="6">
        <v>392</v>
      </c>
      <c r="G44" s="3">
        <v>120.5</v>
      </c>
      <c r="H44" s="3" t="s">
        <v>55</v>
      </c>
      <c r="I44" s="7">
        <v>45721</v>
      </c>
      <c r="J44" s="3"/>
      <c r="K44" s="3"/>
      <c r="L44" s="3"/>
      <c r="M44" s="3" t="s">
        <v>491</v>
      </c>
      <c r="N44" s="3"/>
      <c r="O44" s="3"/>
      <c r="P44" s="3"/>
      <c r="Q44" s="6" t="s">
        <v>133</v>
      </c>
      <c r="R44" s="7"/>
      <c r="S44" s="7"/>
      <c r="T44" s="7"/>
      <c r="U44" s="6"/>
      <c r="V44" s="11"/>
      <c r="W44" s="6"/>
      <c r="X44" s="6"/>
      <c r="Y44" s="6"/>
      <c r="Z44" s="6"/>
      <c r="AA44" s="8"/>
      <c r="AB44" s="8"/>
      <c r="AC44" s="6" t="s">
        <v>922</v>
      </c>
      <c r="AD44" s="6"/>
      <c r="AE44" s="9"/>
    </row>
    <row r="45" spans="1:31" s="10" customFormat="1" ht="15.75" x14ac:dyDescent="0.25">
      <c r="A45" s="3">
        <v>41</v>
      </c>
      <c r="B45" s="3" t="s">
        <v>26</v>
      </c>
      <c r="C45" s="5" t="s">
        <v>1023</v>
      </c>
      <c r="D45" s="4" t="s">
        <v>1024</v>
      </c>
      <c r="E45" s="6">
        <v>3</v>
      </c>
      <c r="F45" s="6">
        <v>142</v>
      </c>
      <c r="G45" s="3">
        <v>63.9</v>
      </c>
      <c r="H45" s="3" t="s">
        <v>51</v>
      </c>
      <c r="I45" s="7">
        <v>45729</v>
      </c>
      <c r="J45" s="3"/>
      <c r="K45" s="3" t="s">
        <v>62</v>
      </c>
      <c r="L45" s="3"/>
      <c r="M45" s="3"/>
      <c r="N45" s="3"/>
      <c r="O45" s="3"/>
      <c r="P45" s="3"/>
      <c r="Q45" s="6" t="s">
        <v>133</v>
      </c>
      <c r="R45" s="7">
        <v>45765</v>
      </c>
      <c r="S45" s="7">
        <v>45769</v>
      </c>
      <c r="T45" s="7">
        <v>45769</v>
      </c>
      <c r="U45" s="6">
        <v>54</v>
      </c>
      <c r="V45" s="11">
        <v>809727</v>
      </c>
      <c r="W45" s="6"/>
      <c r="X45" s="6"/>
      <c r="Y45" s="6"/>
      <c r="Z45" s="6"/>
      <c r="AA45" s="8"/>
      <c r="AB45" s="8"/>
      <c r="AC45" s="6"/>
      <c r="AD45" s="6"/>
      <c r="AE45" s="9"/>
    </row>
    <row r="46" spans="1:31" s="10" customFormat="1" ht="31.5" x14ac:dyDescent="0.25">
      <c r="A46" s="3">
        <v>42</v>
      </c>
      <c r="B46" s="3" t="s">
        <v>26</v>
      </c>
      <c r="C46" s="5" t="s">
        <v>1037</v>
      </c>
      <c r="D46" s="4" t="s">
        <v>1038</v>
      </c>
      <c r="E46" s="6">
        <v>35</v>
      </c>
      <c r="F46" s="6" t="s">
        <v>1039</v>
      </c>
      <c r="G46" s="6" t="s">
        <v>1040</v>
      </c>
      <c r="H46" s="3" t="s">
        <v>75</v>
      </c>
      <c r="I46" s="7">
        <v>45730</v>
      </c>
      <c r="J46" s="3"/>
      <c r="K46" s="3"/>
      <c r="L46" s="3" t="s">
        <v>1</v>
      </c>
      <c r="M46" s="3"/>
      <c r="N46" s="3"/>
      <c r="O46" s="3"/>
      <c r="P46" s="3"/>
      <c r="Q46" s="6" t="s">
        <v>133</v>
      </c>
      <c r="R46" s="7">
        <v>45790</v>
      </c>
      <c r="S46" s="7">
        <v>45807</v>
      </c>
      <c r="T46" s="7">
        <v>45807</v>
      </c>
      <c r="U46" s="20">
        <v>1122</v>
      </c>
      <c r="V46" s="11">
        <v>809727</v>
      </c>
      <c r="W46" s="6"/>
      <c r="X46" s="6"/>
      <c r="Y46" s="6"/>
      <c r="Z46" s="6"/>
      <c r="AA46" s="8"/>
      <c r="AB46" s="8"/>
      <c r="AC46" s="6"/>
      <c r="AD46" s="6"/>
      <c r="AE46" s="9"/>
    </row>
    <row r="47" spans="1:31" s="10" customFormat="1" ht="47.25" x14ac:dyDescent="0.25">
      <c r="A47" s="3">
        <v>43</v>
      </c>
      <c r="B47" s="3" t="s">
        <v>26</v>
      </c>
      <c r="C47" s="5" t="s">
        <v>1042</v>
      </c>
      <c r="D47" s="4" t="s">
        <v>311</v>
      </c>
      <c r="E47" s="6">
        <v>31</v>
      </c>
      <c r="F47" s="6">
        <v>934</v>
      </c>
      <c r="G47" s="3">
        <v>204</v>
      </c>
      <c r="H47" s="3" t="s">
        <v>75</v>
      </c>
      <c r="I47" s="7" t="s">
        <v>1278</v>
      </c>
      <c r="J47" s="3"/>
      <c r="K47" s="3" t="s">
        <v>62</v>
      </c>
      <c r="L47" s="3"/>
      <c r="M47" s="3"/>
      <c r="N47" s="3"/>
      <c r="O47" s="3"/>
      <c r="P47" s="3"/>
      <c r="Q47" s="6" t="s">
        <v>133</v>
      </c>
      <c r="R47" s="7">
        <v>45763</v>
      </c>
      <c r="S47" s="7">
        <v>45763</v>
      </c>
      <c r="T47" s="7">
        <v>45763</v>
      </c>
      <c r="U47" s="6">
        <v>2324</v>
      </c>
      <c r="V47" s="11">
        <v>809727</v>
      </c>
      <c r="W47" s="6"/>
      <c r="X47" s="6"/>
      <c r="Y47" s="6"/>
      <c r="Z47" s="6"/>
      <c r="AA47" s="8"/>
      <c r="AB47" s="8" t="s">
        <v>1339</v>
      </c>
      <c r="AC47" s="6" t="s">
        <v>1279</v>
      </c>
      <c r="AD47" s="6"/>
      <c r="AE47" s="9"/>
    </row>
    <row r="48" spans="1:31" s="10" customFormat="1" ht="47.25" x14ac:dyDescent="0.25">
      <c r="A48" s="3">
        <v>44</v>
      </c>
      <c r="B48" s="3" t="s">
        <v>26</v>
      </c>
      <c r="C48" s="5" t="s">
        <v>1050</v>
      </c>
      <c r="D48" s="4" t="s">
        <v>1057</v>
      </c>
      <c r="E48" s="6">
        <v>6</v>
      </c>
      <c r="F48" s="6">
        <v>2</v>
      </c>
      <c r="G48" s="3">
        <v>47</v>
      </c>
      <c r="H48" s="3" t="s">
        <v>55</v>
      </c>
      <c r="I48" s="7">
        <v>45730</v>
      </c>
      <c r="J48" s="3"/>
      <c r="K48" s="3"/>
      <c r="L48" s="3" t="s">
        <v>98</v>
      </c>
      <c r="M48" s="3"/>
      <c r="N48" s="3"/>
      <c r="O48" s="3"/>
      <c r="P48" s="3"/>
      <c r="Q48" s="6" t="s">
        <v>133</v>
      </c>
      <c r="R48" s="7">
        <v>45764</v>
      </c>
      <c r="S48" s="7">
        <v>45769</v>
      </c>
      <c r="T48" s="7">
        <v>45769</v>
      </c>
      <c r="U48" s="6">
        <v>52</v>
      </c>
      <c r="V48" s="11">
        <v>2758439</v>
      </c>
      <c r="W48" s="6"/>
      <c r="X48" s="6"/>
      <c r="Y48" s="6"/>
      <c r="Z48" s="6"/>
      <c r="AA48" s="8"/>
      <c r="AB48" s="8"/>
      <c r="AC48" s="6" t="s">
        <v>1051</v>
      </c>
      <c r="AD48" s="6"/>
      <c r="AE48" s="9"/>
    </row>
    <row r="49" spans="1:31" s="10" customFormat="1" ht="15.75" x14ac:dyDescent="0.25">
      <c r="A49" s="3">
        <v>45</v>
      </c>
      <c r="B49" s="3" t="s">
        <v>26</v>
      </c>
      <c r="C49" s="5" t="s">
        <v>1071</v>
      </c>
      <c r="D49" s="4" t="s">
        <v>1072</v>
      </c>
      <c r="E49" s="6">
        <v>35</v>
      </c>
      <c r="F49" s="6">
        <v>798</v>
      </c>
      <c r="G49" s="3">
        <v>72.3</v>
      </c>
      <c r="H49" s="3" t="s">
        <v>51</v>
      </c>
      <c r="I49" s="7">
        <v>45733</v>
      </c>
      <c r="J49" s="3"/>
      <c r="K49" s="3"/>
      <c r="L49" s="3" t="s">
        <v>1</v>
      </c>
      <c r="M49" s="3"/>
      <c r="N49" s="3"/>
      <c r="O49" s="3"/>
      <c r="P49" s="3"/>
      <c r="Q49" s="6" t="s">
        <v>133</v>
      </c>
      <c r="R49" s="7">
        <v>45834</v>
      </c>
      <c r="S49" s="7"/>
      <c r="T49" s="7"/>
      <c r="U49" s="6"/>
      <c r="V49" s="11"/>
      <c r="W49" s="6"/>
      <c r="X49" s="6"/>
      <c r="Y49" s="6"/>
      <c r="Z49" s="6"/>
      <c r="AA49" s="8"/>
      <c r="AB49" s="8"/>
      <c r="AC49" s="6"/>
      <c r="AD49" s="6"/>
      <c r="AE49" s="9"/>
    </row>
    <row r="50" spans="1:31" s="10" customFormat="1" ht="15.75" x14ac:dyDescent="0.25">
      <c r="A50" s="3">
        <v>46</v>
      </c>
      <c r="B50" s="3" t="s">
        <v>26</v>
      </c>
      <c r="C50" s="5" t="s">
        <v>1151</v>
      </c>
      <c r="D50" s="4" t="s">
        <v>1152</v>
      </c>
      <c r="E50" s="6">
        <v>32</v>
      </c>
      <c r="F50" s="6">
        <v>1060</v>
      </c>
      <c r="G50" s="3">
        <v>663.3</v>
      </c>
      <c r="H50" s="3" t="s">
        <v>51</v>
      </c>
      <c r="I50" s="7">
        <v>45736</v>
      </c>
      <c r="J50" s="3"/>
      <c r="K50" s="3" t="s">
        <v>62</v>
      </c>
      <c r="L50" s="3"/>
      <c r="M50" s="3"/>
      <c r="N50" s="3"/>
      <c r="O50" s="3"/>
      <c r="P50" s="3"/>
      <c r="Q50" s="6" t="s">
        <v>133</v>
      </c>
      <c r="R50" s="7"/>
      <c r="S50" s="7"/>
      <c r="T50" s="7"/>
      <c r="U50" s="6"/>
      <c r="V50" s="11"/>
      <c r="W50" s="6"/>
      <c r="X50" s="6"/>
      <c r="Y50" s="6"/>
      <c r="Z50" s="6"/>
      <c r="AA50" s="8"/>
      <c r="AB50" s="8"/>
      <c r="AC50" s="6"/>
      <c r="AD50" s="6"/>
      <c r="AE50" s="9"/>
    </row>
    <row r="51" spans="1:31" s="10" customFormat="1" ht="15.75" x14ac:dyDescent="0.25">
      <c r="A51" s="3">
        <v>47</v>
      </c>
      <c r="B51" s="3" t="s">
        <v>26</v>
      </c>
      <c r="C51" s="5" t="s">
        <v>1168</v>
      </c>
      <c r="D51" s="4" t="s">
        <v>1169</v>
      </c>
      <c r="E51" s="6">
        <v>37</v>
      </c>
      <c r="F51" s="6">
        <v>319</v>
      </c>
      <c r="G51" s="3">
        <v>138</v>
      </c>
      <c r="H51" s="3" t="s">
        <v>51</v>
      </c>
      <c r="I51" s="7">
        <v>45737</v>
      </c>
      <c r="J51" s="3"/>
      <c r="K51" s="3"/>
      <c r="L51" s="3" t="s">
        <v>1</v>
      </c>
      <c r="M51" s="3"/>
      <c r="N51" s="3"/>
      <c r="O51" s="3"/>
      <c r="P51" s="3"/>
      <c r="Q51" s="6" t="s">
        <v>133</v>
      </c>
      <c r="R51" s="7">
        <v>45828</v>
      </c>
      <c r="S51" s="7">
        <v>45835</v>
      </c>
      <c r="T51" s="7">
        <v>45835</v>
      </c>
      <c r="U51" s="6">
        <v>2008</v>
      </c>
      <c r="V51" s="11">
        <v>961551</v>
      </c>
      <c r="W51" s="6"/>
      <c r="X51" s="6"/>
      <c r="Y51" s="6"/>
      <c r="Z51" s="6"/>
      <c r="AA51" s="8"/>
      <c r="AB51" s="8"/>
      <c r="AC51" s="6"/>
      <c r="AD51" s="6"/>
      <c r="AE51" s="9"/>
    </row>
    <row r="52" spans="1:31" s="10" customFormat="1" ht="31.5" x14ac:dyDescent="0.25">
      <c r="A52" s="3">
        <v>48</v>
      </c>
      <c r="B52" s="3" t="s">
        <v>26</v>
      </c>
      <c r="C52" s="5" t="s">
        <v>1180</v>
      </c>
      <c r="D52" s="4" t="s">
        <v>1181</v>
      </c>
      <c r="E52" s="6">
        <v>35</v>
      </c>
      <c r="F52" s="6">
        <v>239</v>
      </c>
      <c r="G52" s="3">
        <v>99.9</v>
      </c>
      <c r="H52" s="3" t="s">
        <v>55</v>
      </c>
      <c r="I52" s="7">
        <v>45740</v>
      </c>
      <c r="J52" s="3"/>
      <c r="K52" s="3"/>
      <c r="L52" s="3"/>
      <c r="M52" s="3"/>
      <c r="N52" s="3"/>
      <c r="O52" s="3"/>
      <c r="P52" s="3" t="s">
        <v>52</v>
      </c>
      <c r="Q52" s="6" t="s">
        <v>133</v>
      </c>
      <c r="R52" s="7">
        <v>45765</v>
      </c>
      <c r="S52" s="7">
        <v>45769</v>
      </c>
      <c r="T52" s="7">
        <v>45769</v>
      </c>
      <c r="U52" s="6">
        <v>69</v>
      </c>
      <c r="V52" s="11">
        <v>2125468</v>
      </c>
      <c r="W52" s="6"/>
      <c r="X52" s="6"/>
      <c r="Y52" s="6"/>
      <c r="Z52" s="6"/>
      <c r="AA52" s="8"/>
      <c r="AB52" s="8"/>
      <c r="AC52" s="6" t="s">
        <v>1668</v>
      </c>
      <c r="AD52" s="6"/>
      <c r="AE52" s="9"/>
    </row>
    <row r="53" spans="1:31" s="10" customFormat="1" ht="63" x14ac:dyDescent="0.25">
      <c r="A53" s="3">
        <v>49</v>
      </c>
      <c r="B53" s="3" t="s">
        <v>26</v>
      </c>
      <c r="C53" s="5" t="s">
        <v>1226</v>
      </c>
      <c r="D53" s="4" t="s">
        <v>1227</v>
      </c>
      <c r="E53" s="6">
        <v>5</v>
      </c>
      <c r="F53" s="6">
        <v>62</v>
      </c>
      <c r="G53" s="3">
        <v>92.6</v>
      </c>
      <c r="H53" s="3" t="s">
        <v>55</v>
      </c>
      <c r="I53" s="7">
        <v>45741</v>
      </c>
      <c r="J53" s="3"/>
      <c r="K53" s="3"/>
      <c r="L53" s="3" t="s">
        <v>1</v>
      </c>
      <c r="M53" s="3"/>
      <c r="N53" s="3"/>
      <c r="O53" s="3"/>
      <c r="P53" s="3"/>
      <c r="Q53" s="6" t="s">
        <v>133</v>
      </c>
      <c r="R53" s="7">
        <v>45792</v>
      </c>
      <c r="S53" s="7">
        <v>45792</v>
      </c>
      <c r="T53" s="7">
        <v>45792</v>
      </c>
      <c r="U53" s="6">
        <v>643</v>
      </c>
      <c r="V53" s="11">
        <v>2125468</v>
      </c>
      <c r="W53" s="6"/>
      <c r="X53" s="6"/>
      <c r="Y53" s="6"/>
      <c r="Z53" s="6"/>
      <c r="AA53" s="8"/>
      <c r="AB53" s="8"/>
      <c r="AC53" s="6"/>
      <c r="AD53" s="6"/>
      <c r="AE53" s="9"/>
    </row>
    <row r="54" spans="1:31" s="10" customFormat="1" ht="35.25" customHeight="1" x14ac:dyDescent="0.25">
      <c r="A54" s="3">
        <v>50</v>
      </c>
      <c r="B54" s="3" t="s">
        <v>26</v>
      </c>
      <c r="C54" s="5" t="s">
        <v>1289</v>
      </c>
      <c r="D54" s="4" t="s">
        <v>1290</v>
      </c>
      <c r="E54" s="6">
        <v>41</v>
      </c>
      <c r="F54" s="6">
        <v>1068</v>
      </c>
      <c r="G54" s="3">
        <v>197.9</v>
      </c>
      <c r="H54" s="3" t="s">
        <v>51</v>
      </c>
      <c r="I54" s="7">
        <v>45743</v>
      </c>
      <c r="J54" s="3"/>
      <c r="K54" s="3" t="s">
        <v>62</v>
      </c>
      <c r="L54" s="3"/>
      <c r="M54" s="3"/>
      <c r="N54" s="3"/>
      <c r="O54" s="3"/>
      <c r="P54" s="3"/>
      <c r="Q54" s="6" t="s">
        <v>133</v>
      </c>
      <c r="R54" s="7">
        <v>45763</v>
      </c>
      <c r="S54" s="7">
        <v>45764</v>
      </c>
      <c r="T54" s="7">
        <v>45764</v>
      </c>
      <c r="U54" s="6">
        <v>2347</v>
      </c>
      <c r="V54" s="11">
        <v>809727</v>
      </c>
      <c r="W54" s="6"/>
      <c r="X54" s="6"/>
      <c r="Y54" s="6"/>
      <c r="Z54" s="6" t="s">
        <v>2170</v>
      </c>
      <c r="AA54" s="8" t="s">
        <v>2171</v>
      </c>
      <c r="AB54" s="8"/>
      <c r="AC54" s="6"/>
      <c r="AD54" s="6"/>
      <c r="AE54" s="9"/>
    </row>
    <row r="55" spans="1:31" ht="16.5" x14ac:dyDescent="0.25">
      <c r="A55" s="12"/>
      <c r="B55" s="73" t="s">
        <v>1258</v>
      </c>
      <c r="C55" s="74"/>
      <c r="D55" s="74"/>
      <c r="E55" s="74"/>
      <c r="F55" s="74"/>
      <c r="G55" s="74"/>
      <c r="H55" s="75"/>
      <c r="I55" s="13"/>
      <c r="J55" s="14">
        <f>COUNTIF(J39:J54,"IG")+COUNTIF(J54,"CN")+COUNTIF(J54,"TK")</f>
        <v>1</v>
      </c>
      <c r="K55" s="14">
        <f>COUNTIF(K39:K54,"CMĐ")</f>
        <v>4</v>
      </c>
      <c r="L55" s="14">
        <f>COUNTIF(L39:L54,"XMDT")+COUNTIF(L39:L54,"Mốc")</f>
        <v>7</v>
      </c>
      <c r="M55" s="14">
        <f>COUNTIF(M39:M54,"THÁn")</f>
        <v>1</v>
      </c>
      <c r="N55" s="14">
        <f>COUNTIF(N54,"TÒA")</f>
        <v>0</v>
      </c>
      <c r="O55" s="14">
        <f>COUNTIF(O38:O54,"Cấp GCN")</f>
        <v>0</v>
      </c>
      <c r="P55" s="14">
        <f>COUNTIF(P39:P54,"SHN")</f>
        <v>3</v>
      </c>
      <c r="Q55" s="15"/>
      <c r="R55" s="13"/>
      <c r="S55" s="15"/>
      <c r="T55" s="15"/>
      <c r="U55" s="16"/>
      <c r="V55" s="11"/>
      <c r="W55" s="17"/>
      <c r="X55" s="2"/>
      <c r="AD55" s="14">
        <f>COUNTIF(AD54,"kt")</f>
        <v>0</v>
      </c>
    </row>
    <row r="56" spans="1:31" s="10" customFormat="1" ht="47.25" x14ac:dyDescent="0.25">
      <c r="A56" s="3">
        <v>51</v>
      </c>
      <c r="B56" s="3" t="s">
        <v>26</v>
      </c>
      <c r="C56" s="5" t="s">
        <v>1320</v>
      </c>
      <c r="D56" s="4" t="s">
        <v>1321</v>
      </c>
      <c r="E56" s="6">
        <v>30</v>
      </c>
      <c r="F56" s="6">
        <v>22</v>
      </c>
      <c r="G56" s="3">
        <v>451.6</v>
      </c>
      <c r="H56" s="3" t="s">
        <v>51</v>
      </c>
      <c r="I56" s="7">
        <v>45747</v>
      </c>
      <c r="J56" s="3"/>
      <c r="K56" s="3"/>
      <c r="L56" s="3" t="s">
        <v>98</v>
      </c>
      <c r="M56" s="3"/>
      <c r="N56" s="3"/>
      <c r="O56" s="3"/>
      <c r="P56" s="3"/>
      <c r="Q56" s="6" t="s">
        <v>133</v>
      </c>
      <c r="R56" s="7">
        <v>45750</v>
      </c>
      <c r="S56" s="7">
        <v>45757</v>
      </c>
      <c r="T56" s="7">
        <v>45757</v>
      </c>
      <c r="U56" s="6">
        <v>2107</v>
      </c>
      <c r="V56" s="11">
        <v>2583973</v>
      </c>
      <c r="W56" s="6"/>
      <c r="X56" s="6"/>
      <c r="Y56" s="6"/>
      <c r="Z56" s="6"/>
      <c r="AA56" s="8"/>
      <c r="AB56" s="8"/>
      <c r="AC56" s="6" t="s">
        <v>1322</v>
      </c>
      <c r="AD56" s="6"/>
      <c r="AE56" s="9"/>
    </row>
    <row r="57" spans="1:31" s="10" customFormat="1" ht="31.5" x14ac:dyDescent="0.25">
      <c r="A57" s="3">
        <v>52</v>
      </c>
      <c r="B57" s="3" t="s">
        <v>26</v>
      </c>
      <c r="C57" s="5" t="s">
        <v>1327</v>
      </c>
      <c r="D57" s="4" t="s">
        <v>1328</v>
      </c>
      <c r="E57" s="6">
        <v>29</v>
      </c>
      <c r="F57" s="6">
        <v>139</v>
      </c>
      <c r="G57" s="3">
        <v>712.8</v>
      </c>
      <c r="H57" s="3" t="s">
        <v>75</v>
      </c>
      <c r="I57" s="7">
        <v>45747</v>
      </c>
      <c r="J57" s="3" t="s">
        <v>153</v>
      </c>
      <c r="K57" s="3"/>
      <c r="L57" s="3"/>
      <c r="M57" s="3"/>
      <c r="N57" s="3"/>
      <c r="O57" s="3"/>
      <c r="P57" s="3"/>
      <c r="Q57" s="6" t="s">
        <v>133</v>
      </c>
      <c r="R57" s="7">
        <v>45776</v>
      </c>
      <c r="S57" s="7">
        <v>45782</v>
      </c>
      <c r="T57" s="7">
        <v>45782</v>
      </c>
      <c r="U57" s="6">
        <v>342</v>
      </c>
      <c r="V57" s="11">
        <v>961551</v>
      </c>
      <c r="W57" s="6"/>
      <c r="X57" s="6"/>
      <c r="Y57" s="6"/>
      <c r="Z57" s="6" t="s">
        <v>1851</v>
      </c>
      <c r="AA57" s="8" t="s">
        <v>1852</v>
      </c>
      <c r="AB57" s="8"/>
      <c r="AC57" s="6"/>
      <c r="AD57" s="6"/>
      <c r="AE57" s="9"/>
    </row>
    <row r="58" spans="1:31" s="10" customFormat="1" ht="31.5" x14ac:dyDescent="0.25">
      <c r="A58" s="3">
        <v>53</v>
      </c>
      <c r="B58" s="3" t="s">
        <v>26</v>
      </c>
      <c r="C58" s="5" t="s">
        <v>1348</v>
      </c>
      <c r="D58" s="4" t="s">
        <v>1349</v>
      </c>
      <c r="E58" s="6">
        <v>13</v>
      </c>
      <c r="F58" s="6">
        <v>77</v>
      </c>
      <c r="G58" s="3">
        <v>802.2</v>
      </c>
      <c r="H58" s="3" t="s">
        <v>1350</v>
      </c>
      <c r="I58" s="7">
        <v>45744</v>
      </c>
      <c r="J58" s="3"/>
      <c r="K58" s="3"/>
      <c r="L58" s="3"/>
      <c r="M58" s="3"/>
      <c r="N58" s="3"/>
      <c r="O58" s="3"/>
      <c r="P58" s="3" t="s">
        <v>52</v>
      </c>
      <c r="Q58" s="6" t="s">
        <v>133</v>
      </c>
      <c r="R58" s="7"/>
      <c r="S58" s="7"/>
      <c r="T58" s="7"/>
      <c r="U58" s="6"/>
      <c r="V58" s="11"/>
      <c r="W58" s="6"/>
      <c r="X58" s="6"/>
      <c r="Y58" s="6"/>
      <c r="Z58" s="6"/>
      <c r="AA58" s="8"/>
      <c r="AB58" s="8"/>
      <c r="AC58" s="6" t="s">
        <v>1433</v>
      </c>
      <c r="AD58" s="6"/>
      <c r="AE58" s="9"/>
    </row>
    <row r="59" spans="1:31" s="10" customFormat="1" ht="63" x14ac:dyDescent="0.25">
      <c r="A59" s="3">
        <v>54</v>
      </c>
      <c r="B59" s="3" t="s">
        <v>26</v>
      </c>
      <c r="C59" s="5" t="s">
        <v>1404</v>
      </c>
      <c r="D59" s="4" t="s">
        <v>1405</v>
      </c>
      <c r="E59" s="6">
        <v>38</v>
      </c>
      <c r="F59" s="6">
        <v>557</v>
      </c>
      <c r="G59" s="3">
        <v>122.2</v>
      </c>
      <c r="H59" s="3" t="s">
        <v>55</v>
      </c>
      <c r="I59" s="7">
        <v>45750</v>
      </c>
      <c r="J59" s="3"/>
      <c r="K59" s="3"/>
      <c r="L59" s="3"/>
      <c r="M59" s="3"/>
      <c r="N59" s="3"/>
      <c r="O59" s="3"/>
      <c r="P59" s="3" t="s">
        <v>52</v>
      </c>
      <c r="Q59" s="6" t="s">
        <v>133</v>
      </c>
      <c r="R59" s="7"/>
      <c r="S59" s="7"/>
      <c r="T59" s="7"/>
      <c r="U59" s="6"/>
      <c r="V59" s="11"/>
      <c r="W59" s="6"/>
      <c r="X59" s="6"/>
      <c r="Y59" s="6"/>
      <c r="Z59" s="6"/>
      <c r="AA59" s="8"/>
      <c r="AB59" s="8"/>
      <c r="AC59" s="6" t="s">
        <v>2723</v>
      </c>
      <c r="AD59" s="6"/>
      <c r="AE59" s="9"/>
    </row>
    <row r="60" spans="1:31" s="10" customFormat="1" ht="47.25" x14ac:dyDescent="0.25">
      <c r="A60" s="3">
        <v>55</v>
      </c>
      <c r="B60" s="3" t="s">
        <v>26</v>
      </c>
      <c r="C60" s="5" t="s">
        <v>1439</v>
      </c>
      <c r="D60" s="4" t="s">
        <v>1440</v>
      </c>
      <c r="E60" s="6">
        <v>10</v>
      </c>
      <c r="F60" s="6">
        <v>277</v>
      </c>
      <c r="G60" s="3">
        <v>24.5</v>
      </c>
      <c r="H60" s="3" t="s">
        <v>55</v>
      </c>
      <c r="I60" s="7">
        <v>45751</v>
      </c>
      <c r="J60" s="3"/>
      <c r="K60" s="3"/>
      <c r="L60" s="3"/>
      <c r="M60" s="3"/>
      <c r="N60" s="3"/>
      <c r="O60" s="3"/>
      <c r="P60" s="3" t="s">
        <v>52</v>
      </c>
      <c r="Q60" s="6" t="s">
        <v>133</v>
      </c>
      <c r="R60" s="7"/>
      <c r="S60" s="7"/>
      <c r="T60" s="7"/>
      <c r="U60" s="6"/>
      <c r="V60" s="11"/>
      <c r="W60" s="6"/>
      <c r="X60" s="6"/>
      <c r="Y60" s="6"/>
      <c r="Z60" s="6"/>
      <c r="AA60" s="8"/>
      <c r="AB60" s="8"/>
      <c r="AC60" s="6" t="s">
        <v>1506</v>
      </c>
      <c r="AD60" s="6"/>
      <c r="AE60" s="9"/>
    </row>
    <row r="61" spans="1:31" s="10" customFormat="1" ht="31.5" x14ac:dyDescent="0.25">
      <c r="A61" s="3">
        <v>56</v>
      </c>
      <c r="B61" s="3" t="s">
        <v>26</v>
      </c>
      <c r="C61" s="5" t="s">
        <v>1447</v>
      </c>
      <c r="D61" s="4" t="s">
        <v>1448</v>
      </c>
      <c r="E61" s="6">
        <v>19</v>
      </c>
      <c r="F61" s="6">
        <v>6</v>
      </c>
      <c r="G61" s="3">
        <v>746.4</v>
      </c>
      <c r="H61" s="3" t="s">
        <v>75</v>
      </c>
      <c r="I61" s="7">
        <v>45755</v>
      </c>
      <c r="J61" s="3"/>
      <c r="K61" s="3" t="s">
        <v>62</v>
      </c>
      <c r="L61" s="3"/>
      <c r="M61" s="3"/>
      <c r="N61" s="3"/>
      <c r="O61" s="3"/>
      <c r="P61" s="3"/>
      <c r="Q61" s="6" t="s">
        <v>133</v>
      </c>
      <c r="R61" s="7"/>
      <c r="S61" s="7"/>
      <c r="T61" s="7"/>
      <c r="U61" s="6"/>
      <c r="V61" s="11"/>
      <c r="W61" s="6"/>
      <c r="X61" s="6"/>
      <c r="Y61" s="6"/>
      <c r="Z61" s="6"/>
      <c r="AA61" s="8"/>
      <c r="AB61" s="8"/>
      <c r="AC61" s="6" t="s">
        <v>2113</v>
      </c>
      <c r="AD61" s="6"/>
      <c r="AE61" s="9"/>
    </row>
    <row r="62" spans="1:31" s="10" customFormat="1" ht="78.75" x14ac:dyDescent="0.25">
      <c r="A62" s="3">
        <v>57</v>
      </c>
      <c r="B62" s="3" t="s">
        <v>26</v>
      </c>
      <c r="C62" s="5" t="s">
        <v>1467</v>
      </c>
      <c r="D62" s="4" t="s">
        <v>491</v>
      </c>
      <c r="E62" s="6">
        <v>7</v>
      </c>
      <c r="F62" s="6">
        <v>391</v>
      </c>
      <c r="G62" s="3">
        <v>45.2</v>
      </c>
      <c r="H62" s="3" t="s">
        <v>55</v>
      </c>
      <c r="I62" s="7">
        <v>45755</v>
      </c>
      <c r="J62" s="3"/>
      <c r="K62" s="3"/>
      <c r="L62" s="3"/>
      <c r="M62" s="3" t="s">
        <v>491</v>
      </c>
      <c r="N62" s="3"/>
      <c r="O62" s="3"/>
      <c r="P62" s="3"/>
      <c r="Q62" s="6" t="s">
        <v>133</v>
      </c>
      <c r="R62" s="7"/>
      <c r="S62" s="7"/>
      <c r="T62" s="7"/>
      <c r="U62" s="6"/>
      <c r="V62" s="11"/>
      <c r="W62" s="6"/>
      <c r="X62" s="6"/>
      <c r="Y62" s="6"/>
      <c r="Z62" s="6"/>
      <c r="AA62" s="8"/>
      <c r="AB62" s="8"/>
      <c r="AC62" s="6" t="s">
        <v>1468</v>
      </c>
      <c r="AD62" s="6"/>
      <c r="AE62" s="9"/>
    </row>
    <row r="63" spans="1:31" ht="16.5" x14ac:dyDescent="0.25">
      <c r="A63" s="12"/>
      <c r="B63" s="73" t="s">
        <v>1478</v>
      </c>
      <c r="C63" s="74"/>
      <c r="D63" s="74"/>
      <c r="E63" s="74"/>
      <c r="F63" s="74"/>
      <c r="G63" s="74"/>
      <c r="H63" s="75"/>
      <c r="I63" s="13"/>
      <c r="J63" s="14">
        <f>COUNTIF(J56:J62,"CQ")+COUNTIF(J56:J62,"CN")+COUNTIF(J56:J62,"TK")</f>
        <v>1</v>
      </c>
      <c r="K63" s="14">
        <f>COUNTIF(K56:K62,"CMĐ")</f>
        <v>1</v>
      </c>
      <c r="L63" s="14">
        <f>COUNTIF(L56:L62,"XMDT")+COUNTIF(L56:L62,"Mốc")</f>
        <v>1</v>
      </c>
      <c r="M63" s="14">
        <f>COUNTIF(M47:M62,"THÁn")</f>
        <v>1</v>
      </c>
      <c r="N63" s="14">
        <f>COUNTIF(N62,"TÒA")</f>
        <v>0</v>
      </c>
      <c r="O63" s="14">
        <f>COUNTIF(O46:O62,"Cấp GCN")</f>
        <v>0</v>
      </c>
      <c r="P63" s="14">
        <f>COUNTIF(P56:P62,"SHN")</f>
        <v>3</v>
      </c>
      <c r="Q63" s="15"/>
      <c r="R63" s="13"/>
      <c r="S63" s="15"/>
      <c r="T63" s="15"/>
      <c r="U63" s="16"/>
      <c r="V63" s="11"/>
      <c r="W63" s="17"/>
      <c r="X63" s="2"/>
      <c r="AD63" s="14">
        <f>COUNTIF(AD62,"kt")</f>
        <v>0</v>
      </c>
    </row>
    <row r="64" spans="1:31" s="10" customFormat="1" ht="15.75" x14ac:dyDescent="0.25">
      <c r="A64" s="3">
        <v>58</v>
      </c>
      <c r="B64" s="3" t="s">
        <v>26</v>
      </c>
      <c r="C64" s="5" t="s">
        <v>1484</v>
      </c>
      <c r="D64" s="4" t="s">
        <v>311</v>
      </c>
      <c r="E64" s="6">
        <v>26</v>
      </c>
      <c r="F64" s="6">
        <v>303</v>
      </c>
      <c r="G64" s="3">
        <v>2444</v>
      </c>
      <c r="H64" s="3" t="s">
        <v>51</v>
      </c>
      <c r="I64" s="7">
        <v>45756</v>
      </c>
      <c r="J64" s="3"/>
      <c r="K64" s="3" t="s">
        <v>62</v>
      </c>
      <c r="L64" s="3"/>
      <c r="M64" s="3"/>
      <c r="N64" s="3"/>
      <c r="O64" s="3"/>
      <c r="P64" s="3"/>
      <c r="Q64" s="6" t="s">
        <v>133</v>
      </c>
      <c r="R64" s="7"/>
      <c r="S64" s="7"/>
      <c r="T64" s="7"/>
      <c r="U64" s="6"/>
      <c r="V64" s="11"/>
      <c r="W64" s="6"/>
      <c r="X64" s="6"/>
      <c r="Y64" s="6"/>
      <c r="Z64" s="6"/>
      <c r="AA64" s="8"/>
      <c r="AB64" s="8"/>
      <c r="AC64" s="6"/>
      <c r="AD64" s="6"/>
      <c r="AE64" s="9"/>
    </row>
    <row r="65" spans="1:31" ht="16.5" x14ac:dyDescent="0.25">
      <c r="A65" s="12"/>
      <c r="B65" s="73" t="s">
        <v>1543</v>
      </c>
      <c r="C65" s="74"/>
      <c r="D65" s="74"/>
      <c r="E65" s="74"/>
      <c r="F65" s="74"/>
      <c r="G65" s="74"/>
      <c r="H65" s="75"/>
      <c r="I65" s="13"/>
      <c r="J65" s="14">
        <f>COUNTIF(J58:J64,"CQ")+COUNTIF(J58:J64,"CN")+COUNTIF(J58:J64,"TK")</f>
        <v>0</v>
      </c>
      <c r="K65" s="14">
        <f>COUNTIF(K64,"CMĐ")</f>
        <v>1</v>
      </c>
      <c r="L65" s="14">
        <f>COUNTIF(L58:L64,"XMDT")+COUNTIF(L58:L64,"Mốc")</f>
        <v>0</v>
      </c>
      <c r="M65" s="14">
        <f>COUNTIF(M64,"THÁn")</f>
        <v>0</v>
      </c>
      <c r="N65" s="14">
        <f>COUNTIF(N64,"TÒA")</f>
        <v>0</v>
      </c>
      <c r="O65" s="14">
        <f>COUNTIF(O48:O64,"Cấp GCN")</f>
        <v>0</v>
      </c>
      <c r="P65" s="14">
        <f>COUNTIF(P64,"SHN")</f>
        <v>0</v>
      </c>
      <c r="Q65" s="15"/>
      <c r="R65" s="13"/>
      <c r="S65" s="15"/>
      <c r="T65" s="15"/>
      <c r="U65" s="16"/>
      <c r="V65" s="11"/>
      <c r="W65" s="17"/>
      <c r="X65" s="2"/>
      <c r="AD65" s="14">
        <f>COUNTIF(AD64,"kt")</f>
        <v>0</v>
      </c>
    </row>
    <row r="66" spans="1:31" s="10" customFormat="1" ht="31.5" x14ac:dyDescent="0.25">
      <c r="A66" s="3">
        <v>59</v>
      </c>
      <c r="B66" s="3" t="s">
        <v>26</v>
      </c>
      <c r="C66" s="5" t="s">
        <v>444</v>
      </c>
      <c r="D66" s="4"/>
      <c r="E66" s="6">
        <v>38</v>
      </c>
      <c r="F66" s="6">
        <v>170</v>
      </c>
      <c r="G66" s="3">
        <v>78.7</v>
      </c>
      <c r="H66" s="3" t="s">
        <v>55</v>
      </c>
      <c r="I66" s="7">
        <v>45763</v>
      </c>
      <c r="J66" s="3"/>
      <c r="K66" s="3"/>
      <c r="L66" s="3"/>
      <c r="M66" s="3"/>
      <c r="N66" s="3"/>
      <c r="O66" s="3"/>
      <c r="P66" s="3" t="s">
        <v>52</v>
      </c>
      <c r="Q66" s="6" t="s">
        <v>133</v>
      </c>
      <c r="R66" s="7">
        <v>45783</v>
      </c>
      <c r="S66" s="7">
        <v>45786</v>
      </c>
      <c r="T66" s="7">
        <v>45786</v>
      </c>
      <c r="U66" s="6">
        <v>492</v>
      </c>
      <c r="V66" s="11">
        <v>2125468</v>
      </c>
      <c r="W66" s="6"/>
      <c r="X66" s="6"/>
      <c r="Y66" s="6"/>
      <c r="Z66" s="6"/>
      <c r="AA66" s="8"/>
      <c r="AB66" s="8"/>
      <c r="AC66" s="6" t="s">
        <v>1992</v>
      </c>
      <c r="AD66" s="6"/>
      <c r="AE66" s="9" t="s">
        <v>1604</v>
      </c>
    </row>
    <row r="67" spans="1:31" s="10" customFormat="1" ht="47.25" x14ac:dyDescent="0.25">
      <c r="A67" s="3">
        <v>60</v>
      </c>
      <c r="B67" s="3" t="s">
        <v>26</v>
      </c>
      <c r="C67" s="5" t="s">
        <v>1588</v>
      </c>
      <c r="D67" s="4" t="s">
        <v>1589</v>
      </c>
      <c r="E67" s="6">
        <v>41</v>
      </c>
      <c r="F67" s="6">
        <v>1100</v>
      </c>
      <c r="G67" s="3">
        <v>86.3</v>
      </c>
      <c r="H67" s="3" t="s">
        <v>55</v>
      </c>
      <c r="I67" s="7">
        <v>45763</v>
      </c>
      <c r="J67" s="3"/>
      <c r="K67" s="3"/>
      <c r="L67" s="3" t="s">
        <v>98</v>
      </c>
      <c r="M67" s="3"/>
      <c r="N67" s="3"/>
      <c r="O67" s="3"/>
      <c r="P67" s="3"/>
      <c r="Q67" s="6" t="s">
        <v>133</v>
      </c>
      <c r="R67" s="7">
        <v>45771</v>
      </c>
      <c r="S67" s="7">
        <v>45789</v>
      </c>
      <c r="T67" s="7">
        <v>45789</v>
      </c>
      <c r="U67" s="20">
        <v>543</v>
      </c>
      <c r="V67" s="11">
        <v>2409508</v>
      </c>
      <c r="W67" s="6"/>
      <c r="X67" s="6"/>
      <c r="Y67" s="6"/>
      <c r="Z67" s="6"/>
      <c r="AA67" s="8"/>
      <c r="AB67" s="8"/>
      <c r="AC67" s="6" t="s">
        <v>1590</v>
      </c>
      <c r="AD67" s="6"/>
      <c r="AE67" s="9"/>
    </row>
    <row r="68" spans="1:31" s="10" customFormat="1" ht="33.75" customHeight="1" x14ac:dyDescent="0.25">
      <c r="A68" s="3">
        <v>61</v>
      </c>
      <c r="B68" s="3" t="s">
        <v>26</v>
      </c>
      <c r="C68" s="5" t="s">
        <v>1597</v>
      </c>
      <c r="D68" s="4"/>
      <c r="E68" s="6">
        <v>35</v>
      </c>
      <c r="F68" s="6">
        <v>406</v>
      </c>
      <c r="G68" s="3">
        <v>112.3</v>
      </c>
      <c r="H68" s="3" t="s">
        <v>55</v>
      </c>
      <c r="I68" s="7">
        <v>45763</v>
      </c>
      <c r="J68" s="3"/>
      <c r="K68" s="3"/>
      <c r="L68" s="3"/>
      <c r="M68" s="3"/>
      <c r="N68" s="3"/>
      <c r="O68" s="3"/>
      <c r="P68" s="3" t="s">
        <v>52</v>
      </c>
      <c r="Q68" s="6" t="s">
        <v>133</v>
      </c>
      <c r="R68" s="7">
        <v>45783</v>
      </c>
      <c r="S68" s="7">
        <v>45786</v>
      </c>
      <c r="T68" s="7">
        <v>45786</v>
      </c>
      <c r="U68" s="6">
        <v>493</v>
      </c>
      <c r="V68" s="11">
        <v>2258309</v>
      </c>
      <c r="W68" s="6"/>
      <c r="X68" s="6"/>
      <c r="Y68" s="6"/>
      <c r="Z68" s="6"/>
      <c r="AA68" s="8"/>
      <c r="AB68" s="8"/>
      <c r="AC68" s="6" t="s">
        <v>1992</v>
      </c>
      <c r="AD68" s="6"/>
      <c r="AE68" s="9" t="s">
        <v>1284</v>
      </c>
    </row>
    <row r="69" spans="1:31" s="10" customFormat="1" ht="47.25" x14ac:dyDescent="0.25">
      <c r="A69" s="3">
        <v>62</v>
      </c>
      <c r="B69" s="3" t="s">
        <v>26</v>
      </c>
      <c r="C69" s="5" t="s">
        <v>566</v>
      </c>
      <c r="D69" s="4" t="s">
        <v>567</v>
      </c>
      <c r="E69" s="6">
        <v>32</v>
      </c>
      <c r="F69" s="6">
        <v>949</v>
      </c>
      <c r="G69" s="3">
        <v>446</v>
      </c>
      <c r="H69" s="3" t="s">
        <v>51</v>
      </c>
      <c r="I69" s="7">
        <v>45763</v>
      </c>
      <c r="J69" s="3"/>
      <c r="K69" s="3"/>
      <c r="L69" s="3" t="s">
        <v>98</v>
      </c>
      <c r="M69" s="3"/>
      <c r="N69" s="3"/>
      <c r="O69" s="3"/>
      <c r="P69" s="3"/>
      <c r="Q69" s="6" t="s">
        <v>133</v>
      </c>
      <c r="R69" s="7">
        <v>45774</v>
      </c>
      <c r="S69" s="7">
        <v>45804</v>
      </c>
      <c r="T69" s="7">
        <v>45804</v>
      </c>
      <c r="U69" s="6">
        <v>982</v>
      </c>
      <c r="V69" s="11">
        <v>2758439</v>
      </c>
      <c r="W69" s="6"/>
      <c r="X69" s="6"/>
      <c r="Y69" s="6"/>
      <c r="Z69" s="6"/>
      <c r="AA69" s="8"/>
      <c r="AB69" s="8"/>
      <c r="AC69" s="6" t="s">
        <v>1598</v>
      </c>
      <c r="AD69" s="6"/>
      <c r="AE69" s="9"/>
    </row>
    <row r="70" spans="1:31" s="10" customFormat="1" ht="47.25" x14ac:dyDescent="0.25">
      <c r="A70" s="3">
        <v>63</v>
      </c>
      <c r="B70" s="3" t="s">
        <v>26</v>
      </c>
      <c r="C70" s="5" t="s">
        <v>183</v>
      </c>
      <c r="D70" s="4" t="s">
        <v>567</v>
      </c>
      <c r="E70" s="6">
        <v>16</v>
      </c>
      <c r="F70" s="6">
        <v>107</v>
      </c>
      <c r="G70" s="3">
        <v>295.5</v>
      </c>
      <c r="H70" s="3" t="s">
        <v>75</v>
      </c>
      <c r="I70" s="7">
        <v>45763</v>
      </c>
      <c r="J70" s="3"/>
      <c r="K70" s="3"/>
      <c r="L70" s="3" t="s">
        <v>98</v>
      </c>
      <c r="M70" s="3"/>
      <c r="N70" s="3"/>
      <c r="O70" s="3"/>
      <c r="P70" s="3"/>
      <c r="Q70" s="6" t="s">
        <v>133</v>
      </c>
      <c r="R70" s="7"/>
      <c r="S70" s="7"/>
      <c r="T70" s="7"/>
      <c r="U70" s="6"/>
      <c r="V70" s="11"/>
      <c r="W70" s="6"/>
      <c r="X70" s="6"/>
      <c r="Y70" s="6"/>
      <c r="Z70" s="6"/>
      <c r="AA70" s="8" t="s">
        <v>1784</v>
      </c>
      <c r="AB70" s="8" t="s">
        <v>1759</v>
      </c>
      <c r="AC70" s="6" t="s">
        <v>1599</v>
      </c>
      <c r="AD70" s="6"/>
      <c r="AE70" s="9"/>
    </row>
    <row r="71" spans="1:31" s="10" customFormat="1" ht="15.75" x14ac:dyDescent="0.25">
      <c r="A71" s="3">
        <v>64</v>
      </c>
      <c r="B71" s="3" t="s">
        <v>26</v>
      </c>
      <c r="C71" s="5" t="s">
        <v>1633</v>
      </c>
      <c r="D71" s="4" t="s">
        <v>1634</v>
      </c>
      <c r="E71" s="6">
        <v>35</v>
      </c>
      <c r="F71" s="6">
        <v>578</v>
      </c>
      <c r="G71" s="3">
        <v>90</v>
      </c>
      <c r="H71" s="3" t="s">
        <v>55</v>
      </c>
      <c r="I71" s="7">
        <v>45764</v>
      </c>
      <c r="J71" s="3"/>
      <c r="K71" s="3"/>
      <c r="L71" s="3"/>
      <c r="M71" s="3"/>
      <c r="N71" s="3"/>
      <c r="O71" s="3"/>
      <c r="P71" s="3" t="s">
        <v>52</v>
      </c>
      <c r="Q71" s="6" t="s">
        <v>133</v>
      </c>
      <c r="R71" s="7">
        <v>45832</v>
      </c>
      <c r="S71" s="7"/>
      <c r="T71" s="7"/>
      <c r="U71" s="6"/>
      <c r="V71" s="11"/>
      <c r="W71" s="6"/>
      <c r="X71" s="6"/>
      <c r="Y71" s="6"/>
      <c r="Z71" s="6"/>
      <c r="AA71" s="8"/>
      <c r="AB71" s="8"/>
      <c r="AC71" s="6"/>
      <c r="AD71" s="6"/>
      <c r="AE71" s="9"/>
    </row>
    <row r="72" spans="1:31" ht="16.5" x14ac:dyDescent="0.25">
      <c r="A72" s="12"/>
      <c r="B72" s="73" t="s">
        <v>1656</v>
      </c>
      <c r="C72" s="74"/>
      <c r="D72" s="74"/>
      <c r="E72" s="74"/>
      <c r="F72" s="74"/>
      <c r="G72" s="74"/>
      <c r="H72" s="75"/>
      <c r="I72" s="13"/>
      <c r="J72" s="14">
        <f>COUNTIF(J65:J71,"CQ")+COUNTIF(J65:J71,"CN")+COUNTIF(J65:J71,"TK")</f>
        <v>0</v>
      </c>
      <c r="K72" s="14">
        <f>COUNTIF(K71,"CMĐ")</f>
        <v>0</v>
      </c>
      <c r="L72" s="14">
        <f>COUNTIF(L65:L71,"XMDT")+COUNTIF(L65:L71,"Mốc")</f>
        <v>3</v>
      </c>
      <c r="M72" s="14">
        <f>COUNTIF(M71,"THÁn")</f>
        <v>0</v>
      </c>
      <c r="N72" s="14">
        <f>COUNTIF(N71,"TÒA")</f>
        <v>0</v>
      </c>
      <c r="O72" s="14">
        <f>COUNTIF(O55:O71,"Cấp GCN")</f>
        <v>0</v>
      </c>
      <c r="P72" s="14">
        <f>COUNTIF(P66:P71,"SHN")</f>
        <v>3</v>
      </c>
      <c r="Q72" s="15"/>
      <c r="R72" s="13"/>
      <c r="S72" s="15"/>
      <c r="T72" s="15"/>
      <c r="U72" s="16"/>
      <c r="V72" s="11"/>
      <c r="W72" s="17"/>
      <c r="X72" s="2"/>
      <c r="AD72" s="14">
        <f>COUNTIF(AD71,"kt")</f>
        <v>0</v>
      </c>
    </row>
    <row r="73" spans="1:31" s="10" customFormat="1" ht="31.5" x14ac:dyDescent="0.25">
      <c r="A73" s="3">
        <v>65</v>
      </c>
      <c r="B73" s="3" t="s">
        <v>26</v>
      </c>
      <c r="C73" s="5" t="s">
        <v>503</v>
      </c>
      <c r="D73" s="4" t="s">
        <v>504</v>
      </c>
      <c r="E73" s="6">
        <v>35</v>
      </c>
      <c r="F73" s="6">
        <v>554</v>
      </c>
      <c r="G73" s="3">
        <v>89.9</v>
      </c>
      <c r="H73" s="3" t="s">
        <v>55</v>
      </c>
      <c r="I73" s="7">
        <v>45769</v>
      </c>
      <c r="J73" s="3"/>
      <c r="K73" s="3"/>
      <c r="L73" s="3"/>
      <c r="M73" s="3"/>
      <c r="N73" s="3"/>
      <c r="O73" s="3"/>
      <c r="P73" s="3" t="s">
        <v>52</v>
      </c>
      <c r="Q73" s="6" t="s">
        <v>133</v>
      </c>
      <c r="R73" s="7">
        <v>45775</v>
      </c>
      <c r="S73" s="7">
        <v>45775</v>
      </c>
      <c r="T73" s="7">
        <v>45775</v>
      </c>
      <c r="U73" s="6">
        <v>257</v>
      </c>
      <c r="V73" s="11">
        <v>2125468</v>
      </c>
      <c r="W73" s="6"/>
      <c r="X73" s="6"/>
      <c r="Y73" s="6"/>
      <c r="Z73" s="6"/>
      <c r="AA73" s="8"/>
      <c r="AB73" s="8" t="s">
        <v>1792</v>
      </c>
      <c r="AC73" s="6"/>
      <c r="AD73" s="6"/>
      <c r="AE73" s="9"/>
    </row>
    <row r="74" spans="1:31" s="10" customFormat="1" ht="63" x14ac:dyDescent="0.25">
      <c r="A74" s="3">
        <v>66</v>
      </c>
      <c r="B74" s="3" t="s">
        <v>26</v>
      </c>
      <c r="C74" s="5" t="s">
        <v>1745</v>
      </c>
      <c r="D74" s="4" t="s">
        <v>491</v>
      </c>
      <c r="E74" s="6">
        <v>32</v>
      </c>
      <c r="F74" s="6">
        <v>396</v>
      </c>
      <c r="G74" s="3">
        <v>295.60000000000002</v>
      </c>
      <c r="H74" s="3" t="s">
        <v>51</v>
      </c>
      <c r="I74" s="7">
        <v>45772</v>
      </c>
      <c r="J74" s="3"/>
      <c r="K74" s="3"/>
      <c r="L74" s="3"/>
      <c r="M74" s="3" t="s">
        <v>491</v>
      </c>
      <c r="N74" s="3"/>
      <c r="O74" s="3"/>
      <c r="P74" s="3"/>
      <c r="Q74" s="6" t="s">
        <v>133</v>
      </c>
      <c r="R74" s="7"/>
      <c r="S74" s="7"/>
      <c r="T74" s="7"/>
      <c r="U74" s="6"/>
      <c r="V74" s="11"/>
      <c r="W74" s="6"/>
      <c r="X74" s="6"/>
      <c r="Y74" s="6"/>
      <c r="Z74" s="6"/>
      <c r="AA74" s="8"/>
      <c r="AB74" s="8"/>
      <c r="AC74" s="6" t="s">
        <v>1746</v>
      </c>
      <c r="AD74" s="6"/>
      <c r="AE74" s="9"/>
    </row>
    <row r="75" spans="1:31" ht="16.5" x14ac:dyDescent="0.25">
      <c r="A75" s="12"/>
      <c r="B75" s="73" t="s">
        <v>1782</v>
      </c>
      <c r="C75" s="74"/>
      <c r="D75" s="74"/>
      <c r="E75" s="74"/>
      <c r="F75" s="74"/>
      <c r="G75" s="74"/>
      <c r="H75" s="75"/>
      <c r="I75" s="13"/>
      <c r="J75" s="14">
        <f>COUNTIF(J68:J74,"CQ")+COUNTIF(J68:J74,"CN")+COUNTIF(J68:J74,"TK")</f>
        <v>0</v>
      </c>
      <c r="K75" s="14">
        <f>COUNTIF(K74,"CMĐ")</f>
        <v>0</v>
      </c>
      <c r="L75" s="14">
        <f>COUNTIF(L73:L74,"XMDT")+COUNTIF(L73:L74,"Mốc")</f>
        <v>0</v>
      </c>
      <c r="M75" s="14">
        <f>COUNTIF(M73:M74,"THÁn")</f>
        <v>1</v>
      </c>
      <c r="N75" s="14">
        <f>COUNTIF(N74,"TÒA")</f>
        <v>0</v>
      </c>
      <c r="O75" s="14">
        <f>COUNTIF(O58:O74,"Cấp GCN")</f>
        <v>0</v>
      </c>
      <c r="P75" s="14">
        <f>COUNTIF(P73:P74,"SHN")</f>
        <v>1</v>
      </c>
      <c r="Q75" s="15"/>
      <c r="R75" s="13"/>
      <c r="S75" s="15"/>
      <c r="T75" s="15"/>
      <c r="U75" s="16"/>
      <c r="V75" s="11"/>
      <c r="W75" s="17"/>
      <c r="X75" s="2"/>
      <c r="AD75" s="14">
        <f>COUNTIF(AD74,"kt")</f>
        <v>0</v>
      </c>
    </row>
    <row r="76" spans="1:31" s="10" customFormat="1" ht="47.25" x14ac:dyDescent="0.25">
      <c r="A76" s="3">
        <v>67</v>
      </c>
      <c r="B76" s="3" t="s">
        <v>26</v>
      </c>
      <c r="C76" s="5" t="s">
        <v>1789</v>
      </c>
      <c r="D76" s="4" t="s">
        <v>1790</v>
      </c>
      <c r="E76" s="6">
        <v>35</v>
      </c>
      <c r="F76" s="6">
        <v>499</v>
      </c>
      <c r="G76" s="3">
        <v>200</v>
      </c>
      <c r="H76" s="3" t="s">
        <v>55</v>
      </c>
      <c r="I76" s="7">
        <v>45775</v>
      </c>
      <c r="J76" s="3"/>
      <c r="K76" s="3"/>
      <c r="L76" s="3" t="s">
        <v>98</v>
      </c>
      <c r="M76" s="3"/>
      <c r="N76" s="3"/>
      <c r="O76" s="3"/>
      <c r="P76" s="3"/>
      <c r="Q76" s="6" t="s">
        <v>133</v>
      </c>
      <c r="R76" s="7">
        <v>45783</v>
      </c>
      <c r="S76" s="7">
        <v>45804</v>
      </c>
      <c r="T76" s="7">
        <v>45804</v>
      </c>
      <c r="U76" s="6">
        <v>988</v>
      </c>
      <c r="V76" s="11">
        <v>2583973</v>
      </c>
      <c r="W76" s="6"/>
      <c r="X76" s="6"/>
      <c r="Y76" s="6"/>
      <c r="Z76" s="6"/>
      <c r="AA76" s="8"/>
      <c r="AB76" s="8"/>
      <c r="AC76" s="6" t="s">
        <v>1791</v>
      </c>
      <c r="AD76" s="6"/>
      <c r="AE76" s="9"/>
    </row>
    <row r="77" spans="1:31" s="10" customFormat="1" ht="63" x14ac:dyDescent="0.25">
      <c r="A77" s="3">
        <v>68</v>
      </c>
      <c r="B77" s="3" t="s">
        <v>26</v>
      </c>
      <c r="C77" s="5" t="s">
        <v>1798</v>
      </c>
      <c r="D77" s="4" t="s">
        <v>491</v>
      </c>
      <c r="E77" s="6">
        <v>36</v>
      </c>
      <c r="F77" s="6">
        <v>21</v>
      </c>
      <c r="G77" s="3">
        <v>318.10000000000002</v>
      </c>
      <c r="H77" s="3" t="s">
        <v>75</v>
      </c>
      <c r="I77" s="7">
        <v>45776</v>
      </c>
      <c r="J77" s="3"/>
      <c r="K77" s="3"/>
      <c r="L77" s="3"/>
      <c r="M77" s="3" t="s">
        <v>491</v>
      </c>
      <c r="N77" s="3"/>
      <c r="O77" s="3"/>
      <c r="P77" s="3"/>
      <c r="Q77" s="6" t="s">
        <v>133</v>
      </c>
      <c r="R77" s="7"/>
      <c r="S77" s="7"/>
      <c r="T77" s="7"/>
      <c r="U77" s="6"/>
      <c r="V77" s="11"/>
      <c r="W77" s="6"/>
      <c r="X77" s="6"/>
      <c r="Y77" s="6"/>
      <c r="Z77" s="6"/>
      <c r="AA77" s="8"/>
      <c r="AB77" s="8"/>
      <c r="AC77" s="6" t="s">
        <v>1799</v>
      </c>
      <c r="AD77" s="6"/>
      <c r="AE77" s="9"/>
    </row>
    <row r="78" spans="1:31" s="10" customFormat="1" ht="15.75" x14ac:dyDescent="0.25">
      <c r="A78" s="3">
        <v>69</v>
      </c>
      <c r="B78" s="3" t="s">
        <v>26</v>
      </c>
      <c r="C78" s="5" t="s">
        <v>1807</v>
      </c>
      <c r="D78" s="4" t="s">
        <v>1810</v>
      </c>
      <c r="E78" s="6">
        <v>35</v>
      </c>
      <c r="F78" s="6">
        <v>286</v>
      </c>
      <c r="G78" s="3">
        <v>100</v>
      </c>
      <c r="H78" s="3" t="s">
        <v>55</v>
      </c>
      <c r="I78" s="7">
        <v>45782</v>
      </c>
      <c r="J78" s="3"/>
      <c r="K78" s="3"/>
      <c r="L78" s="3"/>
      <c r="M78" s="3"/>
      <c r="N78" s="3"/>
      <c r="O78" s="3"/>
      <c r="P78" s="3" t="s">
        <v>52</v>
      </c>
      <c r="Q78" s="6" t="s">
        <v>133</v>
      </c>
      <c r="R78" s="7">
        <v>45827</v>
      </c>
      <c r="S78" s="7"/>
      <c r="T78" s="7"/>
      <c r="U78" s="6"/>
      <c r="V78" s="11"/>
      <c r="W78" s="6"/>
      <c r="X78" s="6"/>
      <c r="Y78" s="6"/>
      <c r="Z78" s="6"/>
      <c r="AA78" s="8"/>
      <c r="AB78" s="8"/>
      <c r="AC78" s="6"/>
      <c r="AD78" s="6"/>
      <c r="AE78" s="9"/>
    </row>
    <row r="79" spans="1:31" s="10" customFormat="1" ht="47.25" x14ac:dyDescent="0.25">
      <c r="A79" s="3">
        <v>70</v>
      </c>
      <c r="B79" s="3" t="s">
        <v>26</v>
      </c>
      <c r="C79" s="5" t="s">
        <v>1808</v>
      </c>
      <c r="D79" s="4" t="s">
        <v>1809</v>
      </c>
      <c r="E79" s="6">
        <v>35</v>
      </c>
      <c r="F79" s="6" t="s">
        <v>1811</v>
      </c>
      <c r="G79" s="6" t="s">
        <v>1812</v>
      </c>
      <c r="H79" s="3" t="s">
        <v>55</v>
      </c>
      <c r="I79" s="7">
        <v>45782</v>
      </c>
      <c r="J79" s="3"/>
      <c r="K79" s="3"/>
      <c r="L79" s="3" t="s">
        <v>98</v>
      </c>
      <c r="M79" s="3"/>
      <c r="N79" s="3"/>
      <c r="O79" s="3"/>
      <c r="P79" s="3"/>
      <c r="Q79" s="6" t="s">
        <v>133</v>
      </c>
      <c r="R79" s="7">
        <v>45783</v>
      </c>
      <c r="S79" s="7">
        <v>45804</v>
      </c>
      <c r="T79" s="7">
        <v>45804</v>
      </c>
      <c r="U79" s="6">
        <v>992</v>
      </c>
      <c r="V79" s="11">
        <v>4819016</v>
      </c>
      <c r="W79" s="6"/>
      <c r="X79" s="6"/>
      <c r="Y79" s="6"/>
      <c r="Z79" s="6"/>
      <c r="AA79" s="8"/>
      <c r="AB79" s="8"/>
      <c r="AC79" s="6" t="s">
        <v>1813</v>
      </c>
      <c r="AD79" s="6"/>
      <c r="AE79" s="9"/>
    </row>
    <row r="80" spans="1:31" s="10" customFormat="1" ht="31.5" x14ac:dyDescent="0.25">
      <c r="A80" s="3">
        <v>71</v>
      </c>
      <c r="B80" s="3" t="s">
        <v>26</v>
      </c>
      <c r="C80" s="5" t="s">
        <v>429</v>
      </c>
      <c r="D80" s="4" t="s">
        <v>430</v>
      </c>
      <c r="E80" s="6">
        <v>35</v>
      </c>
      <c r="F80" s="6">
        <v>544</v>
      </c>
      <c r="G80" s="3">
        <v>89.9</v>
      </c>
      <c r="H80" s="3" t="s">
        <v>55</v>
      </c>
      <c r="I80" s="7">
        <v>45784</v>
      </c>
      <c r="J80" s="3"/>
      <c r="K80" s="3"/>
      <c r="L80" s="3"/>
      <c r="M80" s="3"/>
      <c r="N80" s="3"/>
      <c r="O80" s="3"/>
      <c r="P80" s="3" t="s">
        <v>52</v>
      </c>
      <c r="Q80" s="6" t="s">
        <v>133</v>
      </c>
      <c r="R80" s="7">
        <v>45807</v>
      </c>
      <c r="S80" s="7">
        <v>45810</v>
      </c>
      <c r="T80" s="7">
        <v>45810</v>
      </c>
      <c r="U80" s="6">
        <v>1150</v>
      </c>
      <c r="V80" s="11">
        <v>2125468</v>
      </c>
      <c r="W80" s="6"/>
      <c r="X80" s="6"/>
      <c r="Y80" s="6"/>
      <c r="Z80" s="6"/>
      <c r="AA80" s="8"/>
      <c r="AB80" s="8"/>
      <c r="AC80" s="6" t="s">
        <v>2318</v>
      </c>
      <c r="AD80" s="6"/>
      <c r="AE80" s="9"/>
    </row>
    <row r="81" spans="1:31" s="10" customFormat="1" ht="31.5" x14ac:dyDescent="0.25">
      <c r="A81" s="3">
        <v>72</v>
      </c>
      <c r="B81" s="3" t="s">
        <v>26</v>
      </c>
      <c r="C81" s="5" t="s">
        <v>429</v>
      </c>
      <c r="D81" s="4" t="s">
        <v>430</v>
      </c>
      <c r="E81" s="6">
        <v>35</v>
      </c>
      <c r="F81" s="6">
        <v>543</v>
      </c>
      <c r="G81" s="3">
        <v>89.9</v>
      </c>
      <c r="H81" s="3" t="s">
        <v>55</v>
      </c>
      <c r="I81" s="7">
        <v>45784</v>
      </c>
      <c r="J81" s="3"/>
      <c r="K81" s="3"/>
      <c r="L81" s="3"/>
      <c r="M81" s="3"/>
      <c r="N81" s="3"/>
      <c r="O81" s="3"/>
      <c r="P81" s="3" t="s">
        <v>52</v>
      </c>
      <c r="Q81" s="6" t="s">
        <v>133</v>
      </c>
      <c r="R81" s="7">
        <v>45807</v>
      </c>
      <c r="S81" s="7">
        <v>45810</v>
      </c>
      <c r="T81" s="7">
        <v>45810</v>
      </c>
      <c r="U81" s="6">
        <v>1149</v>
      </c>
      <c r="V81" s="11">
        <v>2125468</v>
      </c>
      <c r="W81" s="6"/>
      <c r="X81" s="6"/>
      <c r="Y81" s="6"/>
      <c r="Z81" s="6"/>
      <c r="AA81" s="8"/>
      <c r="AB81" s="8"/>
      <c r="AC81" s="6" t="s">
        <v>2318</v>
      </c>
      <c r="AD81" s="6"/>
      <c r="AE81" s="9"/>
    </row>
    <row r="82" spans="1:31" s="10" customFormat="1" ht="63" x14ac:dyDescent="0.25">
      <c r="A82" s="3">
        <v>73</v>
      </c>
      <c r="B82" s="3" t="s">
        <v>26</v>
      </c>
      <c r="C82" s="5" t="s">
        <v>1876</v>
      </c>
      <c r="D82" s="4" t="s">
        <v>1877</v>
      </c>
      <c r="E82" s="6">
        <v>13</v>
      </c>
      <c r="F82" s="6">
        <v>40</v>
      </c>
      <c r="G82" s="3">
        <v>218</v>
      </c>
      <c r="H82" s="3" t="s">
        <v>75</v>
      </c>
      <c r="I82" s="7">
        <v>45784</v>
      </c>
      <c r="J82" s="3"/>
      <c r="K82" s="3"/>
      <c r="L82" s="3" t="s">
        <v>98</v>
      </c>
      <c r="M82" s="3"/>
      <c r="N82" s="3"/>
      <c r="O82" s="3"/>
      <c r="P82" s="3"/>
      <c r="Q82" s="6" t="s">
        <v>133</v>
      </c>
      <c r="R82" s="7">
        <v>45799</v>
      </c>
      <c r="S82" s="7">
        <v>45804</v>
      </c>
      <c r="T82" s="7">
        <v>45804</v>
      </c>
      <c r="U82" s="6">
        <v>1001</v>
      </c>
      <c r="V82" s="11">
        <v>2583973</v>
      </c>
      <c r="W82" s="6"/>
      <c r="X82" s="6"/>
      <c r="Y82" s="6"/>
      <c r="Z82" s="6"/>
      <c r="AA82" s="8"/>
      <c r="AB82" s="8"/>
      <c r="AC82" s="6" t="s">
        <v>1878</v>
      </c>
      <c r="AD82" s="6"/>
      <c r="AE82" s="9"/>
    </row>
    <row r="83" spans="1:31" s="10" customFormat="1" ht="31.5" x14ac:dyDescent="0.25">
      <c r="A83" s="3">
        <v>74</v>
      </c>
      <c r="B83" s="3" t="s">
        <v>26</v>
      </c>
      <c r="C83" s="5" t="s">
        <v>258</v>
      </c>
      <c r="D83" s="4"/>
      <c r="E83" s="6">
        <v>37</v>
      </c>
      <c r="F83" s="6">
        <v>194</v>
      </c>
      <c r="G83" s="3">
        <v>230.3</v>
      </c>
      <c r="H83" s="3" t="s">
        <v>75</v>
      </c>
      <c r="I83" s="7">
        <v>45785</v>
      </c>
      <c r="J83" s="3" t="s">
        <v>153</v>
      </c>
      <c r="K83" s="3"/>
      <c r="L83" s="3"/>
      <c r="M83" s="3"/>
      <c r="N83" s="3"/>
      <c r="O83" s="3"/>
      <c r="P83" s="3"/>
      <c r="Q83" s="6" t="s">
        <v>133</v>
      </c>
      <c r="R83" s="7">
        <v>45798</v>
      </c>
      <c r="S83" s="7">
        <v>45798</v>
      </c>
      <c r="T83" s="7">
        <v>45798</v>
      </c>
      <c r="U83" s="20">
        <v>787</v>
      </c>
      <c r="V83" s="11">
        <v>961551</v>
      </c>
      <c r="W83" s="6"/>
      <c r="X83" s="6"/>
      <c r="Y83" s="6"/>
      <c r="Z83" s="6" t="s">
        <v>2210</v>
      </c>
      <c r="AA83" s="8" t="s">
        <v>2211</v>
      </c>
      <c r="AB83" s="8"/>
      <c r="AC83" s="6"/>
      <c r="AD83" s="6"/>
      <c r="AE83" s="9" t="s">
        <v>261</v>
      </c>
    </row>
    <row r="84" spans="1:31" ht="16.5" x14ac:dyDescent="0.25">
      <c r="A84" s="12"/>
      <c r="B84" s="73" t="s">
        <v>1919</v>
      </c>
      <c r="C84" s="74"/>
      <c r="D84" s="74"/>
      <c r="E84" s="74"/>
      <c r="F84" s="74"/>
      <c r="G84" s="74"/>
      <c r="H84" s="75"/>
      <c r="I84" s="13"/>
      <c r="J84" s="14">
        <f>COUNTIF(J77:J83,"CQ")+COUNTIF(J77:J83,"CN")+COUNTIF(J77:J83,"TK")</f>
        <v>1</v>
      </c>
      <c r="K84" s="14">
        <f>COUNTIF(K83,"CMĐ")</f>
        <v>0</v>
      </c>
      <c r="L84" s="14">
        <f>COUNTIF(L76:L83,"XMDT")+COUNTIF(L76:L83,"Mốc")</f>
        <v>3</v>
      </c>
      <c r="M84" s="14">
        <f>COUNTIF(M76:M83,"THÁn")</f>
        <v>1</v>
      </c>
      <c r="N84" s="14">
        <f>COUNTIF(N83,"TÒA")</f>
        <v>0</v>
      </c>
      <c r="O84" s="14">
        <f>COUNTIF(O67:O83,"Cấp GCN")</f>
        <v>0</v>
      </c>
      <c r="P84" s="14">
        <f>COUNTIF(P76:P83,"SHN")</f>
        <v>3</v>
      </c>
      <c r="Q84" s="15"/>
      <c r="R84" s="13"/>
      <c r="S84" s="15"/>
      <c r="T84" s="15"/>
      <c r="U84" s="16"/>
      <c r="V84" s="11"/>
      <c r="W84" s="17"/>
      <c r="X84" s="2"/>
      <c r="AD84" s="14">
        <f>COUNTIF(AD83,"kt")</f>
        <v>0</v>
      </c>
    </row>
    <row r="85" spans="1:31" s="10" customFormat="1" ht="63" x14ac:dyDescent="0.25">
      <c r="A85" s="3">
        <v>75</v>
      </c>
      <c r="B85" s="3" t="s">
        <v>26</v>
      </c>
      <c r="C85" s="5" t="s">
        <v>1935</v>
      </c>
      <c r="D85" s="4" t="s">
        <v>1931</v>
      </c>
      <c r="E85" s="6">
        <v>35</v>
      </c>
      <c r="F85" s="6" t="s">
        <v>1932</v>
      </c>
      <c r="G85" s="6" t="s">
        <v>1933</v>
      </c>
      <c r="H85" s="3" t="s">
        <v>55</v>
      </c>
      <c r="I85" s="7">
        <v>45789</v>
      </c>
      <c r="J85" s="3"/>
      <c r="K85" s="3"/>
      <c r="L85" s="3" t="s">
        <v>98</v>
      </c>
      <c r="M85" s="3"/>
      <c r="N85" s="3"/>
      <c r="O85" s="3"/>
      <c r="P85" s="3"/>
      <c r="Q85" s="6" t="s">
        <v>133</v>
      </c>
      <c r="R85" s="7">
        <v>45798</v>
      </c>
      <c r="S85" s="7">
        <v>45804</v>
      </c>
      <c r="T85" s="7">
        <v>45804</v>
      </c>
      <c r="U85" s="6">
        <v>1002</v>
      </c>
      <c r="V85" s="11">
        <v>4470085</v>
      </c>
      <c r="W85" s="6"/>
      <c r="X85" s="6"/>
      <c r="Y85" s="6"/>
      <c r="Z85" s="6"/>
      <c r="AA85" s="8"/>
      <c r="AB85" s="8"/>
      <c r="AC85" s="6" t="s">
        <v>1934</v>
      </c>
      <c r="AD85" s="6"/>
      <c r="AE85" s="9"/>
    </row>
    <row r="86" spans="1:31" s="10" customFormat="1" ht="47.25" x14ac:dyDescent="0.25">
      <c r="A86" s="3">
        <v>76</v>
      </c>
      <c r="B86" s="3" t="s">
        <v>26</v>
      </c>
      <c r="C86" s="5" t="s">
        <v>1945</v>
      </c>
      <c r="D86" s="4"/>
      <c r="E86" s="6">
        <v>41</v>
      </c>
      <c r="F86" s="6">
        <v>1181</v>
      </c>
      <c r="G86" s="3">
        <v>451.1</v>
      </c>
      <c r="H86" s="3" t="s">
        <v>55</v>
      </c>
      <c r="I86" s="7">
        <v>45789</v>
      </c>
      <c r="J86" s="3" t="s">
        <v>823</v>
      </c>
      <c r="K86" s="3"/>
      <c r="L86" s="3"/>
      <c r="M86" s="3"/>
      <c r="N86" s="3"/>
      <c r="O86" s="3"/>
      <c r="P86" s="3"/>
      <c r="Q86" s="6" t="s">
        <v>133</v>
      </c>
      <c r="R86" s="7">
        <v>45827</v>
      </c>
      <c r="S86" s="7">
        <v>45829</v>
      </c>
      <c r="T86" s="7">
        <v>45829</v>
      </c>
      <c r="U86" s="6">
        <v>1777</v>
      </c>
      <c r="V86" s="11">
        <v>1923102</v>
      </c>
      <c r="W86" s="6"/>
      <c r="X86" s="6"/>
      <c r="Y86" s="6"/>
      <c r="Z86" s="6"/>
      <c r="AA86" s="8"/>
      <c r="AB86" s="8" t="s">
        <v>2678</v>
      </c>
      <c r="AC86" s="6"/>
      <c r="AD86" s="6"/>
      <c r="AE86" s="9" t="s">
        <v>1946</v>
      </c>
    </row>
    <row r="87" spans="1:31" s="10" customFormat="1" ht="15.75" x14ac:dyDescent="0.25">
      <c r="A87" s="3">
        <v>77</v>
      </c>
      <c r="B87" s="3" t="s">
        <v>26</v>
      </c>
      <c r="C87" s="5" t="s">
        <v>1974</v>
      </c>
      <c r="D87" s="4"/>
      <c r="E87" s="6">
        <v>31</v>
      </c>
      <c r="F87" s="6">
        <v>368</v>
      </c>
      <c r="G87" s="3">
        <v>112.5</v>
      </c>
      <c r="H87" s="3" t="s">
        <v>55</v>
      </c>
      <c r="I87" s="7">
        <v>45791</v>
      </c>
      <c r="J87" s="3"/>
      <c r="K87" s="3"/>
      <c r="L87" s="3"/>
      <c r="M87" s="3"/>
      <c r="N87" s="3"/>
      <c r="O87" s="3"/>
      <c r="P87" s="3" t="s">
        <v>52</v>
      </c>
      <c r="Q87" s="6" t="s">
        <v>133</v>
      </c>
      <c r="R87" s="7">
        <v>45827</v>
      </c>
      <c r="S87" s="7">
        <v>45833</v>
      </c>
      <c r="T87" s="7">
        <v>45833</v>
      </c>
      <c r="U87" s="20">
        <v>1916</v>
      </c>
      <c r="V87" s="11">
        <v>2258309</v>
      </c>
      <c r="W87" s="6"/>
      <c r="X87" s="6"/>
      <c r="Y87" s="6"/>
      <c r="Z87" s="6"/>
      <c r="AA87" s="8"/>
      <c r="AB87" s="8"/>
      <c r="AC87" s="6"/>
      <c r="AD87" s="6"/>
      <c r="AE87" s="9" t="s">
        <v>1946</v>
      </c>
    </row>
    <row r="88" spans="1:31" s="10" customFormat="1" ht="31.5" x14ac:dyDescent="0.25">
      <c r="A88" s="3">
        <v>78</v>
      </c>
      <c r="B88" s="3" t="s">
        <v>26</v>
      </c>
      <c r="C88" s="5" t="s">
        <v>368</v>
      </c>
      <c r="D88" s="4"/>
      <c r="E88" s="6">
        <v>31</v>
      </c>
      <c r="F88" s="6">
        <v>962</v>
      </c>
      <c r="G88" s="3">
        <v>111.5</v>
      </c>
      <c r="H88" s="3" t="s">
        <v>55</v>
      </c>
      <c r="I88" s="7"/>
      <c r="J88" s="3"/>
      <c r="K88" s="3"/>
      <c r="L88" s="3"/>
      <c r="M88" s="3"/>
      <c r="N88" s="3"/>
      <c r="O88" s="3"/>
      <c r="P88" s="3"/>
      <c r="Q88" s="6" t="s">
        <v>190</v>
      </c>
      <c r="R88" s="7"/>
      <c r="S88" s="7"/>
      <c r="T88" s="7"/>
      <c r="U88" s="6"/>
      <c r="V88" s="11"/>
      <c r="W88" s="6"/>
      <c r="X88" s="6"/>
      <c r="Y88" s="6"/>
      <c r="Z88" s="6" t="s">
        <v>2001</v>
      </c>
      <c r="AA88" s="8" t="s">
        <v>2000</v>
      </c>
      <c r="AB88" s="8"/>
      <c r="AC88" s="6"/>
      <c r="AD88" s="6"/>
      <c r="AE88" s="9"/>
    </row>
    <row r="89" spans="1:31" ht="16.5" x14ac:dyDescent="0.25">
      <c r="A89" s="12"/>
      <c r="B89" s="73" t="s">
        <v>2099</v>
      </c>
      <c r="C89" s="74"/>
      <c r="D89" s="74"/>
      <c r="E89" s="74"/>
      <c r="F89" s="74"/>
      <c r="G89" s="74"/>
      <c r="H89" s="75"/>
      <c r="I89" s="13"/>
      <c r="J89" s="14">
        <f>COUNTIF(J82:J88,"CQ")+COUNTIF(J82:J88,"CN")+COUNTIF(J82:J88,"TK")</f>
        <v>1</v>
      </c>
      <c r="K89" s="14">
        <f>COUNTIF(K88,"CMĐ")</f>
        <v>0</v>
      </c>
      <c r="L89" s="14">
        <f>COUNTIF(L81:L88,"XMDT")+COUNTIF(L85:L88,"Mốc")</f>
        <v>1</v>
      </c>
      <c r="M89" s="14">
        <f>COUNTIF(M81:M88,"THÁn")</f>
        <v>0</v>
      </c>
      <c r="N89" s="14">
        <f>COUNTIF(N88,"TÒA")</f>
        <v>0</v>
      </c>
      <c r="O89" s="14">
        <f>COUNTIF(O72:O88,"Cấp GCN")</f>
        <v>0</v>
      </c>
      <c r="P89" s="14">
        <f>COUNTIF(P85:P88,"SHN")</f>
        <v>1</v>
      </c>
      <c r="Q89" s="15"/>
      <c r="R89" s="13"/>
      <c r="S89" s="15"/>
      <c r="T89" s="15"/>
      <c r="U89" s="16"/>
      <c r="V89" s="11"/>
      <c r="W89" s="17"/>
      <c r="X89" s="2"/>
      <c r="AD89" s="14">
        <f>COUNTIF(AD88,"kt")</f>
        <v>0</v>
      </c>
    </row>
    <row r="90" spans="1:31" s="10" customFormat="1" ht="30.75" customHeight="1" x14ac:dyDescent="0.25">
      <c r="A90" s="3">
        <v>79</v>
      </c>
      <c r="B90" s="3" t="s">
        <v>26</v>
      </c>
      <c r="C90" s="5" t="s">
        <v>2109</v>
      </c>
      <c r="D90" s="4" t="s">
        <v>2110</v>
      </c>
      <c r="E90" s="6">
        <v>5</v>
      </c>
      <c r="F90" s="6">
        <v>28</v>
      </c>
      <c r="G90" s="3">
        <v>124.6</v>
      </c>
      <c r="H90" s="3" t="s">
        <v>55</v>
      </c>
      <c r="I90" s="7">
        <v>45797</v>
      </c>
      <c r="J90" s="3"/>
      <c r="K90" s="3"/>
      <c r="L90" s="3"/>
      <c r="M90" s="3"/>
      <c r="N90" s="3"/>
      <c r="O90" s="3"/>
      <c r="P90" s="3" t="s">
        <v>52</v>
      </c>
      <c r="Q90" s="6" t="s">
        <v>133</v>
      </c>
      <c r="R90" s="7"/>
      <c r="S90" s="7"/>
      <c r="T90" s="7"/>
      <c r="U90" s="6"/>
      <c r="V90" s="11"/>
      <c r="W90" s="6"/>
      <c r="X90" s="6"/>
      <c r="Y90" s="6"/>
      <c r="Z90" s="6"/>
      <c r="AA90" s="8"/>
      <c r="AB90" s="8"/>
      <c r="AC90" s="6"/>
      <c r="AD90" s="6"/>
      <c r="AE90" s="9"/>
    </row>
    <row r="91" spans="1:31" s="10" customFormat="1" ht="31.5" x14ac:dyDescent="0.25">
      <c r="A91" s="3">
        <v>80</v>
      </c>
      <c r="B91" s="3" t="s">
        <v>26</v>
      </c>
      <c r="C91" s="5" t="s">
        <v>2150</v>
      </c>
      <c r="D91" s="4" t="s">
        <v>2151</v>
      </c>
      <c r="E91" s="6">
        <v>28</v>
      </c>
      <c r="F91" s="6" t="s">
        <v>2152</v>
      </c>
      <c r="G91" s="6" t="s">
        <v>2153</v>
      </c>
      <c r="H91" s="3" t="s">
        <v>75</v>
      </c>
      <c r="I91" s="7">
        <v>45798</v>
      </c>
      <c r="J91" s="3"/>
      <c r="K91" s="3"/>
      <c r="L91" s="3" t="s">
        <v>1</v>
      </c>
      <c r="M91" s="3"/>
      <c r="N91" s="3"/>
      <c r="O91" s="3"/>
      <c r="P91" s="3"/>
      <c r="Q91" s="6" t="s">
        <v>133</v>
      </c>
      <c r="R91" s="7"/>
      <c r="S91" s="7"/>
      <c r="T91" s="7"/>
      <c r="U91" s="6"/>
      <c r="V91" s="11"/>
      <c r="W91" s="6"/>
      <c r="X91" s="6"/>
      <c r="Y91" s="6"/>
      <c r="Z91" s="6"/>
      <c r="AA91" s="8"/>
      <c r="AB91" s="8"/>
      <c r="AC91" s="6"/>
      <c r="AD91" s="6"/>
      <c r="AE91" s="9"/>
    </row>
    <row r="92" spans="1:31" ht="16.5" x14ac:dyDescent="0.25">
      <c r="A92" s="12"/>
      <c r="B92" s="73" t="s">
        <v>2208</v>
      </c>
      <c r="C92" s="74"/>
      <c r="D92" s="74"/>
      <c r="E92" s="74"/>
      <c r="F92" s="74"/>
      <c r="G92" s="74"/>
      <c r="H92" s="75"/>
      <c r="I92" s="13"/>
      <c r="J92" s="14">
        <f>COUNTIF(J85:J91,"CQ")+COUNTIF(J85:J91,"CN")+COUNTIF(J85:J91,"TK")</f>
        <v>0</v>
      </c>
      <c r="K92" s="14">
        <f>COUNTIF(K91,"CMĐ")</f>
        <v>0</v>
      </c>
      <c r="L92" s="14">
        <f>COUNTIF(L84:L91,"XMDT")+COUNTIF(L88:L91,"Mốc")</f>
        <v>1</v>
      </c>
      <c r="M92" s="14">
        <f>COUNTIF(M84:M91,"THÁn")</f>
        <v>0</v>
      </c>
      <c r="N92" s="14">
        <f>COUNTIF(N91,"TÒA")</f>
        <v>0</v>
      </c>
      <c r="O92" s="14">
        <f>COUNTIF(O75:O91,"Cấp GCN")</f>
        <v>0</v>
      </c>
      <c r="P92" s="14">
        <f>COUNTIF(P88:P91,"SHN")</f>
        <v>1</v>
      </c>
      <c r="Q92" s="15"/>
      <c r="R92" s="13"/>
      <c r="S92" s="15"/>
      <c r="T92" s="15"/>
      <c r="U92" s="16"/>
      <c r="V92" s="11"/>
      <c r="W92" s="17"/>
      <c r="X92" s="2"/>
      <c r="AD92" s="14">
        <f>COUNTIF(AD91,"kt")</f>
        <v>0</v>
      </c>
    </row>
    <row r="93" spans="1:31" s="10" customFormat="1" ht="47.25" x14ac:dyDescent="0.25">
      <c r="A93" s="3">
        <v>81</v>
      </c>
      <c r="B93" s="3" t="s">
        <v>26</v>
      </c>
      <c r="C93" s="5" t="s">
        <v>2215</v>
      </c>
      <c r="D93" s="4" t="s">
        <v>2216</v>
      </c>
      <c r="E93" s="6">
        <v>26</v>
      </c>
      <c r="F93" s="6">
        <v>290</v>
      </c>
      <c r="G93" s="3">
        <v>107.7</v>
      </c>
      <c r="H93" s="3" t="s">
        <v>55</v>
      </c>
      <c r="I93" s="7">
        <v>45803</v>
      </c>
      <c r="J93" s="3"/>
      <c r="K93" s="3"/>
      <c r="L93" s="3" t="s">
        <v>98</v>
      </c>
      <c r="M93" s="3"/>
      <c r="N93" s="3"/>
      <c r="O93" s="3"/>
      <c r="P93" s="3"/>
      <c r="Q93" s="6" t="s">
        <v>133</v>
      </c>
      <c r="R93" s="7">
        <v>45817</v>
      </c>
      <c r="S93" s="7">
        <v>45828</v>
      </c>
      <c r="T93" s="7">
        <v>45828</v>
      </c>
      <c r="U93" s="6">
        <v>1757</v>
      </c>
      <c r="V93" s="11">
        <v>2583973</v>
      </c>
      <c r="W93" s="6"/>
      <c r="X93" s="6"/>
      <c r="Y93" s="6"/>
      <c r="Z93" s="6"/>
      <c r="AA93" s="8"/>
      <c r="AB93" s="8"/>
      <c r="AC93" s="6" t="s">
        <v>2217</v>
      </c>
      <c r="AD93" s="6"/>
      <c r="AE93" s="9"/>
    </row>
    <row r="94" spans="1:31" s="10" customFormat="1" ht="15.75" x14ac:dyDescent="0.25">
      <c r="A94" s="3">
        <v>82</v>
      </c>
      <c r="B94" s="3" t="s">
        <v>26</v>
      </c>
      <c r="C94" s="5" t="s">
        <v>2227</v>
      </c>
      <c r="D94" s="4" t="s">
        <v>2228</v>
      </c>
      <c r="E94" s="6">
        <v>41</v>
      </c>
      <c r="F94" s="6">
        <v>1143</v>
      </c>
      <c r="G94" s="3">
        <v>623</v>
      </c>
      <c r="H94" s="3" t="s">
        <v>51</v>
      </c>
      <c r="I94" s="7">
        <v>45803</v>
      </c>
      <c r="J94" s="3"/>
      <c r="K94" s="3" t="s">
        <v>62</v>
      </c>
      <c r="L94" s="3"/>
      <c r="M94" s="3"/>
      <c r="N94" s="3"/>
      <c r="O94" s="3"/>
      <c r="P94" s="3"/>
      <c r="Q94" s="6" t="s">
        <v>133</v>
      </c>
      <c r="R94" s="7"/>
      <c r="S94" s="7"/>
      <c r="T94" s="7"/>
      <c r="U94" s="6"/>
      <c r="V94" s="11"/>
      <c r="W94" s="6"/>
      <c r="X94" s="6"/>
      <c r="Y94" s="6"/>
      <c r="Z94" s="6"/>
      <c r="AA94" s="8"/>
      <c r="AB94" s="8"/>
      <c r="AC94" s="6"/>
      <c r="AD94" s="6"/>
      <c r="AE94" s="9"/>
    </row>
    <row r="95" spans="1:31" s="10" customFormat="1" ht="31.5" x14ac:dyDescent="0.25">
      <c r="A95" s="3">
        <v>83</v>
      </c>
      <c r="B95" s="3" t="s">
        <v>26</v>
      </c>
      <c r="C95" s="5" t="s">
        <v>2240</v>
      </c>
      <c r="D95" s="4"/>
      <c r="E95" s="6">
        <v>33</v>
      </c>
      <c r="F95" s="6">
        <v>516</v>
      </c>
      <c r="G95" s="3">
        <v>274</v>
      </c>
      <c r="H95" s="3" t="s">
        <v>75</v>
      </c>
      <c r="I95" s="7">
        <v>45804</v>
      </c>
      <c r="J95" s="3"/>
      <c r="K95" s="3"/>
      <c r="L95" s="3"/>
      <c r="M95" s="3"/>
      <c r="N95" s="3"/>
      <c r="O95" s="3"/>
      <c r="P95" s="3" t="s">
        <v>52</v>
      </c>
      <c r="Q95" s="6" t="s">
        <v>133</v>
      </c>
      <c r="R95" s="7">
        <v>45819</v>
      </c>
      <c r="S95" s="7">
        <v>45824</v>
      </c>
      <c r="T95" s="7">
        <v>45824</v>
      </c>
      <c r="U95" s="6">
        <v>1585</v>
      </c>
      <c r="V95" s="11">
        <v>2125468</v>
      </c>
      <c r="W95" s="11"/>
      <c r="X95" s="6"/>
      <c r="Y95" s="6"/>
      <c r="Z95" s="6"/>
      <c r="AA95" s="8"/>
      <c r="AB95" s="8" t="s">
        <v>2585</v>
      </c>
      <c r="AC95" s="6"/>
      <c r="AD95" s="6"/>
      <c r="AE95" s="9"/>
    </row>
    <row r="96" spans="1:31" s="10" customFormat="1" ht="47.25" x14ac:dyDescent="0.25">
      <c r="A96" s="3">
        <v>84</v>
      </c>
      <c r="B96" s="3" t="s">
        <v>26</v>
      </c>
      <c r="C96" s="5" t="s">
        <v>2263</v>
      </c>
      <c r="D96" s="4" t="s">
        <v>2264</v>
      </c>
      <c r="E96" s="6">
        <v>32</v>
      </c>
      <c r="F96" s="6">
        <v>1017</v>
      </c>
      <c r="G96" s="3">
        <v>260.10000000000002</v>
      </c>
      <c r="H96" s="3" t="s">
        <v>75</v>
      </c>
      <c r="I96" s="7">
        <v>45805</v>
      </c>
      <c r="J96" s="3"/>
      <c r="K96" s="3" t="s">
        <v>62</v>
      </c>
      <c r="L96" s="3"/>
      <c r="M96" s="3"/>
      <c r="N96" s="3"/>
      <c r="O96" s="3"/>
      <c r="P96" s="3"/>
      <c r="Q96" s="6" t="s">
        <v>133</v>
      </c>
      <c r="R96" s="7"/>
      <c r="S96" s="7"/>
      <c r="T96" s="7"/>
      <c r="U96" s="6"/>
      <c r="V96" s="11"/>
      <c r="W96" s="6"/>
      <c r="X96" s="6"/>
      <c r="Y96" s="6"/>
      <c r="Z96" s="6"/>
      <c r="AA96" s="8"/>
      <c r="AB96" s="8"/>
      <c r="AC96" s="6" t="s">
        <v>2605</v>
      </c>
      <c r="AD96" s="6"/>
      <c r="AE96" s="9"/>
    </row>
    <row r="97" spans="1:31" s="10" customFormat="1" ht="15.75" x14ac:dyDescent="0.25">
      <c r="A97" s="3">
        <v>85</v>
      </c>
      <c r="B97" s="3" t="s">
        <v>26</v>
      </c>
      <c r="C97" s="5" t="s">
        <v>2293</v>
      </c>
      <c r="D97" s="4" t="s">
        <v>2294</v>
      </c>
      <c r="E97" s="6">
        <v>29</v>
      </c>
      <c r="F97" s="6">
        <v>283</v>
      </c>
      <c r="G97" s="3">
        <v>178.6</v>
      </c>
      <c r="H97" s="3" t="s">
        <v>75</v>
      </c>
      <c r="I97" s="7">
        <v>45898</v>
      </c>
      <c r="J97" s="3"/>
      <c r="K97" s="3" t="s">
        <v>62</v>
      </c>
      <c r="L97" s="3"/>
      <c r="M97" s="3"/>
      <c r="N97" s="3"/>
      <c r="O97" s="3"/>
      <c r="P97" s="3"/>
      <c r="Q97" s="6" t="s">
        <v>133</v>
      </c>
      <c r="R97" s="7">
        <v>45828</v>
      </c>
      <c r="S97" s="7">
        <v>45828</v>
      </c>
      <c r="T97" s="7">
        <v>45828</v>
      </c>
      <c r="U97" s="6">
        <v>1760</v>
      </c>
      <c r="V97" s="11">
        <v>809727</v>
      </c>
      <c r="W97" s="6"/>
      <c r="X97" s="6"/>
      <c r="Y97" s="6"/>
      <c r="Z97" s="6"/>
      <c r="AA97" s="8"/>
      <c r="AB97" s="8"/>
      <c r="AC97" s="6"/>
      <c r="AD97" s="6"/>
      <c r="AE97" s="9"/>
    </row>
    <row r="98" spans="1:31" s="10" customFormat="1" ht="15.75" x14ac:dyDescent="0.25">
      <c r="A98" s="3">
        <v>86</v>
      </c>
      <c r="B98" s="3" t="s">
        <v>26</v>
      </c>
      <c r="C98" s="5" t="s">
        <v>2295</v>
      </c>
      <c r="D98" s="4" t="s">
        <v>567</v>
      </c>
      <c r="E98" s="6">
        <v>37</v>
      </c>
      <c r="F98" s="6">
        <v>341</v>
      </c>
      <c r="G98" s="3">
        <v>35</v>
      </c>
      <c r="H98" s="3" t="s">
        <v>51</v>
      </c>
      <c r="I98" s="7">
        <v>45807</v>
      </c>
      <c r="J98" s="3"/>
      <c r="K98" s="3"/>
      <c r="L98" s="3" t="s">
        <v>1</v>
      </c>
      <c r="M98" s="3"/>
      <c r="N98" s="3"/>
      <c r="O98" s="3"/>
      <c r="P98" s="3"/>
      <c r="Q98" s="6" t="s">
        <v>133</v>
      </c>
      <c r="R98" s="7"/>
      <c r="S98" s="7"/>
      <c r="T98" s="7"/>
      <c r="U98" s="6"/>
      <c r="V98" s="11"/>
      <c r="W98" s="6"/>
      <c r="X98" s="6"/>
      <c r="Y98" s="6"/>
      <c r="Z98" s="6"/>
      <c r="AA98" s="8"/>
      <c r="AB98" s="8"/>
      <c r="AC98" s="6"/>
      <c r="AD98" s="6" t="s">
        <v>2820</v>
      </c>
      <c r="AE98" s="9"/>
    </row>
    <row r="99" spans="1:31" s="10" customFormat="1" ht="47.25" x14ac:dyDescent="0.25">
      <c r="A99" s="3">
        <v>87</v>
      </c>
      <c r="B99" s="3" t="s">
        <v>26</v>
      </c>
      <c r="C99" s="5" t="s">
        <v>2296</v>
      </c>
      <c r="D99" s="4" t="s">
        <v>567</v>
      </c>
      <c r="E99" s="6">
        <v>34</v>
      </c>
      <c r="F99" s="6">
        <v>1033</v>
      </c>
      <c r="G99" s="3">
        <v>100</v>
      </c>
      <c r="H99" s="3" t="s">
        <v>55</v>
      </c>
      <c r="I99" s="7">
        <v>45807</v>
      </c>
      <c r="J99" s="3"/>
      <c r="K99" s="3"/>
      <c r="L99" s="3"/>
      <c r="M99" s="3"/>
      <c r="N99" s="3"/>
      <c r="O99" s="3"/>
      <c r="P99" s="3" t="s">
        <v>52</v>
      </c>
      <c r="Q99" s="6" t="s">
        <v>133</v>
      </c>
      <c r="R99" s="7"/>
      <c r="S99" s="7"/>
      <c r="T99" s="7"/>
      <c r="U99" s="6"/>
      <c r="V99" s="11"/>
      <c r="W99" s="6"/>
      <c r="X99" s="6"/>
      <c r="Y99" s="6"/>
      <c r="Z99" s="6"/>
      <c r="AA99" s="8"/>
      <c r="AB99" s="8" t="s">
        <v>2434</v>
      </c>
      <c r="AC99" s="6"/>
      <c r="AD99" s="6"/>
      <c r="AE99" s="9"/>
    </row>
    <row r="100" spans="1:31" s="10" customFormat="1" ht="31.5" x14ac:dyDescent="0.25">
      <c r="A100" s="3">
        <v>88</v>
      </c>
      <c r="B100" s="3" t="s">
        <v>26</v>
      </c>
      <c r="C100" s="5" t="s">
        <v>2297</v>
      </c>
      <c r="D100" s="4" t="s">
        <v>2298</v>
      </c>
      <c r="E100" s="6">
        <v>41</v>
      </c>
      <c r="F100" s="6">
        <v>388</v>
      </c>
      <c r="G100" s="3">
        <v>1854.1</v>
      </c>
      <c r="H100" s="3" t="s">
        <v>51</v>
      </c>
      <c r="I100" s="7">
        <v>45807</v>
      </c>
      <c r="J100" s="3" t="s">
        <v>76</v>
      </c>
      <c r="K100" s="3"/>
      <c r="L100" s="3"/>
      <c r="M100" s="3"/>
      <c r="N100" s="3"/>
      <c r="O100" s="3"/>
      <c r="P100" s="3"/>
      <c r="Q100" s="6" t="s">
        <v>133</v>
      </c>
      <c r="R100" s="7"/>
      <c r="S100" s="7"/>
      <c r="T100" s="7"/>
      <c r="U100" s="6"/>
      <c r="V100" s="11"/>
      <c r="W100" s="6"/>
      <c r="X100" s="6"/>
      <c r="Y100" s="6"/>
      <c r="Z100" s="6" t="s">
        <v>2699</v>
      </c>
      <c r="AA100" s="8"/>
      <c r="AB100" s="8"/>
      <c r="AC100" s="6"/>
      <c r="AD100" s="6"/>
      <c r="AE100" s="9"/>
    </row>
    <row r="101" spans="1:31" s="10" customFormat="1" ht="47.25" x14ac:dyDescent="0.25">
      <c r="A101" s="3">
        <v>89</v>
      </c>
      <c r="B101" s="3" t="s">
        <v>26</v>
      </c>
      <c r="C101" s="5" t="s">
        <v>2319</v>
      </c>
      <c r="D101" s="4" t="s">
        <v>2320</v>
      </c>
      <c r="E101" s="6">
        <v>6</v>
      </c>
      <c r="F101" s="6">
        <v>493</v>
      </c>
      <c r="G101" s="3">
        <v>1160.9000000000001</v>
      </c>
      <c r="H101" s="3" t="s">
        <v>75</v>
      </c>
      <c r="I101" s="7">
        <v>45810</v>
      </c>
      <c r="J101" s="3"/>
      <c r="K101" s="3"/>
      <c r="L101" s="3" t="s">
        <v>98</v>
      </c>
      <c r="M101" s="3"/>
      <c r="N101" s="3"/>
      <c r="O101" s="3"/>
      <c r="P101" s="3"/>
      <c r="Q101" s="6" t="s">
        <v>133</v>
      </c>
      <c r="R101" s="7"/>
      <c r="S101" s="7"/>
      <c r="T101" s="7"/>
      <c r="U101" s="6"/>
      <c r="V101" s="11"/>
      <c r="W101" s="6"/>
      <c r="X101" s="6"/>
      <c r="Y101" s="6"/>
      <c r="Z101" s="6"/>
      <c r="AA101" s="8"/>
      <c r="AB101" s="8" t="s">
        <v>2371</v>
      </c>
      <c r="AC101" s="6" t="s">
        <v>2321</v>
      </c>
      <c r="AD101" s="6"/>
      <c r="AE101" s="9"/>
    </row>
    <row r="102" spans="1:31" ht="16.5" x14ac:dyDescent="0.25">
      <c r="A102" s="12"/>
      <c r="B102" s="73" t="s">
        <v>2324</v>
      </c>
      <c r="C102" s="74"/>
      <c r="D102" s="74"/>
      <c r="E102" s="74"/>
      <c r="F102" s="74"/>
      <c r="G102" s="74"/>
      <c r="H102" s="75"/>
      <c r="I102" s="13"/>
      <c r="J102" s="14">
        <f>COUNTIF(J93:J101,"CQ")+COUNTIF(J93:J101,"CT")+COUNTIF(J93:J101,"TK")</f>
        <v>1</v>
      </c>
      <c r="K102" s="14">
        <f>COUNTIF(K93:K101,"CMĐ")</f>
        <v>3</v>
      </c>
      <c r="L102" s="14">
        <f>COUNTIF(L93:L101,"XMDT")+COUNTIF(L93:L101,"Mốc")</f>
        <v>3</v>
      </c>
      <c r="M102" s="14">
        <f>COUNTIF(M94:M101,"THÁn")</f>
        <v>0</v>
      </c>
      <c r="N102" s="14">
        <f>COUNTIF(N101,"TÒA")</f>
        <v>0</v>
      </c>
      <c r="O102" s="14">
        <f>COUNTIF(O85:O101,"Cấp GCN")</f>
        <v>0</v>
      </c>
      <c r="P102" s="14">
        <f>COUNTIF(P93:P101,"SHN")</f>
        <v>2</v>
      </c>
      <c r="Q102" s="15"/>
      <c r="R102" s="13"/>
      <c r="S102" s="15"/>
      <c r="T102" s="15"/>
      <c r="U102" s="16"/>
      <c r="V102" s="11"/>
      <c r="W102" s="17"/>
      <c r="X102" s="2"/>
      <c r="AD102" s="14">
        <f>COUNTIF(AD101,"kt")</f>
        <v>0</v>
      </c>
    </row>
    <row r="103" spans="1:31" s="10" customFormat="1" ht="15.75" x14ac:dyDescent="0.25">
      <c r="A103" s="3">
        <v>90</v>
      </c>
      <c r="B103" s="3" t="s">
        <v>26</v>
      </c>
      <c r="C103" s="5" t="s">
        <v>444</v>
      </c>
      <c r="D103" s="4" t="s">
        <v>2352</v>
      </c>
      <c r="E103" s="6">
        <v>38</v>
      </c>
      <c r="F103" s="6">
        <v>778</v>
      </c>
      <c r="G103" s="3">
        <v>456</v>
      </c>
      <c r="H103" s="3" t="s">
        <v>51</v>
      </c>
      <c r="I103" s="7">
        <v>45812</v>
      </c>
      <c r="J103" s="3"/>
      <c r="K103" s="3" t="s">
        <v>62</v>
      </c>
      <c r="L103" s="3"/>
      <c r="M103" s="3"/>
      <c r="N103" s="3"/>
      <c r="O103" s="3"/>
      <c r="P103" s="3"/>
      <c r="Q103" s="6" t="s">
        <v>133</v>
      </c>
      <c r="R103" s="7"/>
      <c r="S103" s="7"/>
      <c r="T103" s="7"/>
      <c r="U103" s="6"/>
      <c r="V103" s="11"/>
      <c r="W103" s="6"/>
      <c r="X103" s="6"/>
      <c r="Y103" s="6"/>
      <c r="Z103" s="6"/>
      <c r="AA103" s="8"/>
      <c r="AB103" s="8"/>
      <c r="AC103" s="6"/>
      <c r="AD103" s="6"/>
      <c r="AE103" s="9"/>
    </row>
    <row r="104" spans="1:31" ht="16.5" x14ac:dyDescent="0.25">
      <c r="A104" s="12"/>
      <c r="B104" s="73" t="s">
        <v>2377</v>
      </c>
      <c r="C104" s="74"/>
      <c r="D104" s="74"/>
      <c r="E104" s="74"/>
      <c r="F104" s="74"/>
      <c r="G104" s="74"/>
      <c r="H104" s="75"/>
      <c r="I104" s="13"/>
      <c r="J104" s="14">
        <f>COUNTIF(J103,"CQ")+COUNTIF(J103,"CT")+COUNTIF(J103,"TK")</f>
        <v>0</v>
      </c>
      <c r="K104" s="14">
        <f>COUNTIF(K103,"CMĐ")</f>
        <v>1</v>
      </c>
      <c r="L104" s="14">
        <f>COUNTIF(L103,"XMDT")+COUNTIF(L103,"Mốc")</f>
        <v>0</v>
      </c>
      <c r="M104" s="14">
        <f>COUNTIF(M96:M103,"THÁn")</f>
        <v>0</v>
      </c>
      <c r="N104" s="14">
        <f>COUNTIF(N103,"TÒA")</f>
        <v>0</v>
      </c>
      <c r="O104" s="14">
        <f>COUNTIF(O87:O103,"Cấp GCN")</f>
        <v>0</v>
      </c>
      <c r="P104" s="14">
        <f>COUNTIF(P103,"SHN")</f>
        <v>0</v>
      </c>
      <c r="Q104" s="15"/>
      <c r="R104" s="13"/>
      <c r="S104" s="15"/>
      <c r="T104" s="15"/>
      <c r="U104" s="16"/>
      <c r="V104" s="11"/>
      <c r="W104" s="17"/>
      <c r="X104" s="2"/>
      <c r="AD104" s="14">
        <f>COUNTIF(AD103,"kt")</f>
        <v>0</v>
      </c>
    </row>
    <row r="105" spans="1:31" s="10" customFormat="1" ht="15.75" x14ac:dyDescent="0.25">
      <c r="A105" s="3">
        <v>91</v>
      </c>
      <c r="B105" s="3" t="s">
        <v>26</v>
      </c>
      <c r="C105" s="5" t="s">
        <v>566</v>
      </c>
      <c r="D105" s="4" t="s">
        <v>567</v>
      </c>
      <c r="E105" s="6"/>
      <c r="F105" s="6"/>
      <c r="G105" s="3"/>
      <c r="H105" s="3"/>
      <c r="I105" s="7"/>
      <c r="J105" s="3"/>
      <c r="K105" s="3"/>
      <c r="L105" s="3"/>
      <c r="M105" s="3"/>
      <c r="N105" s="3"/>
      <c r="O105" s="3"/>
      <c r="P105" s="3"/>
      <c r="Q105" s="6"/>
      <c r="R105" s="7"/>
      <c r="S105" s="7"/>
      <c r="T105" s="7"/>
      <c r="U105" s="6"/>
      <c r="V105" s="11"/>
      <c r="W105" s="6"/>
      <c r="X105" s="6"/>
      <c r="Y105" s="6"/>
      <c r="Z105" s="6"/>
      <c r="AA105" s="8"/>
      <c r="AB105" s="8"/>
      <c r="AC105" s="6"/>
      <c r="AD105" s="6"/>
      <c r="AE105" s="9"/>
    </row>
    <row r="106" spans="1:31" s="10" customFormat="1" ht="31.5" x14ac:dyDescent="0.25">
      <c r="A106" s="3">
        <v>92</v>
      </c>
      <c r="B106" s="3" t="s">
        <v>26</v>
      </c>
      <c r="C106" s="5" t="s">
        <v>2381</v>
      </c>
      <c r="D106" s="4"/>
      <c r="E106" s="6">
        <v>41</v>
      </c>
      <c r="F106" s="6">
        <v>339</v>
      </c>
      <c r="G106" s="3">
        <v>311.5</v>
      </c>
      <c r="H106" s="3" t="s">
        <v>51</v>
      </c>
      <c r="I106" s="7"/>
      <c r="J106" s="3"/>
      <c r="K106" s="3"/>
      <c r="L106" s="3"/>
      <c r="M106" s="3"/>
      <c r="N106" s="3"/>
      <c r="O106" s="3"/>
      <c r="P106" s="3"/>
      <c r="Q106" s="6" t="s">
        <v>190</v>
      </c>
      <c r="R106" s="7"/>
      <c r="S106" s="7"/>
      <c r="T106" s="7"/>
      <c r="U106" s="6"/>
      <c r="V106" s="11"/>
      <c r="W106" s="6"/>
      <c r="X106" s="6"/>
      <c r="Y106" s="6"/>
      <c r="Z106" s="6" t="s">
        <v>2379</v>
      </c>
      <c r="AA106" s="8" t="s">
        <v>2382</v>
      </c>
      <c r="AB106" s="8"/>
      <c r="AC106" s="6"/>
      <c r="AD106" s="6"/>
      <c r="AE106" s="9"/>
    </row>
    <row r="107" spans="1:31" s="10" customFormat="1" ht="15.75" x14ac:dyDescent="0.25">
      <c r="A107" s="3">
        <v>93</v>
      </c>
      <c r="B107" s="3" t="s">
        <v>26</v>
      </c>
      <c r="C107" s="5" t="s">
        <v>2399</v>
      </c>
      <c r="D107" s="4" t="s">
        <v>2400</v>
      </c>
      <c r="E107" s="6">
        <v>38</v>
      </c>
      <c r="F107" s="6">
        <v>234</v>
      </c>
      <c r="G107" s="3">
        <v>124.8</v>
      </c>
      <c r="H107" s="3" t="s">
        <v>55</v>
      </c>
      <c r="I107" s="7">
        <v>45813</v>
      </c>
      <c r="J107" s="3"/>
      <c r="K107" s="3"/>
      <c r="L107" s="3"/>
      <c r="M107" s="3"/>
      <c r="N107" s="3"/>
      <c r="O107" s="3"/>
      <c r="P107" s="3" t="s">
        <v>52</v>
      </c>
      <c r="Q107" s="6" t="s">
        <v>133</v>
      </c>
      <c r="R107" s="7"/>
      <c r="S107" s="7"/>
      <c r="T107" s="7"/>
      <c r="U107" s="6"/>
      <c r="V107" s="11"/>
      <c r="W107" s="6"/>
      <c r="X107" s="6"/>
      <c r="Y107" s="6"/>
      <c r="Z107" s="6"/>
      <c r="AA107" s="8"/>
      <c r="AB107" s="8"/>
      <c r="AC107" s="6"/>
      <c r="AD107" s="6"/>
      <c r="AE107" s="9"/>
    </row>
    <row r="108" spans="1:31" s="10" customFormat="1" ht="15.75" x14ac:dyDescent="0.25">
      <c r="A108" s="3">
        <v>94</v>
      </c>
      <c r="B108" s="3" t="s">
        <v>26</v>
      </c>
      <c r="C108" s="5" t="s">
        <v>2413</v>
      </c>
      <c r="D108" s="4" t="s">
        <v>2414</v>
      </c>
      <c r="E108" s="6">
        <v>13</v>
      </c>
      <c r="F108" s="6">
        <v>151</v>
      </c>
      <c r="G108" s="3">
        <v>102.8</v>
      </c>
      <c r="H108" s="3" t="s">
        <v>55</v>
      </c>
      <c r="I108" s="7">
        <v>45817</v>
      </c>
      <c r="J108" s="3"/>
      <c r="K108" s="3"/>
      <c r="L108" s="3"/>
      <c r="M108" s="3"/>
      <c r="N108" s="3"/>
      <c r="O108" s="3"/>
      <c r="P108" s="3" t="s">
        <v>52</v>
      </c>
      <c r="Q108" s="6" t="s">
        <v>133</v>
      </c>
      <c r="R108" s="7"/>
      <c r="S108" s="7"/>
      <c r="T108" s="7"/>
      <c r="U108" s="6"/>
      <c r="V108" s="11"/>
      <c r="W108" s="6"/>
      <c r="X108" s="6"/>
      <c r="Y108" s="6"/>
      <c r="Z108" s="6"/>
      <c r="AA108" s="8"/>
      <c r="AB108" s="8"/>
      <c r="AC108" s="6"/>
      <c r="AD108" s="6"/>
      <c r="AE108" s="9"/>
    </row>
    <row r="109" spans="1:31" s="10" customFormat="1" ht="15.75" x14ac:dyDescent="0.25">
      <c r="A109" s="3">
        <v>95</v>
      </c>
      <c r="B109" s="3" t="s">
        <v>26</v>
      </c>
      <c r="C109" s="5" t="s">
        <v>566</v>
      </c>
      <c r="D109" s="4" t="s">
        <v>567</v>
      </c>
      <c r="E109" s="6">
        <v>32</v>
      </c>
      <c r="F109" s="6">
        <v>949</v>
      </c>
      <c r="G109" s="3">
        <v>446</v>
      </c>
      <c r="H109" s="3" t="s">
        <v>51</v>
      </c>
      <c r="I109" s="7">
        <v>45817</v>
      </c>
      <c r="J109" s="3"/>
      <c r="K109" s="3" t="s">
        <v>62</v>
      </c>
      <c r="L109" s="3"/>
      <c r="M109" s="3"/>
      <c r="N109" s="3"/>
      <c r="O109" s="3"/>
      <c r="P109" s="3"/>
      <c r="Q109" s="6" t="s">
        <v>133</v>
      </c>
      <c r="R109" s="7"/>
      <c r="S109" s="7"/>
      <c r="T109" s="7"/>
      <c r="U109" s="6"/>
      <c r="V109" s="11"/>
      <c r="W109" s="6"/>
      <c r="X109" s="6"/>
      <c r="Y109" s="6"/>
      <c r="Z109" s="6"/>
      <c r="AA109" s="8"/>
      <c r="AB109" s="8"/>
      <c r="AC109" s="6"/>
      <c r="AD109" s="6"/>
      <c r="AE109" s="9"/>
    </row>
    <row r="110" spans="1:31" s="10" customFormat="1" ht="47.25" x14ac:dyDescent="0.25">
      <c r="A110" s="3">
        <v>96</v>
      </c>
      <c r="B110" s="3" t="s">
        <v>26</v>
      </c>
      <c r="C110" s="5" t="s">
        <v>1484</v>
      </c>
      <c r="D110" s="4" t="s">
        <v>2462</v>
      </c>
      <c r="E110" s="6">
        <v>26</v>
      </c>
      <c r="F110" s="6">
        <v>303</v>
      </c>
      <c r="G110" s="3">
        <v>2444</v>
      </c>
      <c r="H110" s="3" t="s">
        <v>51</v>
      </c>
      <c r="I110" s="7">
        <v>45819</v>
      </c>
      <c r="J110" s="3"/>
      <c r="K110" s="3" t="s">
        <v>62</v>
      </c>
      <c r="L110" s="3"/>
      <c r="M110" s="3"/>
      <c r="N110" s="3"/>
      <c r="O110" s="3"/>
      <c r="P110" s="3"/>
      <c r="Q110" s="6" t="s">
        <v>133</v>
      </c>
      <c r="R110" s="7"/>
      <c r="S110" s="7"/>
      <c r="T110" s="7"/>
      <c r="U110" s="6"/>
      <c r="V110" s="11"/>
      <c r="W110" s="6"/>
      <c r="X110" s="6"/>
      <c r="Y110" s="6"/>
      <c r="Z110" s="6"/>
      <c r="AA110" s="8"/>
      <c r="AB110" s="8"/>
      <c r="AC110" s="6" t="s">
        <v>2722</v>
      </c>
      <c r="AD110" s="6"/>
      <c r="AE110" s="9"/>
    </row>
    <row r="111" spans="1:31" s="10" customFormat="1" ht="15.75" x14ac:dyDescent="0.25">
      <c r="A111" s="3">
        <v>97</v>
      </c>
      <c r="B111" s="3" t="s">
        <v>26</v>
      </c>
      <c r="C111" s="5" t="s">
        <v>2470</v>
      </c>
      <c r="D111" s="4" t="s">
        <v>2471</v>
      </c>
      <c r="E111" s="6">
        <v>35</v>
      </c>
      <c r="F111" s="6">
        <v>90</v>
      </c>
      <c r="G111" s="3">
        <v>384.9</v>
      </c>
      <c r="H111" s="3" t="s">
        <v>51</v>
      </c>
      <c r="I111" s="7">
        <v>45819</v>
      </c>
      <c r="J111" s="3"/>
      <c r="K111" s="3" t="s">
        <v>62</v>
      </c>
      <c r="L111" s="3"/>
      <c r="M111" s="3"/>
      <c r="N111" s="3"/>
      <c r="O111" s="3"/>
      <c r="P111" s="3"/>
      <c r="Q111" s="6" t="s">
        <v>133</v>
      </c>
      <c r="R111" s="7"/>
      <c r="S111" s="7"/>
      <c r="T111" s="7"/>
      <c r="U111" s="6"/>
      <c r="V111" s="11"/>
      <c r="W111" s="6"/>
      <c r="X111" s="6"/>
      <c r="Y111" s="6"/>
      <c r="Z111" s="6"/>
      <c r="AA111" s="8"/>
      <c r="AB111" s="8"/>
      <c r="AC111" s="6"/>
      <c r="AD111" s="6"/>
      <c r="AE111" s="9"/>
    </row>
    <row r="112" spans="1:31" s="10" customFormat="1" ht="15.75" x14ac:dyDescent="0.25">
      <c r="A112" s="3">
        <v>98</v>
      </c>
      <c r="B112" s="3" t="s">
        <v>26</v>
      </c>
      <c r="C112" s="5" t="s">
        <v>208</v>
      </c>
      <c r="D112" s="4" t="s">
        <v>567</v>
      </c>
      <c r="E112" s="6">
        <v>11</v>
      </c>
      <c r="F112" s="6">
        <v>278</v>
      </c>
      <c r="G112" s="3">
        <v>1930.8</v>
      </c>
      <c r="H112" s="3" t="s">
        <v>75</v>
      </c>
      <c r="I112" s="7">
        <v>45820</v>
      </c>
      <c r="J112" s="3"/>
      <c r="K112" s="3" t="s">
        <v>62</v>
      </c>
      <c r="L112" s="3"/>
      <c r="M112" s="3"/>
      <c r="N112" s="3"/>
      <c r="O112" s="3"/>
      <c r="P112" s="3"/>
      <c r="Q112" s="6" t="s">
        <v>133</v>
      </c>
      <c r="R112" s="7"/>
      <c r="S112" s="7"/>
      <c r="T112" s="7"/>
      <c r="U112" s="6"/>
      <c r="V112" s="11"/>
      <c r="W112" s="6"/>
      <c r="X112" s="6"/>
      <c r="Y112" s="6"/>
      <c r="Z112" s="6"/>
      <c r="AA112" s="8"/>
      <c r="AB112" s="8"/>
      <c r="AC112" s="6"/>
      <c r="AD112" s="6"/>
      <c r="AE112" s="9"/>
    </row>
    <row r="113" spans="1:31" s="10" customFormat="1" ht="47.25" x14ac:dyDescent="0.25">
      <c r="A113" s="3">
        <v>99</v>
      </c>
      <c r="B113" s="3" t="s">
        <v>26</v>
      </c>
      <c r="C113" s="5" t="s">
        <v>2479</v>
      </c>
      <c r="D113" s="4" t="s">
        <v>2480</v>
      </c>
      <c r="E113" s="6">
        <v>13</v>
      </c>
      <c r="F113" s="6">
        <v>5</v>
      </c>
      <c r="G113" s="3">
        <v>42.8</v>
      </c>
      <c r="H113" s="3" t="s">
        <v>55</v>
      </c>
      <c r="I113" s="7">
        <v>45820</v>
      </c>
      <c r="J113" s="3"/>
      <c r="K113" s="3"/>
      <c r="L113" s="3"/>
      <c r="M113" s="3"/>
      <c r="N113" s="3"/>
      <c r="O113" s="3"/>
      <c r="P113" s="3" t="s">
        <v>52</v>
      </c>
      <c r="Q113" s="6" t="s">
        <v>133</v>
      </c>
      <c r="R113" s="7"/>
      <c r="S113" s="7"/>
      <c r="T113" s="7"/>
      <c r="U113" s="6"/>
      <c r="V113" s="11"/>
      <c r="W113" s="6"/>
      <c r="X113" s="6"/>
      <c r="Y113" s="6"/>
      <c r="Z113" s="6"/>
      <c r="AA113" s="8"/>
      <c r="AB113" s="8"/>
      <c r="AC113" s="6"/>
      <c r="AD113" s="6" t="s">
        <v>2820</v>
      </c>
      <c r="AE113" s="9"/>
    </row>
    <row r="114" spans="1:31" s="10" customFormat="1" ht="15.75" x14ac:dyDescent="0.25">
      <c r="A114" s="3">
        <v>100</v>
      </c>
      <c r="B114" s="3" t="s">
        <v>26</v>
      </c>
      <c r="C114" s="5" t="s">
        <v>2499</v>
      </c>
      <c r="D114" s="4" t="s">
        <v>2500</v>
      </c>
      <c r="E114" s="6">
        <v>41</v>
      </c>
      <c r="F114" s="6">
        <v>1120</v>
      </c>
      <c r="G114" s="3">
        <v>136.9</v>
      </c>
      <c r="H114" s="3" t="s">
        <v>75</v>
      </c>
      <c r="I114" s="7">
        <v>45821</v>
      </c>
      <c r="J114" s="3"/>
      <c r="K114" s="3" t="s">
        <v>62</v>
      </c>
      <c r="L114" s="3"/>
      <c r="M114" s="3"/>
      <c r="N114" s="3"/>
      <c r="O114" s="3"/>
      <c r="P114" s="3"/>
      <c r="Q114" s="6" t="s">
        <v>133</v>
      </c>
      <c r="R114" s="7"/>
      <c r="S114" s="7"/>
      <c r="T114" s="7"/>
      <c r="U114" s="6"/>
      <c r="V114" s="11"/>
      <c r="W114" s="6"/>
      <c r="X114" s="6"/>
      <c r="Y114" s="6"/>
      <c r="Z114" s="6"/>
      <c r="AA114" s="8"/>
      <c r="AB114" s="8"/>
      <c r="AC114" s="6"/>
      <c r="AD114" s="6"/>
      <c r="AE114" s="9"/>
    </row>
    <row r="115" spans="1:31" s="10" customFormat="1" ht="31.5" x14ac:dyDescent="0.25">
      <c r="A115" s="3">
        <v>101</v>
      </c>
      <c r="B115" s="3" t="s">
        <v>26</v>
      </c>
      <c r="C115" s="5" t="s">
        <v>2504</v>
      </c>
      <c r="D115" s="4" t="s">
        <v>311</v>
      </c>
      <c r="E115" s="6">
        <v>35</v>
      </c>
      <c r="F115" s="6">
        <v>459</v>
      </c>
      <c r="G115" s="3">
        <v>142</v>
      </c>
      <c r="H115" s="3" t="s">
        <v>55</v>
      </c>
      <c r="I115" s="7">
        <v>45821</v>
      </c>
      <c r="J115" s="3"/>
      <c r="K115" s="3"/>
      <c r="L115" s="3"/>
      <c r="M115" s="3"/>
      <c r="N115" s="3"/>
      <c r="O115" s="3"/>
      <c r="P115" s="3" t="s">
        <v>52</v>
      </c>
      <c r="Q115" s="6" t="s">
        <v>133</v>
      </c>
      <c r="R115" s="7">
        <v>45833</v>
      </c>
      <c r="S115" s="7">
        <v>45833</v>
      </c>
      <c r="T115" s="7">
        <v>45833</v>
      </c>
      <c r="U115" s="20">
        <v>1914</v>
      </c>
      <c r="V115" s="11">
        <v>3232482</v>
      </c>
      <c r="W115" s="6"/>
      <c r="X115" s="6"/>
      <c r="Y115" s="6"/>
      <c r="Z115" s="6"/>
      <c r="AA115" s="8"/>
      <c r="AB115" s="8"/>
      <c r="AC115" s="8" t="s">
        <v>2715</v>
      </c>
      <c r="AD115" s="6"/>
      <c r="AE115" s="9"/>
    </row>
    <row r="116" spans="1:31" s="10" customFormat="1" ht="31.5" x14ac:dyDescent="0.25">
      <c r="A116" s="3">
        <v>102</v>
      </c>
      <c r="B116" s="3" t="s">
        <v>26</v>
      </c>
      <c r="C116" s="5" t="s">
        <v>503</v>
      </c>
      <c r="D116" s="4" t="s">
        <v>504</v>
      </c>
      <c r="E116" s="6">
        <v>35</v>
      </c>
      <c r="F116" s="6">
        <v>219</v>
      </c>
      <c r="G116" s="3">
        <v>90</v>
      </c>
      <c r="H116" s="3" t="s">
        <v>55</v>
      </c>
      <c r="I116" s="7">
        <v>45821</v>
      </c>
      <c r="J116" s="3"/>
      <c r="K116" s="3"/>
      <c r="L116" s="3"/>
      <c r="M116" s="3"/>
      <c r="N116" s="3"/>
      <c r="O116" s="3"/>
      <c r="P116" s="3" t="s">
        <v>52</v>
      </c>
      <c r="Q116" s="6" t="s">
        <v>133</v>
      </c>
      <c r="R116" s="7">
        <v>45828</v>
      </c>
      <c r="S116" s="7">
        <v>45829</v>
      </c>
      <c r="T116" s="7">
        <v>45829</v>
      </c>
      <c r="U116" s="6">
        <v>1779</v>
      </c>
      <c r="V116" s="11">
        <v>2125468</v>
      </c>
      <c r="W116" s="6"/>
      <c r="X116" s="6"/>
      <c r="Y116" s="6"/>
      <c r="Z116" s="6"/>
      <c r="AA116" s="8"/>
      <c r="AB116" s="8"/>
      <c r="AC116" s="8" t="s">
        <v>2654</v>
      </c>
      <c r="AD116" s="6"/>
      <c r="AE116" s="9"/>
    </row>
    <row r="117" spans="1:31" s="10" customFormat="1" ht="15.75" x14ac:dyDescent="0.25">
      <c r="A117" s="3">
        <v>103</v>
      </c>
      <c r="B117" s="3" t="s">
        <v>26</v>
      </c>
      <c r="C117" s="5" t="s">
        <v>2521</v>
      </c>
      <c r="D117" s="4" t="s">
        <v>2522</v>
      </c>
      <c r="E117" s="6">
        <v>33</v>
      </c>
      <c r="F117" s="6">
        <v>697</v>
      </c>
      <c r="G117" s="3">
        <v>200.6</v>
      </c>
      <c r="H117" s="3" t="s">
        <v>51</v>
      </c>
      <c r="I117" s="7">
        <v>45824</v>
      </c>
      <c r="J117" s="3"/>
      <c r="K117" s="3" t="s">
        <v>62</v>
      </c>
      <c r="L117" s="3"/>
      <c r="M117" s="3"/>
      <c r="N117" s="3"/>
      <c r="O117" s="3"/>
      <c r="P117" s="3"/>
      <c r="Q117" s="6" t="s">
        <v>133</v>
      </c>
      <c r="R117" s="7"/>
      <c r="S117" s="7"/>
      <c r="T117" s="7"/>
      <c r="U117" s="6"/>
      <c r="V117" s="11"/>
      <c r="W117" s="6"/>
      <c r="X117" s="6"/>
      <c r="Y117" s="6"/>
      <c r="Z117" s="6"/>
      <c r="AA117" s="8"/>
      <c r="AB117" s="8"/>
      <c r="AC117" s="6"/>
      <c r="AD117" s="6"/>
      <c r="AE117" s="9"/>
    </row>
    <row r="118" spans="1:31" ht="16.5" x14ac:dyDescent="0.25">
      <c r="A118" s="12"/>
      <c r="B118" s="73" t="s">
        <v>2523</v>
      </c>
      <c r="C118" s="74"/>
      <c r="D118" s="74"/>
      <c r="E118" s="74"/>
      <c r="F118" s="74"/>
      <c r="G118" s="74"/>
      <c r="H118" s="75"/>
      <c r="I118" s="13"/>
      <c r="J118" s="14">
        <f>COUNTIF(J117,"CQ")+COUNTIF(J117,"CT")+COUNTIF(J117,"TK")</f>
        <v>0</v>
      </c>
      <c r="K118" s="14">
        <f>COUNTIF(K105:K117,"CMĐ")</f>
        <v>6</v>
      </c>
      <c r="L118" s="14">
        <f>COUNTIF(L117,"XMDT")+COUNTIF(L117,"Mốc")</f>
        <v>0</v>
      </c>
      <c r="M118" s="14">
        <f>COUNTIF(M110:M117,"THÁn")</f>
        <v>0</v>
      </c>
      <c r="N118" s="14">
        <f>COUNTIF(N117,"TÒA")</f>
        <v>0</v>
      </c>
      <c r="O118" s="14">
        <f>COUNTIF(O101:O117,"Cấp GCN")</f>
        <v>0</v>
      </c>
      <c r="P118" s="14">
        <f>COUNTIF(P105:P117,"SHN")</f>
        <v>5</v>
      </c>
      <c r="Q118" s="15"/>
      <c r="R118" s="13"/>
      <c r="S118" s="15"/>
      <c r="T118" s="15"/>
      <c r="U118" s="16"/>
      <c r="V118" s="11"/>
      <c r="W118" s="17"/>
      <c r="X118" s="2"/>
      <c r="AD118" s="14">
        <f>COUNTIF(AD117,"kt")</f>
        <v>0</v>
      </c>
    </row>
    <row r="119" spans="1:31" s="10" customFormat="1" ht="78.75" x14ac:dyDescent="0.25">
      <c r="A119" s="3">
        <v>104</v>
      </c>
      <c r="B119" s="3" t="s">
        <v>26</v>
      </c>
      <c r="C119" s="5" t="s">
        <v>1745</v>
      </c>
      <c r="D119" s="4" t="s">
        <v>491</v>
      </c>
      <c r="E119" s="6">
        <v>32</v>
      </c>
      <c r="F119" s="6" t="s">
        <v>2564</v>
      </c>
      <c r="G119" s="6" t="s">
        <v>2565</v>
      </c>
      <c r="H119" s="3" t="s">
        <v>51</v>
      </c>
      <c r="I119" s="7">
        <v>45825</v>
      </c>
      <c r="J119" s="3"/>
      <c r="K119" s="3"/>
      <c r="L119" s="3"/>
      <c r="M119" s="3" t="s">
        <v>491</v>
      </c>
      <c r="N119" s="3"/>
      <c r="O119" s="3"/>
      <c r="P119" s="3"/>
      <c r="Q119" s="6" t="s">
        <v>133</v>
      </c>
      <c r="R119" s="7"/>
      <c r="S119" s="7"/>
      <c r="T119" s="7"/>
      <c r="U119" s="6"/>
      <c r="V119" s="11"/>
      <c r="W119" s="6"/>
      <c r="X119" s="6"/>
      <c r="Y119" s="6"/>
      <c r="Z119" s="6"/>
      <c r="AA119" s="8"/>
      <c r="AB119" s="8"/>
      <c r="AC119" s="6" t="s">
        <v>2566</v>
      </c>
      <c r="AD119" s="6"/>
      <c r="AE119" s="9"/>
    </row>
    <row r="120" spans="1:31" s="10" customFormat="1" ht="63" x14ac:dyDescent="0.25">
      <c r="A120" s="3">
        <v>105</v>
      </c>
      <c r="B120" s="3" t="s">
        <v>26</v>
      </c>
      <c r="C120" s="5" t="s">
        <v>2582</v>
      </c>
      <c r="D120" s="4" t="s">
        <v>2577</v>
      </c>
      <c r="E120" s="6" t="s">
        <v>2578</v>
      </c>
      <c r="F120" s="6" t="s">
        <v>2579</v>
      </c>
      <c r="G120" s="3" t="s">
        <v>2580</v>
      </c>
      <c r="H120" s="3" t="s">
        <v>2581</v>
      </c>
      <c r="I120" s="7">
        <v>45825</v>
      </c>
      <c r="J120" s="3"/>
      <c r="K120" s="3"/>
      <c r="L120" s="3" t="s">
        <v>98</v>
      </c>
      <c r="M120" s="3"/>
      <c r="N120" s="3"/>
      <c r="O120" s="3"/>
      <c r="P120" s="3"/>
      <c r="Q120" s="6" t="s">
        <v>133</v>
      </c>
      <c r="R120" s="7"/>
      <c r="S120" s="7"/>
      <c r="T120" s="7"/>
      <c r="U120" s="6"/>
      <c r="V120" s="11"/>
      <c r="W120" s="6"/>
      <c r="X120" s="6"/>
      <c r="Y120" s="6"/>
      <c r="Z120" s="6"/>
      <c r="AA120" s="8"/>
      <c r="AB120" s="8"/>
      <c r="AC120" s="6" t="s">
        <v>2583</v>
      </c>
      <c r="AD120" s="6"/>
      <c r="AE120" s="9"/>
    </row>
    <row r="121" spans="1:31" ht="16.5" x14ac:dyDescent="0.25">
      <c r="A121" s="12"/>
      <c r="B121" s="73" t="s">
        <v>2655</v>
      </c>
      <c r="C121" s="74"/>
      <c r="D121" s="74"/>
      <c r="E121" s="74"/>
      <c r="F121" s="74"/>
      <c r="G121" s="74"/>
      <c r="H121" s="75"/>
      <c r="I121" s="13"/>
      <c r="J121" s="14">
        <f>COUNTIF(J120,"CQ")+COUNTIF(J120,"CT")+COUNTIF(J120,"TK")</f>
        <v>0</v>
      </c>
      <c r="K121" s="14">
        <f>COUNTIF(K119:K120,"CMĐ")</f>
        <v>0</v>
      </c>
      <c r="L121" s="14">
        <f>COUNTIF(L120,"XMDT")+COUNTIF(L120,"Mốc")</f>
        <v>1</v>
      </c>
      <c r="M121" s="14">
        <f>COUNTIF(M113:M120,"THÁn")</f>
        <v>1</v>
      </c>
      <c r="N121" s="14">
        <f>COUNTIF(N120,"TÒA")</f>
        <v>0</v>
      </c>
      <c r="O121" s="14">
        <f>COUNTIF(O104:O120,"Cấp GCN")</f>
        <v>0</v>
      </c>
      <c r="P121" s="14">
        <f>COUNTIF(P119:P120,"SHN")</f>
        <v>0</v>
      </c>
      <c r="Q121" s="15"/>
      <c r="R121" s="13"/>
      <c r="S121" s="15"/>
      <c r="T121" s="15"/>
      <c r="U121" s="16"/>
      <c r="V121" s="11"/>
      <c r="W121" s="17"/>
      <c r="X121" s="2"/>
      <c r="AD121" s="14">
        <f>COUNTIF(AD120,"kt")</f>
        <v>0</v>
      </c>
    </row>
    <row r="122" spans="1:31" s="10" customFormat="1" ht="15.75" x14ac:dyDescent="0.25">
      <c r="A122" s="3">
        <v>106</v>
      </c>
      <c r="B122" s="3" t="s">
        <v>26</v>
      </c>
      <c r="C122" s="5" t="s">
        <v>2661</v>
      </c>
      <c r="D122" s="4" t="s">
        <v>2662</v>
      </c>
      <c r="E122" s="6">
        <v>32</v>
      </c>
      <c r="F122" s="6">
        <v>671</v>
      </c>
      <c r="G122" s="3">
        <v>167.1</v>
      </c>
      <c r="H122" s="3" t="s">
        <v>51</v>
      </c>
      <c r="I122" s="7">
        <v>45832</v>
      </c>
      <c r="J122" s="3"/>
      <c r="K122" s="3" t="s">
        <v>62</v>
      </c>
      <c r="L122" s="3"/>
      <c r="M122" s="3"/>
      <c r="N122" s="3"/>
      <c r="O122" s="3"/>
      <c r="P122" s="3"/>
      <c r="Q122" s="6" t="s">
        <v>133</v>
      </c>
      <c r="R122" s="7"/>
      <c r="S122" s="7"/>
      <c r="T122" s="7"/>
      <c r="U122" s="6"/>
      <c r="V122" s="11"/>
      <c r="W122" s="6"/>
      <c r="X122" s="6"/>
      <c r="Y122" s="6"/>
      <c r="Z122" s="6"/>
      <c r="AA122" s="8"/>
      <c r="AB122" s="8"/>
      <c r="AC122" s="6"/>
      <c r="AD122" s="6"/>
      <c r="AE122" s="9"/>
    </row>
    <row r="123" spans="1:31" s="10" customFormat="1" ht="15.75" x14ac:dyDescent="0.25">
      <c r="A123" s="3">
        <v>107</v>
      </c>
      <c r="B123" s="3" t="s">
        <v>26</v>
      </c>
      <c r="C123" s="5" t="s">
        <v>2297</v>
      </c>
      <c r="D123" s="4" t="s">
        <v>2298</v>
      </c>
      <c r="E123" s="6">
        <v>41</v>
      </c>
      <c r="F123" s="6">
        <v>388</v>
      </c>
      <c r="G123" s="3">
        <v>1854.1</v>
      </c>
      <c r="H123" s="3" t="s">
        <v>51</v>
      </c>
      <c r="I123" s="7">
        <v>45833</v>
      </c>
      <c r="J123" s="3" t="s">
        <v>76</v>
      </c>
      <c r="K123" s="3"/>
      <c r="L123" s="3"/>
      <c r="M123" s="3"/>
      <c r="N123" s="3"/>
      <c r="O123" s="3"/>
      <c r="P123" s="3"/>
      <c r="Q123" s="6" t="s">
        <v>133</v>
      </c>
      <c r="R123" s="7"/>
      <c r="S123" s="7"/>
      <c r="T123" s="7"/>
      <c r="U123" s="6"/>
      <c r="V123" s="11"/>
      <c r="W123" s="6"/>
      <c r="X123" s="6"/>
      <c r="Y123" s="6"/>
      <c r="Z123" s="6"/>
      <c r="AA123" s="8"/>
      <c r="AB123" s="8"/>
      <c r="AC123" s="6"/>
      <c r="AD123" s="6"/>
      <c r="AE123" s="9"/>
    </row>
    <row r="124" spans="1:31" s="10" customFormat="1" ht="15.75" x14ac:dyDescent="0.25">
      <c r="A124" s="3">
        <v>108</v>
      </c>
      <c r="B124" s="3" t="s">
        <v>26</v>
      </c>
      <c r="C124" s="5" t="s">
        <v>2711</v>
      </c>
      <c r="D124" s="4" t="s">
        <v>2712</v>
      </c>
      <c r="E124" s="6">
        <v>41</v>
      </c>
      <c r="F124" s="6">
        <v>5</v>
      </c>
      <c r="G124" s="3">
        <v>2483.1999999999998</v>
      </c>
      <c r="H124" s="3" t="s">
        <v>51</v>
      </c>
      <c r="I124" s="7">
        <v>45833</v>
      </c>
      <c r="J124" s="3" t="s">
        <v>153</v>
      </c>
      <c r="K124" s="3"/>
      <c r="L124" s="3"/>
      <c r="M124" s="3"/>
      <c r="N124" s="3"/>
      <c r="O124" s="3"/>
      <c r="P124" s="3"/>
      <c r="Q124" s="6" t="s">
        <v>133</v>
      </c>
      <c r="R124" s="7"/>
      <c r="S124" s="7"/>
      <c r="T124" s="7"/>
      <c r="U124" s="6"/>
      <c r="V124" s="11"/>
      <c r="W124" s="6"/>
      <c r="X124" s="6"/>
      <c r="Y124" s="6"/>
      <c r="Z124" s="6"/>
      <c r="AA124" s="8"/>
      <c r="AB124" s="8"/>
      <c r="AC124" s="6"/>
      <c r="AD124" s="6"/>
      <c r="AE124" s="9"/>
    </row>
    <row r="125" spans="1:31" s="10" customFormat="1" ht="15.75" x14ac:dyDescent="0.25">
      <c r="A125" s="3">
        <v>109</v>
      </c>
      <c r="B125" s="3" t="s">
        <v>26</v>
      </c>
      <c r="C125" s="5"/>
      <c r="D125" s="4"/>
      <c r="E125" s="6"/>
      <c r="F125" s="6"/>
      <c r="G125" s="3"/>
      <c r="H125" s="3"/>
      <c r="I125" s="7"/>
      <c r="J125" s="3"/>
      <c r="K125" s="3"/>
      <c r="L125" s="3"/>
      <c r="M125" s="3"/>
      <c r="N125" s="3"/>
      <c r="O125" s="3"/>
      <c r="P125" s="3"/>
      <c r="Q125" s="6"/>
      <c r="R125" s="7"/>
      <c r="S125" s="7"/>
      <c r="T125" s="7"/>
      <c r="U125" s="6"/>
      <c r="V125" s="11"/>
      <c r="W125" s="6"/>
      <c r="X125" s="6"/>
      <c r="Y125" s="6"/>
      <c r="Z125" s="6"/>
      <c r="AA125" s="8"/>
      <c r="AB125" s="8"/>
      <c r="AC125" s="6"/>
      <c r="AD125" s="6"/>
      <c r="AE125" s="9"/>
    </row>
    <row r="126" spans="1:31" s="10" customFormat="1" ht="15.75" x14ac:dyDescent="0.25">
      <c r="A126" s="3">
        <v>110</v>
      </c>
      <c r="B126" s="3" t="s">
        <v>26</v>
      </c>
      <c r="C126" s="5"/>
      <c r="D126" s="4"/>
      <c r="E126" s="6"/>
      <c r="F126" s="6"/>
      <c r="G126" s="3"/>
      <c r="H126" s="3"/>
      <c r="I126" s="7"/>
      <c r="J126" s="3"/>
      <c r="K126" s="3"/>
      <c r="L126" s="3"/>
      <c r="M126" s="3"/>
      <c r="N126" s="3"/>
      <c r="O126" s="3"/>
      <c r="P126" s="3"/>
      <c r="Q126" s="6"/>
      <c r="R126" s="7"/>
      <c r="S126" s="7"/>
      <c r="T126" s="7"/>
      <c r="U126" s="6"/>
      <c r="V126" s="11"/>
      <c r="W126" s="6"/>
      <c r="X126" s="6"/>
      <c r="Y126" s="6"/>
      <c r="Z126" s="6"/>
      <c r="AA126" s="8"/>
      <c r="AB126" s="8"/>
      <c r="AC126" s="6"/>
      <c r="AD126" s="6"/>
      <c r="AE126" s="9"/>
    </row>
    <row r="127" spans="1:31" s="10" customFormat="1" ht="15.75" x14ac:dyDescent="0.25">
      <c r="A127" s="3">
        <v>111</v>
      </c>
      <c r="B127" s="3" t="s">
        <v>26</v>
      </c>
      <c r="C127" s="5"/>
      <c r="D127" s="4"/>
      <c r="E127" s="6"/>
      <c r="F127" s="6"/>
      <c r="G127" s="3"/>
      <c r="H127" s="3"/>
      <c r="I127" s="7"/>
      <c r="J127" s="3"/>
      <c r="K127" s="3"/>
      <c r="L127" s="3"/>
      <c r="M127" s="3"/>
      <c r="N127" s="3"/>
      <c r="O127" s="3"/>
      <c r="P127" s="3"/>
      <c r="Q127" s="6"/>
      <c r="R127" s="7"/>
      <c r="S127" s="7"/>
      <c r="T127" s="7"/>
      <c r="U127" s="6"/>
      <c r="V127" s="11"/>
      <c r="W127" s="6"/>
      <c r="X127" s="6"/>
      <c r="Y127" s="6"/>
      <c r="Z127" s="6"/>
      <c r="AA127" s="8"/>
      <c r="AB127" s="8"/>
      <c r="AC127" s="6"/>
      <c r="AD127" s="6"/>
      <c r="AE127" s="9"/>
    </row>
    <row r="128" spans="1:31" s="10" customFormat="1" ht="15.75" x14ac:dyDescent="0.25">
      <c r="A128" s="3">
        <v>112</v>
      </c>
      <c r="B128" s="3" t="s">
        <v>26</v>
      </c>
      <c r="C128" s="5"/>
      <c r="D128" s="4"/>
      <c r="E128" s="6"/>
      <c r="F128" s="6"/>
      <c r="G128" s="3"/>
      <c r="H128" s="3"/>
      <c r="I128" s="7"/>
      <c r="J128" s="3"/>
      <c r="K128" s="3"/>
      <c r="L128" s="3"/>
      <c r="M128" s="3"/>
      <c r="N128" s="3"/>
      <c r="O128" s="3"/>
      <c r="P128" s="3"/>
      <c r="Q128" s="6"/>
      <c r="R128" s="7"/>
      <c r="S128" s="7"/>
      <c r="T128" s="7"/>
      <c r="U128" s="6"/>
      <c r="V128" s="11"/>
      <c r="W128" s="6"/>
      <c r="X128" s="6"/>
      <c r="Y128" s="6"/>
      <c r="Z128" s="6"/>
      <c r="AA128" s="8"/>
      <c r="AB128" s="8"/>
      <c r="AC128" s="6"/>
      <c r="AD128" s="6"/>
      <c r="AE128" s="9"/>
    </row>
    <row r="129" spans="1:31" s="10" customFormat="1" ht="15.75" x14ac:dyDescent="0.25">
      <c r="A129" s="3">
        <v>113</v>
      </c>
      <c r="B129" s="3" t="s">
        <v>26</v>
      </c>
      <c r="C129" s="5"/>
      <c r="D129" s="4"/>
      <c r="E129" s="6"/>
      <c r="F129" s="6"/>
      <c r="G129" s="3"/>
      <c r="H129" s="3"/>
      <c r="I129" s="7"/>
      <c r="J129" s="3"/>
      <c r="K129" s="3"/>
      <c r="L129" s="3"/>
      <c r="M129" s="3"/>
      <c r="N129" s="3"/>
      <c r="O129" s="3"/>
      <c r="P129" s="3"/>
      <c r="Q129" s="6"/>
      <c r="R129" s="7"/>
      <c r="S129" s="7"/>
      <c r="T129" s="7"/>
      <c r="U129" s="6"/>
      <c r="V129" s="11"/>
      <c r="W129" s="6"/>
      <c r="X129" s="6"/>
      <c r="Y129" s="6"/>
      <c r="Z129" s="6"/>
      <c r="AA129" s="8"/>
      <c r="AB129" s="8"/>
      <c r="AC129" s="6"/>
      <c r="AD129" s="6"/>
      <c r="AE129" s="9"/>
    </row>
    <row r="130" spans="1:31" s="10" customFormat="1" ht="15.75" x14ac:dyDescent="0.25">
      <c r="A130" s="3">
        <v>114</v>
      </c>
      <c r="B130" s="3" t="s">
        <v>26</v>
      </c>
      <c r="C130" s="5"/>
      <c r="D130" s="4"/>
      <c r="E130" s="6"/>
      <c r="F130" s="6"/>
      <c r="G130" s="3"/>
      <c r="H130" s="3"/>
      <c r="I130" s="7"/>
      <c r="J130" s="3"/>
      <c r="K130" s="3"/>
      <c r="L130" s="3"/>
      <c r="M130" s="3"/>
      <c r="N130" s="3"/>
      <c r="O130" s="3"/>
      <c r="P130" s="3"/>
      <c r="Q130" s="6"/>
      <c r="R130" s="7"/>
      <c r="S130" s="7"/>
      <c r="T130" s="7"/>
      <c r="U130" s="6"/>
      <c r="V130" s="11"/>
      <c r="W130" s="6"/>
      <c r="X130" s="6"/>
      <c r="Y130" s="6"/>
      <c r="Z130" s="6"/>
      <c r="AA130" s="8"/>
      <c r="AB130" s="8"/>
      <c r="AC130" s="6"/>
      <c r="AD130" s="6"/>
      <c r="AE130" s="9"/>
    </row>
    <row r="131" spans="1:31" s="10" customFormat="1" ht="15.75" x14ac:dyDescent="0.25">
      <c r="A131" s="3">
        <v>115</v>
      </c>
      <c r="B131" s="3" t="s">
        <v>26</v>
      </c>
      <c r="C131" s="5"/>
      <c r="D131" s="4"/>
      <c r="E131" s="6"/>
      <c r="F131" s="6"/>
      <c r="G131" s="3"/>
      <c r="H131" s="3"/>
      <c r="I131" s="7"/>
      <c r="J131" s="3"/>
      <c r="K131" s="3"/>
      <c r="L131" s="3"/>
      <c r="M131" s="3"/>
      <c r="N131" s="3"/>
      <c r="O131" s="3"/>
      <c r="P131" s="3"/>
      <c r="Q131" s="6"/>
      <c r="R131" s="7"/>
      <c r="S131" s="7"/>
      <c r="T131" s="7"/>
      <c r="U131" s="6"/>
      <c r="V131" s="11"/>
      <c r="W131" s="6"/>
      <c r="X131" s="6"/>
      <c r="Y131" s="6"/>
      <c r="Z131" s="6"/>
      <c r="AA131" s="8"/>
      <c r="AB131" s="8"/>
      <c r="AC131" s="6"/>
      <c r="AD131" s="6"/>
      <c r="AE131" s="9"/>
    </row>
    <row r="132" spans="1:31" s="10" customFormat="1" ht="15.75" x14ac:dyDescent="0.25">
      <c r="A132" s="3">
        <v>116</v>
      </c>
      <c r="B132" s="3" t="s">
        <v>26</v>
      </c>
      <c r="C132" s="5"/>
      <c r="D132" s="4"/>
      <c r="E132" s="6"/>
      <c r="F132" s="6"/>
      <c r="G132" s="3"/>
      <c r="H132" s="3"/>
      <c r="I132" s="7"/>
      <c r="J132" s="3"/>
      <c r="K132" s="3"/>
      <c r="L132" s="3"/>
      <c r="M132" s="3"/>
      <c r="N132" s="3"/>
      <c r="O132" s="3"/>
      <c r="P132" s="3"/>
      <c r="Q132" s="6"/>
      <c r="R132" s="7"/>
      <c r="S132" s="7"/>
      <c r="T132" s="7"/>
      <c r="U132" s="6"/>
      <c r="V132" s="11"/>
      <c r="W132" s="6"/>
      <c r="X132" s="6"/>
      <c r="Y132" s="6"/>
      <c r="Z132" s="6"/>
      <c r="AA132" s="8"/>
      <c r="AB132" s="8"/>
      <c r="AC132" s="6"/>
      <c r="AD132" s="6"/>
      <c r="AE132" s="9"/>
    </row>
    <row r="133" spans="1:31" s="10" customFormat="1" ht="15.75" x14ac:dyDescent="0.25">
      <c r="A133" s="3">
        <v>117</v>
      </c>
      <c r="B133" s="3" t="s">
        <v>26</v>
      </c>
      <c r="C133" s="5"/>
      <c r="D133" s="4"/>
      <c r="E133" s="6"/>
      <c r="F133" s="6"/>
      <c r="G133" s="3"/>
      <c r="H133" s="3"/>
      <c r="I133" s="7"/>
      <c r="J133" s="3"/>
      <c r="K133" s="3"/>
      <c r="L133" s="3"/>
      <c r="M133" s="3"/>
      <c r="N133" s="3"/>
      <c r="O133" s="3"/>
      <c r="P133" s="3"/>
      <c r="Q133" s="6"/>
      <c r="R133" s="7"/>
      <c r="S133" s="7"/>
      <c r="T133" s="7"/>
      <c r="U133" s="6"/>
      <c r="V133" s="11"/>
      <c r="W133" s="6"/>
      <c r="X133" s="6"/>
      <c r="Y133" s="6"/>
      <c r="Z133" s="6"/>
      <c r="AA133" s="8"/>
      <c r="AB133" s="8"/>
      <c r="AC133" s="6"/>
      <c r="AD133" s="6"/>
      <c r="AE133" s="9"/>
    </row>
    <row r="134" spans="1:31" s="10" customFormat="1" ht="15.75" x14ac:dyDescent="0.25">
      <c r="A134" s="3">
        <v>118</v>
      </c>
      <c r="B134" s="3" t="s">
        <v>26</v>
      </c>
      <c r="C134" s="5"/>
      <c r="D134" s="4"/>
      <c r="E134" s="6"/>
      <c r="F134" s="6"/>
      <c r="G134" s="3"/>
      <c r="H134" s="3"/>
      <c r="I134" s="7"/>
      <c r="J134" s="3"/>
      <c r="K134" s="3"/>
      <c r="L134" s="3"/>
      <c r="M134" s="3"/>
      <c r="N134" s="3"/>
      <c r="O134" s="3"/>
      <c r="P134" s="3"/>
      <c r="Q134" s="6"/>
      <c r="R134" s="7"/>
      <c r="S134" s="7"/>
      <c r="T134" s="7"/>
      <c r="U134" s="6"/>
      <c r="V134" s="11"/>
      <c r="W134" s="6"/>
      <c r="X134" s="6"/>
      <c r="Y134" s="6"/>
      <c r="Z134" s="6"/>
      <c r="AA134" s="8"/>
      <c r="AB134" s="8"/>
      <c r="AC134" s="6"/>
      <c r="AD134" s="6"/>
      <c r="AE134" s="9"/>
    </row>
    <row r="135" spans="1:31" s="10" customFormat="1" ht="15.75" x14ac:dyDescent="0.25">
      <c r="A135" s="3">
        <v>119</v>
      </c>
      <c r="B135" s="3" t="s">
        <v>26</v>
      </c>
      <c r="C135" s="5"/>
      <c r="D135" s="4"/>
      <c r="E135" s="6"/>
      <c r="F135" s="6"/>
      <c r="G135" s="3"/>
      <c r="H135" s="3"/>
      <c r="I135" s="7"/>
      <c r="J135" s="3"/>
      <c r="K135" s="3"/>
      <c r="L135" s="3"/>
      <c r="M135" s="3"/>
      <c r="N135" s="3"/>
      <c r="O135" s="3"/>
      <c r="P135" s="3"/>
      <c r="Q135" s="6"/>
      <c r="R135" s="7"/>
      <c r="S135" s="7"/>
      <c r="T135" s="7"/>
      <c r="U135" s="6"/>
      <c r="V135" s="11"/>
      <c r="W135" s="6"/>
      <c r="X135" s="6"/>
      <c r="Y135" s="6"/>
      <c r="Z135" s="6"/>
      <c r="AA135" s="8"/>
      <c r="AB135" s="8"/>
      <c r="AC135" s="6"/>
      <c r="AD135" s="6"/>
      <c r="AE135" s="9"/>
    </row>
    <row r="136" spans="1:31" s="10" customFormat="1" ht="15.75" x14ac:dyDescent="0.25">
      <c r="A136" s="3">
        <v>120</v>
      </c>
      <c r="B136" s="3" t="s">
        <v>26</v>
      </c>
      <c r="C136" s="5"/>
      <c r="D136" s="4"/>
      <c r="E136" s="6"/>
      <c r="F136" s="6"/>
      <c r="G136" s="3"/>
      <c r="H136" s="3"/>
      <c r="I136" s="7"/>
      <c r="J136" s="3"/>
      <c r="K136" s="3"/>
      <c r="L136" s="3"/>
      <c r="M136" s="3"/>
      <c r="N136" s="3"/>
      <c r="O136" s="3"/>
      <c r="P136" s="3"/>
      <c r="Q136" s="6"/>
      <c r="R136" s="7"/>
      <c r="S136" s="7"/>
      <c r="T136" s="7"/>
      <c r="U136" s="6"/>
      <c r="V136" s="11"/>
      <c r="W136" s="6"/>
      <c r="X136" s="6"/>
      <c r="Y136" s="6"/>
      <c r="Z136" s="6"/>
      <c r="AA136" s="8"/>
      <c r="AB136" s="8"/>
      <c r="AC136" s="6"/>
      <c r="AD136" s="6"/>
      <c r="AE136" s="9"/>
    </row>
    <row r="137" spans="1:31" s="10" customFormat="1" ht="15.75" x14ac:dyDescent="0.25">
      <c r="A137" s="3">
        <v>121</v>
      </c>
      <c r="B137" s="3" t="s">
        <v>26</v>
      </c>
      <c r="C137" s="5"/>
      <c r="D137" s="4"/>
      <c r="E137" s="6"/>
      <c r="F137" s="6"/>
      <c r="G137" s="3"/>
      <c r="H137" s="3"/>
      <c r="I137" s="7"/>
      <c r="J137" s="3"/>
      <c r="K137" s="3"/>
      <c r="L137" s="3"/>
      <c r="M137" s="3"/>
      <c r="N137" s="3"/>
      <c r="O137" s="3"/>
      <c r="P137" s="3"/>
      <c r="Q137" s="6"/>
      <c r="R137" s="7"/>
      <c r="S137" s="7"/>
      <c r="T137" s="7"/>
      <c r="U137" s="6"/>
      <c r="V137" s="11"/>
      <c r="W137" s="6"/>
      <c r="X137" s="6"/>
      <c r="Y137" s="6"/>
      <c r="Z137" s="6"/>
      <c r="AA137" s="8"/>
      <c r="AB137" s="8"/>
      <c r="AC137" s="6"/>
      <c r="AD137" s="6"/>
      <c r="AE137" s="9"/>
    </row>
    <row r="138" spans="1:31" s="10" customFormat="1" ht="15.75" x14ac:dyDescent="0.25">
      <c r="A138" s="3">
        <v>122</v>
      </c>
      <c r="B138" s="3" t="s">
        <v>26</v>
      </c>
      <c r="C138" s="5"/>
      <c r="D138" s="4"/>
      <c r="E138" s="6"/>
      <c r="F138" s="6"/>
      <c r="G138" s="3"/>
      <c r="H138" s="3"/>
      <c r="I138" s="7"/>
      <c r="J138" s="3"/>
      <c r="K138" s="3"/>
      <c r="L138" s="3"/>
      <c r="M138" s="3"/>
      <c r="N138" s="3"/>
      <c r="O138" s="3"/>
      <c r="P138" s="3"/>
      <c r="Q138" s="6"/>
      <c r="R138" s="7"/>
      <c r="S138" s="7"/>
      <c r="T138" s="7"/>
      <c r="U138" s="6"/>
      <c r="V138" s="11"/>
      <c r="W138" s="6"/>
      <c r="X138" s="6"/>
      <c r="Y138" s="6"/>
      <c r="Z138" s="6"/>
      <c r="AA138" s="8"/>
      <c r="AB138" s="8"/>
      <c r="AC138" s="6"/>
      <c r="AD138" s="6"/>
      <c r="AE138" s="9"/>
    </row>
    <row r="139" spans="1:31" s="10" customFormat="1" ht="15.75" x14ac:dyDescent="0.25">
      <c r="A139" s="3">
        <v>123</v>
      </c>
      <c r="B139" s="3" t="s">
        <v>26</v>
      </c>
      <c r="C139" s="5"/>
      <c r="D139" s="4"/>
      <c r="E139" s="6"/>
      <c r="F139" s="6"/>
      <c r="G139" s="3"/>
      <c r="H139" s="3"/>
      <c r="I139" s="7"/>
      <c r="J139" s="3"/>
      <c r="K139" s="3"/>
      <c r="L139" s="3"/>
      <c r="M139" s="3"/>
      <c r="N139" s="3"/>
      <c r="O139" s="3"/>
      <c r="P139" s="3"/>
      <c r="Q139" s="6"/>
      <c r="R139" s="7"/>
      <c r="S139" s="7"/>
      <c r="T139" s="7"/>
      <c r="U139" s="6"/>
      <c r="V139" s="11"/>
      <c r="W139" s="6"/>
      <c r="X139" s="6"/>
      <c r="Y139" s="6"/>
      <c r="Z139" s="6"/>
      <c r="AA139" s="8"/>
      <c r="AB139" s="8"/>
      <c r="AC139" s="6"/>
      <c r="AD139" s="6"/>
      <c r="AE139" s="9"/>
    </row>
    <row r="140" spans="1:31" s="10" customFormat="1" ht="15.75" x14ac:dyDescent="0.25">
      <c r="A140" s="3">
        <v>124</v>
      </c>
      <c r="B140" s="3" t="s">
        <v>26</v>
      </c>
      <c r="C140" s="5"/>
      <c r="D140" s="4"/>
      <c r="E140" s="6"/>
      <c r="F140" s="6"/>
      <c r="G140" s="3"/>
      <c r="H140" s="3"/>
      <c r="I140" s="7"/>
      <c r="J140" s="3"/>
      <c r="K140" s="3"/>
      <c r="L140" s="3"/>
      <c r="M140" s="3"/>
      <c r="N140" s="3"/>
      <c r="O140" s="3"/>
      <c r="P140" s="3"/>
      <c r="Q140" s="6"/>
      <c r="R140" s="7"/>
      <c r="S140" s="7"/>
      <c r="T140" s="7"/>
      <c r="U140" s="6"/>
      <c r="V140" s="11"/>
      <c r="W140" s="6"/>
      <c r="X140" s="6"/>
      <c r="Y140" s="6"/>
      <c r="Z140" s="6"/>
      <c r="AA140" s="8"/>
      <c r="AB140" s="8"/>
      <c r="AC140" s="6"/>
      <c r="AD140" s="6"/>
      <c r="AE140" s="9"/>
    </row>
    <row r="141" spans="1:31" s="10" customFormat="1" ht="15.75" x14ac:dyDescent="0.25">
      <c r="A141" s="3">
        <v>125</v>
      </c>
      <c r="B141" s="3" t="s">
        <v>26</v>
      </c>
      <c r="C141" s="5"/>
      <c r="D141" s="4"/>
      <c r="E141" s="6"/>
      <c r="F141" s="6"/>
      <c r="G141" s="3"/>
      <c r="H141" s="3"/>
      <c r="I141" s="7"/>
      <c r="J141" s="3"/>
      <c r="K141" s="3"/>
      <c r="L141" s="3"/>
      <c r="M141" s="3"/>
      <c r="N141" s="3"/>
      <c r="O141" s="3"/>
      <c r="P141" s="3"/>
      <c r="Q141" s="6"/>
      <c r="R141" s="7"/>
      <c r="S141" s="7"/>
      <c r="T141" s="7"/>
      <c r="U141" s="6"/>
      <c r="V141" s="11"/>
      <c r="W141" s="6"/>
      <c r="X141" s="6"/>
      <c r="Y141" s="6"/>
      <c r="Z141" s="6"/>
      <c r="AA141" s="8"/>
      <c r="AB141" s="8"/>
      <c r="AC141" s="6"/>
      <c r="AD141" s="6"/>
      <c r="AE141" s="9"/>
    </row>
    <row r="142" spans="1:31" ht="16.5" x14ac:dyDescent="0.25">
      <c r="A142" s="12"/>
      <c r="B142" s="73" t="s">
        <v>37</v>
      </c>
      <c r="C142" s="74"/>
      <c r="D142" s="74"/>
      <c r="E142" s="74"/>
      <c r="F142" s="74"/>
      <c r="G142" s="74"/>
      <c r="H142" s="75"/>
      <c r="I142" s="13"/>
      <c r="J142" s="14">
        <f>COUNTIF(J3:J141,"CQ")+COUNTIF(J141,"CN")+COUNTIF(J141,"TK")</f>
        <v>4</v>
      </c>
      <c r="K142" s="14">
        <f>COUNTIF(K3:K141,"CMĐ")</f>
        <v>25</v>
      </c>
      <c r="L142" s="14">
        <f>COUNTIF(L141,"XMDT")+COUNTIF(L141,"Mốc")</f>
        <v>0</v>
      </c>
      <c r="M142" s="14">
        <f>COUNTIF(M141,"THÁn")</f>
        <v>0</v>
      </c>
      <c r="N142" s="14">
        <f>COUNTIF(N141,"TÒA")</f>
        <v>0</v>
      </c>
      <c r="O142" s="14">
        <f>COUNTIF(O3:O141,"Cấp GCN")</f>
        <v>1</v>
      </c>
      <c r="P142" s="14">
        <f>COUNTIF(P3:P141,"SHN")</f>
        <v>34</v>
      </c>
      <c r="Q142" s="15"/>
      <c r="R142" s="13"/>
      <c r="S142" s="15"/>
      <c r="T142" s="15"/>
      <c r="U142" s="16"/>
      <c r="V142" s="11"/>
      <c r="W142" s="17"/>
      <c r="X142" s="2"/>
      <c r="AD142" s="14">
        <f>COUNTIF(AD141,"kt")</f>
        <v>0</v>
      </c>
    </row>
  </sheetData>
  <mergeCells count="16">
    <mergeCell ref="A1:AC1"/>
    <mergeCell ref="B142:H142"/>
    <mergeCell ref="B20:H20"/>
    <mergeCell ref="B38:H38"/>
    <mergeCell ref="B55:H55"/>
    <mergeCell ref="B63:H63"/>
    <mergeCell ref="B65:H65"/>
    <mergeCell ref="B72:H72"/>
    <mergeCell ref="B75:H75"/>
    <mergeCell ref="B84:H84"/>
    <mergeCell ref="B89:H89"/>
    <mergeCell ref="B92:H92"/>
    <mergeCell ref="B102:H102"/>
    <mergeCell ref="B104:H104"/>
    <mergeCell ref="B118:H118"/>
    <mergeCell ref="B121:H121"/>
  </mergeCells>
  <phoneticPr fontId="4" type="noConversion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E159"/>
  <sheetViews>
    <sheetView zoomScale="85" zoomScaleNormal="85" workbookViewId="0">
      <pane ySplit="2" topLeftCell="A89" activePane="bottomLeft" state="frozen"/>
      <selection pane="bottomLeft" activeCell="C101" sqref="C101:G101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9" width="12" customWidth="1"/>
    <col min="10" max="10" width="8.42578125" customWidth="1"/>
    <col min="11" max="11" width="7.28515625" customWidth="1"/>
    <col min="12" max="12" width="8.28515625" customWidth="1"/>
    <col min="13" max="13" width="7.5703125" customWidth="1"/>
    <col min="14" max="14" width="5.5703125" customWidth="1"/>
    <col min="15" max="15" width="11.140625" customWidth="1"/>
    <col min="16" max="16" width="9.42578125" customWidth="1"/>
    <col min="17" max="17" width="14.5703125" customWidth="1"/>
    <col min="18" max="20" width="12.140625" customWidth="1"/>
    <col min="21" max="21" width="10.7109375" customWidth="1"/>
    <col min="22" max="22" width="13.28515625" customWidth="1"/>
    <col min="23" max="24" width="9" customWidth="1"/>
    <col min="25" max="25" width="10.28515625" customWidth="1"/>
    <col min="26" max="26" width="15.140625" customWidth="1"/>
    <col min="27" max="27" width="16.85546875" customWidth="1"/>
    <col min="28" max="28" width="20.7109375" customWidth="1"/>
    <col min="29" max="30" width="18.5703125" customWidth="1"/>
    <col min="31" max="31" width="9.140625" style="2"/>
  </cols>
  <sheetData>
    <row r="1" spans="1:31" ht="25.5" customHeight="1" x14ac:dyDescent="0.35">
      <c r="A1" s="76" t="s">
        <v>43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2"/>
    </row>
    <row r="2" spans="1:31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4</v>
      </c>
      <c r="K2" s="1" t="s">
        <v>3</v>
      </c>
      <c r="L2" s="1" t="s">
        <v>1</v>
      </c>
      <c r="M2" s="1" t="s">
        <v>19</v>
      </c>
      <c r="N2" s="1" t="s">
        <v>11</v>
      </c>
      <c r="O2" s="1" t="s">
        <v>12</v>
      </c>
      <c r="P2" s="1" t="s">
        <v>52</v>
      </c>
      <c r="Q2" s="1" t="s">
        <v>2</v>
      </c>
      <c r="R2" s="1" t="s">
        <v>20</v>
      </c>
      <c r="S2" s="1" t="s">
        <v>29</v>
      </c>
      <c r="T2" s="1" t="s">
        <v>30</v>
      </c>
      <c r="U2" s="1" t="s">
        <v>31</v>
      </c>
      <c r="V2" s="1" t="s">
        <v>22</v>
      </c>
      <c r="W2" s="1" t="s">
        <v>21</v>
      </c>
      <c r="X2" s="1" t="s">
        <v>23</v>
      </c>
      <c r="Y2" s="1" t="s">
        <v>24</v>
      </c>
      <c r="Z2" s="1" t="s">
        <v>14</v>
      </c>
      <c r="AA2" s="1" t="s">
        <v>13</v>
      </c>
      <c r="AB2" s="1" t="s">
        <v>18</v>
      </c>
      <c r="AC2" s="1" t="s">
        <v>8</v>
      </c>
      <c r="AD2" s="1" t="s">
        <v>35</v>
      </c>
    </row>
    <row r="3" spans="1:31" s="10" customFormat="1" ht="31.5" x14ac:dyDescent="0.25">
      <c r="A3" s="3">
        <v>1</v>
      </c>
      <c r="B3" s="3" t="s">
        <v>25</v>
      </c>
      <c r="C3" s="5" t="s">
        <v>66</v>
      </c>
      <c r="D3" s="4" t="s">
        <v>67</v>
      </c>
      <c r="E3" s="6">
        <v>10</v>
      </c>
      <c r="F3" s="6">
        <v>1068</v>
      </c>
      <c r="G3" s="3">
        <v>1469</v>
      </c>
      <c r="H3" s="3" t="s">
        <v>51</v>
      </c>
      <c r="I3" s="7">
        <v>45659</v>
      </c>
      <c r="J3" s="3"/>
      <c r="K3" s="3"/>
      <c r="L3" s="3" t="s">
        <v>1</v>
      </c>
      <c r="M3" s="3"/>
      <c r="N3" s="3"/>
      <c r="O3" s="3"/>
      <c r="P3" s="3"/>
      <c r="Q3" s="6" t="s">
        <v>63</v>
      </c>
      <c r="R3" s="7">
        <v>45671</v>
      </c>
      <c r="S3" s="7">
        <v>45693</v>
      </c>
      <c r="T3" s="7">
        <v>45693</v>
      </c>
      <c r="U3" s="6">
        <v>589</v>
      </c>
      <c r="V3" s="11">
        <v>1713674</v>
      </c>
      <c r="W3" s="6"/>
      <c r="X3" s="6"/>
      <c r="Y3" s="8"/>
      <c r="Z3" s="8"/>
      <c r="AA3" s="8"/>
      <c r="AB3" s="6"/>
      <c r="AC3" s="8" t="s">
        <v>1529</v>
      </c>
      <c r="AD3" s="6"/>
      <c r="AE3" s="9"/>
    </row>
    <row r="4" spans="1:31" s="10" customFormat="1" ht="31.5" x14ac:dyDescent="0.25">
      <c r="A4" s="3">
        <v>2</v>
      </c>
      <c r="B4" s="3" t="s">
        <v>25</v>
      </c>
      <c r="C4" s="5" t="s">
        <v>99</v>
      </c>
      <c r="D4" s="4" t="s">
        <v>100</v>
      </c>
      <c r="E4" s="6">
        <v>5</v>
      </c>
      <c r="F4" s="6">
        <v>712</v>
      </c>
      <c r="G4" s="3">
        <v>343.3</v>
      </c>
      <c r="H4" s="3" t="s">
        <v>51</v>
      </c>
      <c r="I4" s="7">
        <v>45663</v>
      </c>
      <c r="J4" s="3"/>
      <c r="K4" s="3"/>
      <c r="L4" s="3" t="s">
        <v>1</v>
      </c>
      <c r="M4" s="3"/>
      <c r="N4" s="3"/>
      <c r="O4" s="3"/>
      <c r="P4" s="3"/>
      <c r="Q4" s="6" t="s">
        <v>101</v>
      </c>
      <c r="R4" s="7">
        <v>45757</v>
      </c>
      <c r="S4" s="7">
        <v>45758</v>
      </c>
      <c r="T4" s="7">
        <v>45758</v>
      </c>
      <c r="U4" s="6">
        <v>2166</v>
      </c>
      <c r="V4" s="11">
        <v>1019155</v>
      </c>
      <c r="W4" s="6"/>
      <c r="X4" s="6"/>
      <c r="Y4" s="6"/>
      <c r="Z4" s="6"/>
      <c r="AA4" s="8"/>
      <c r="AB4" s="8"/>
      <c r="AC4" s="8" t="s">
        <v>1530</v>
      </c>
      <c r="AD4" s="6"/>
      <c r="AE4" s="9"/>
    </row>
    <row r="5" spans="1:31" s="10" customFormat="1" ht="31.5" x14ac:dyDescent="0.25">
      <c r="A5" s="3">
        <v>3</v>
      </c>
      <c r="B5" s="3" t="s">
        <v>25</v>
      </c>
      <c r="C5" s="5" t="s">
        <v>167</v>
      </c>
      <c r="D5" s="4" t="s">
        <v>124</v>
      </c>
      <c r="E5" s="6">
        <v>11</v>
      </c>
      <c r="F5" s="6">
        <v>784</v>
      </c>
      <c r="G5" s="3">
        <v>353.1</v>
      </c>
      <c r="H5" s="3" t="s">
        <v>75</v>
      </c>
      <c r="I5" s="7" t="s">
        <v>156</v>
      </c>
      <c r="J5" s="3"/>
      <c r="K5" s="3" t="s">
        <v>62</v>
      </c>
      <c r="L5" s="3"/>
      <c r="M5" s="3"/>
      <c r="N5" s="3"/>
      <c r="O5" s="3"/>
      <c r="P5" s="3"/>
      <c r="Q5" s="6" t="s">
        <v>101</v>
      </c>
      <c r="R5" s="7"/>
      <c r="S5" s="6"/>
      <c r="T5" s="6"/>
      <c r="U5" s="6"/>
      <c r="V5" s="6"/>
      <c r="W5" s="6"/>
      <c r="X5" s="6"/>
      <c r="Y5" s="6"/>
      <c r="Z5" s="6"/>
      <c r="AA5" s="8"/>
      <c r="AB5" s="8"/>
      <c r="AC5" s="6"/>
      <c r="AD5" s="6"/>
      <c r="AE5" s="9"/>
    </row>
    <row r="6" spans="1:31" s="10" customFormat="1" ht="31.5" x14ac:dyDescent="0.25">
      <c r="A6" s="3">
        <v>4</v>
      </c>
      <c r="B6" s="3" t="s">
        <v>25</v>
      </c>
      <c r="C6" s="5" t="s">
        <v>168</v>
      </c>
      <c r="D6" s="4" t="s">
        <v>169</v>
      </c>
      <c r="E6" s="6">
        <v>24</v>
      </c>
      <c r="F6" s="6">
        <v>68</v>
      </c>
      <c r="G6" s="3"/>
      <c r="H6" s="3"/>
      <c r="I6" s="7" t="s">
        <v>156</v>
      </c>
      <c r="J6" s="3"/>
      <c r="K6" s="3"/>
      <c r="L6" s="3"/>
      <c r="M6" s="3"/>
      <c r="N6" s="3"/>
      <c r="O6" s="3" t="s">
        <v>81</v>
      </c>
      <c r="P6" s="3"/>
      <c r="Q6" s="6" t="s">
        <v>101</v>
      </c>
      <c r="R6" s="7"/>
      <c r="S6" s="7"/>
      <c r="T6" s="7"/>
      <c r="U6" s="6"/>
      <c r="V6" s="11"/>
      <c r="W6" s="6"/>
      <c r="X6" s="6"/>
      <c r="Y6" s="6"/>
      <c r="Z6" s="6"/>
      <c r="AA6" s="8"/>
      <c r="AB6" s="8"/>
      <c r="AC6" s="6"/>
      <c r="AD6" s="6"/>
      <c r="AE6" s="9"/>
    </row>
    <row r="7" spans="1:31" s="10" customFormat="1" ht="31.5" x14ac:dyDescent="0.25">
      <c r="A7" s="3">
        <v>5</v>
      </c>
      <c r="B7" s="3" t="s">
        <v>25</v>
      </c>
      <c r="C7" s="5" t="s">
        <v>211</v>
      </c>
      <c r="D7" s="4" t="s">
        <v>212</v>
      </c>
      <c r="E7" s="6">
        <v>11</v>
      </c>
      <c r="F7" s="6">
        <v>563</v>
      </c>
      <c r="G7" s="3">
        <v>140</v>
      </c>
      <c r="H7" s="3" t="s">
        <v>75</v>
      </c>
      <c r="I7" s="7">
        <v>45664</v>
      </c>
      <c r="J7" s="3"/>
      <c r="K7" s="3"/>
      <c r="L7" s="3" t="s">
        <v>98</v>
      </c>
      <c r="M7" s="3"/>
      <c r="N7" s="3"/>
      <c r="O7" s="3"/>
      <c r="P7" s="3"/>
      <c r="Q7" s="6" t="s">
        <v>101</v>
      </c>
      <c r="R7" s="7">
        <v>45672</v>
      </c>
      <c r="S7" s="7">
        <v>45694</v>
      </c>
      <c r="T7" s="7">
        <v>45694</v>
      </c>
      <c r="U7" s="6">
        <v>605</v>
      </c>
      <c r="V7" s="11">
        <v>943056</v>
      </c>
      <c r="W7" s="6"/>
      <c r="X7" s="6"/>
      <c r="Y7" s="6"/>
      <c r="Z7" s="6"/>
      <c r="AA7" s="8"/>
      <c r="AB7" s="8"/>
      <c r="AC7" s="6" t="s">
        <v>213</v>
      </c>
      <c r="AD7" s="6"/>
      <c r="AE7" s="9"/>
    </row>
    <row r="8" spans="1:31" s="10" customFormat="1" ht="31.5" x14ac:dyDescent="0.25">
      <c r="A8" s="3">
        <v>6</v>
      </c>
      <c r="B8" s="3" t="s">
        <v>25</v>
      </c>
      <c r="C8" s="5" t="s">
        <v>214</v>
      </c>
      <c r="D8" s="4" t="s">
        <v>215</v>
      </c>
      <c r="E8" s="6">
        <v>14</v>
      </c>
      <c r="F8" s="6">
        <v>1059</v>
      </c>
      <c r="G8" s="3" t="s">
        <v>216</v>
      </c>
      <c r="H8" s="3" t="s">
        <v>55</v>
      </c>
      <c r="I8" s="7">
        <v>45665</v>
      </c>
      <c r="J8" s="3"/>
      <c r="K8" s="3"/>
      <c r="L8" s="3"/>
      <c r="M8" s="3"/>
      <c r="N8" s="3"/>
      <c r="O8" s="3"/>
      <c r="P8" s="3" t="s">
        <v>52</v>
      </c>
      <c r="Q8" s="6" t="s">
        <v>101</v>
      </c>
      <c r="R8" s="21">
        <v>45691</v>
      </c>
      <c r="S8" s="7">
        <v>45693</v>
      </c>
      <c r="T8" s="7">
        <v>45693</v>
      </c>
      <c r="U8" s="6">
        <v>597</v>
      </c>
      <c r="V8" s="11">
        <v>2523992</v>
      </c>
      <c r="W8" s="6"/>
      <c r="X8" s="6"/>
      <c r="Y8" s="6"/>
      <c r="Z8" s="6"/>
      <c r="AA8" s="8"/>
      <c r="AB8" s="8"/>
      <c r="AC8" s="6" t="s">
        <v>395</v>
      </c>
      <c r="AD8" s="6"/>
      <c r="AE8" s="9"/>
    </row>
    <row r="9" spans="1:31" s="10" customFormat="1" ht="31.5" x14ac:dyDescent="0.25">
      <c r="A9" s="3">
        <v>7</v>
      </c>
      <c r="B9" s="3" t="s">
        <v>25</v>
      </c>
      <c r="C9" s="5" t="s">
        <v>217</v>
      </c>
      <c r="D9" s="4" t="s">
        <v>218</v>
      </c>
      <c r="E9" s="6">
        <v>17</v>
      </c>
      <c r="F9" s="6">
        <v>100</v>
      </c>
      <c r="G9" s="3">
        <v>4488.2</v>
      </c>
      <c r="H9" s="3" t="s">
        <v>51</v>
      </c>
      <c r="I9" s="7">
        <v>45665</v>
      </c>
      <c r="J9" s="3" t="s">
        <v>76</v>
      </c>
      <c r="K9" s="3"/>
      <c r="L9" s="3"/>
      <c r="M9" s="3"/>
      <c r="N9" s="3"/>
      <c r="O9" s="3"/>
      <c r="P9" s="3"/>
      <c r="Q9" s="6" t="s">
        <v>101</v>
      </c>
      <c r="R9" s="7">
        <v>45671</v>
      </c>
      <c r="S9" s="7">
        <v>45680</v>
      </c>
      <c r="T9" s="7">
        <v>45680</v>
      </c>
      <c r="U9" s="6">
        <v>500</v>
      </c>
      <c r="V9" s="11">
        <v>7489973</v>
      </c>
      <c r="W9" s="6"/>
      <c r="X9" s="6"/>
      <c r="Y9" s="6"/>
      <c r="Z9" s="6" t="s">
        <v>393</v>
      </c>
      <c r="AA9" s="8" t="s">
        <v>394</v>
      </c>
      <c r="AB9" s="8"/>
      <c r="AC9" s="6"/>
      <c r="AD9" s="6"/>
      <c r="AE9" s="9"/>
    </row>
    <row r="10" spans="1:31" s="10" customFormat="1" ht="47.25" x14ac:dyDescent="0.25">
      <c r="A10" s="3">
        <v>8</v>
      </c>
      <c r="B10" s="3" t="s">
        <v>25</v>
      </c>
      <c r="C10" s="5" t="s">
        <v>226</v>
      </c>
      <c r="D10" s="4" t="s">
        <v>227</v>
      </c>
      <c r="E10" s="6">
        <v>15</v>
      </c>
      <c r="F10" s="6">
        <v>1440</v>
      </c>
      <c r="G10" s="3">
        <v>159.6</v>
      </c>
      <c r="H10" s="3" t="s">
        <v>75</v>
      </c>
      <c r="I10" s="7">
        <v>45666</v>
      </c>
      <c r="J10" s="3"/>
      <c r="K10" s="3"/>
      <c r="L10" s="3"/>
      <c r="M10" s="3"/>
      <c r="N10" s="3"/>
      <c r="O10" s="3"/>
      <c r="P10" s="3" t="s">
        <v>52</v>
      </c>
      <c r="Q10" s="6" t="s">
        <v>101</v>
      </c>
      <c r="R10" s="7"/>
      <c r="S10" s="7"/>
      <c r="T10" s="7"/>
      <c r="U10" s="6"/>
      <c r="V10" s="11"/>
      <c r="W10" s="6"/>
      <c r="X10" s="6"/>
      <c r="Y10" s="6"/>
      <c r="Z10" s="6"/>
      <c r="AA10" s="8"/>
      <c r="AB10" s="8"/>
      <c r="AC10" s="6" t="s">
        <v>379</v>
      </c>
      <c r="AD10" s="6" t="s">
        <v>383</v>
      </c>
      <c r="AE10" s="9"/>
    </row>
    <row r="11" spans="1:31" s="10" customFormat="1" ht="30" customHeight="1" x14ac:dyDescent="0.25">
      <c r="A11" s="3">
        <v>9</v>
      </c>
      <c r="B11" s="3" t="s">
        <v>25</v>
      </c>
      <c r="C11" s="19" t="s">
        <v>244</v>
      </c>
      <c r="D11" s="4"/>
      <c r="E11" s="3">
        <v>19</v>
      </c>
      <c r="F11" s="3">
        <v>707</v>
      </c>
      <c r="G11" s="3">
        <v>97.4</v>
      </c>
      <c r="H11" s="3" t="s">
        <v>51</v>
      </c>
      <c r="I11" s="7">
        <v>45667</v>
      </c>
      <c r="J11" s="3"/>
      <c r="K11" s="3"/>
      <c r="L11" s="3"/>
      <c r="M11" s="3"/>
      <c r="N11" s="3"/>
      <c r="O11" s="3"/>
      <c r="P11" s="3" t="s">
        <v>52</v>
      </c>
      <c r="Q11" s="6" t="s">
        <v>101</v>
      </c>
      <c r="R11" s="21">
        <v>45691</v>
      </c>
      <c r="S11" s="7">
        <v>45692</v>
      </c>
      <c r="T11" s="7">
        <v>45692</v>
      </c>
      <c r="U11" s="23">
        <v>564</v>
      </c>
      <c r="V11" s="11">
        <v>1416978</v>
      </c>
      <c r="W11" s="6"/>
      <c r="X11" s="6"/>
      <c r="Y11" s="6"/>
      <c r="Z11" s="6"/>
      <c r="AA11" s="8"/>
      <c r="AB11" s="8"/>
      <c r="AC11" s="6" t="s">
        <v>599</v>
      </c>
      <c r="AD11" s="6"/>
      <c r="AE11" s="9"/>
    </row>
    <row r="12" spans="1:31" s="10" customFormat="1" ht="32.25" customHeight="1" x14ac:dyDescent="0.25">
      <c r="A12" s="3">
        <v>10</v>
      </c>
      <c r="B12" s="3" t="s">
        <v>25</v>
      </c>
      <c r="C12" s="5" t="s">
        <v>259</v>
      </c>
      <c r="D12" s="4" t="s">
        <v>260</v>
      </c>
      <c r="E12" s="6">
        <v>8</v>
      </c>
      <c r="F12" s="6">
        <v>64</v>
      </c>
      <c r="G12" s="3">
        <v>448.4</v>
      </c>
      <c r="H12" s="3" t="s">
        <v>75</v>
      </c>
      <c r="I12" s="7">
        <v>45670</v>
      </c>
      <c r="J12" s="3"/>
      <c r="K12" s="3" t="s">
        <v>62</v>
      </c>
      <c r="L12" s="3"/>
      <c r="M12" s="3"/>
      <c r="N12" s="3"/>
      <c r="O12" s="3"/>
      <c r="P12" s="3"/>
      <c r="Q12" s="6" t="s">
        <v>101</v>
      </c>
      <c r="R12" s="21">
        <v>45679</v>
      </c>
      <c r="S12" s="21">
        <v>45679</v>
      </c>
      <c r="T12" s="21">
        <v>45679</v>
      </c>
      <c r="U12" s="3">
        <v>465</v>
      </c>
      <c r="V12" s="22">
        <v>961551</v>
      </c>
      <c r="W12" s="6"/>
      <c r="X12" s="6"/>
      <c r="Y12" s="6"/>
      <c r="Z12" s="6"/>
      <c r="AA12" s="8"/>
      <c r="AB12" s="8"/>
      <c r="AC12" s="6"/>
      <c r="AD12" s="6"/>
      <c r="AE12" s="9"/>
    </row>
    <row r="13" spans="1:31" s="10" customFormat="1" ht="47.25" x14ac:dyDescent="0.25">
      <c r="A13" s="3">
        <v>11</v>
      </c>
      <c r="B13" s="3" t="s">
        <v>25</v>
      </c>
      <c r="C13" s="5" t="s">
        <v>289</v>
      </c>
      <c r="D13" s="4" t="s">
        <v>290</v>
      </c>
      <c r="E13" s="6">
        <v>11</v>
      </c>
      <c r="F13" s="6">
        <v>188</v>
      </c>
      <c r="G13" s="3">
        <v>288.7</v>
      </c>
      <c r="H13" s="3" t="s">
        <v>75</v>
      </c>
      <c r="I13" s="7">
        <v>45671</v>
      </c>
      <c r="J13" s="3"/>
      <c r="K13" s="3"/>
      <c r="L13" s="3"/>
      <c r="M13" s="3"/>
      <c r="N13" s="3"/>
      <c r="O13" s="3"/>
      <c r="P13" s="3" t="s">
        <v>52</v>
      </c>
      <c r="Q13" s="6" t="s">
        <v>101</v>
      </c>
      <c r="R13" s="7"/>
      <c r="S13" s="7"/>
      <c r="T13" s="7"/>
      <c r="U13" s="6"/>
      <c r="V13" s="11"/>
      <c r="W13" s="6"/>
      <c r="X13" s="6"/>
      <c r="Y13" s="6"/>
      <c r="Z13" s="6"/>
      <c r="AA13" s="8"/>
      <c r="AB13" s="8"/>
      <c r="AC13" s="6" t="s">
        <v>406</v>
      </c>
      <c r="AD13" s="6"/>
      <c r="AE13" s="9"/>
    </row>
    <row r="14" spans="1:31" s="10" customFormat="1" ht="31.5" x14ac:dyDescent="0.25">
      <c r="A14" s="3">
        <v>12</v>
      </c>
      <c r="B14" s="3" t="s">
        <v>25</v>
      </c>
      <c r="C14" s="5" t="s">
        <v>296</v>
      </c>
      <c r="D14" s="4" t="s">
        <v>297</v>
      </c>
      <c r="E14" s="6">
        <v>10</v>
      </c>
      <c r="F14" s="6">
        <v>861</v>
      </c>
      <c r="G14" s="3">
        <v>104.7</v>
      </c>
      <c r="H14" s="3" t="s">
        <v>51</v>
      </c>
      <c r="I14" s="7">
        <v>45672</v>
      </c>
      <c r="J14" s="3"/>
      <c r="K14" s="3"/>
      <c r="L14" s="3" t="s">
        <v>1</v>
      </c>
      <c r="M14" s="3"/>
      <c r="N14" s="3"/>
      <c r="O14" s="3"/>
      <c r="P14" s="3"/>
      <c r="Q14" s="6" t="s">
        <v>101</v>
      </c>
      <c r="R14" s="7">
        <v>45671</v>
      </c>
      <c r="S14" s="7">
        <v>45705</v>
      </c>
      <c r="T14" s="7">
        <v>45705</v>
      </c>
      <c r="U14" s="8">
        <v>841</v>
      </c>
      <c r="V14" s="11">
        <v>961551</v>
      </c>
      <c r="W14" s="6"/>
      <c r="X14" s="6"/>
      <c r="Y14" s="6"/>
      <c r="Z14" s="6"/>
      <c r="AA14" s="8"/>
      <c r="AB14" s="8"/>
      <c r="AC14" s="6" t="s">
        <v>786</v>
      </c>
      <c r="AD14" s="6"/>
      <c r="AE14" s="9"/>
    </row>
    <row r="15" spans="1:31" ht="16.5" x14ac:dyDescent="0.25">
      <c r="A15" s="12"/>
      <c r="B15" s="73" t="s">
        <v>365</v>
      </c>
      <c r="C15" s="74"/>
      <c r="D15" s="74"/>
      <c r="E15" s="74"/>
      <c r="F15" s="74"/>
      <c r="G15" s="74"/>
      <c r="H15" s="75"/>
      <c r="I15" s="13"/>
      <c r="J15" s="14">
        <f>COUNTIF(J3:J14,"CQ")+COUNTIF(J3:J14,"CN")+COUNTIF(J3:J14,"ct")</f>
        <v>1</v>
      </c>
      <c r="K15" s="14">
        <f>COUNTIF(K3:K14,"CMĐ")</f>
        <v>2</v>
      </c>
      <c r="L15" s="14">
        <f>COUNTIF(L3:L14,"XMDT")+COUNTIF(L3:L14,"Mốc")</f>
        <v>4</v>
      </c>
      <c r="M15" s="14">
        <f>COUNTIF(M14,"THÁn")</f>
        <v>0</v>
      </c>
      <c r="N15" s="14">
        <f>COUNTIF(N14,"TÒA")</f>
        <v>0</v>
      </c>
      <c r="O15" s="14">
        <f>COUNTIF(O3:O14,"Cấp GCN")</f>
        <v>1</v>
      </c>
      <c r="P15" s="14">
        <f>COUNTIF(P3:P14,"SHN")</f>
        <v>4</v>
      </c>
      <c r="Q15" s="15"/>
      <c r="R15" s="13"/>
      <c r="S15" s="15"/>
      <c r="T15" s="15"/>
      <c r="U15" s="16"/>
      <c r="V15" s="11"/>
      <c r="W15" s="17"/>
      <c r="X15" s="2"/>
      <c r="AD15" s="14">
        <f>COUNTIF(AD14,"kt")</f>
        <v>0</v>
      </c>
    </row>
    <row r="16" spans="1:31" s="10" customFormat="1" ht="15.75" x14ac:dyDescent="0.25">
      <c r="A16" s="3">
        <v>13</v>
      </c>
      <c r="B16" s="3" t="s">
        <v>25</v>
      </c>
      <c r="C16" s="5" t="s">
        <v>427</v>
      </c>
      <c r="D16" s="4" t="s">
        <v>428</v>
      </c>
      <c r="E16" s="6">
        <v>10</v>
      </c>
      <c r="F16" s="6">
        <v>278</v>
      </c>
      <c r="G16" s="3">
        <v>94.2</v>
      </c>
      <c r="H16" s="3" t="s">
        <v>51</v>
      </c>
      <c r="I16" s="7">
        <v>45698</v>
      </c>
      <c r="J16" s="3"/>
      <c r="K16" s="3" t="s">
        <v>62</v>
      </c>
      <c r="L16" s="3"/>
      <c r="M16" s="3"/>
      <c r="N16" s="3"/>
      <c r="O16" s="3"/>
      <c r="P16" s="3"/>
      <c r="Q16" s="6" t="s">
        <v>101</v>
      </c>
      <c r="R16" s="7">
        <v>45743</v>
      </c>
      <c r="S16" s="7">
        <v>45743</v>
      </c>
      <c r="T16" s="7">
        <v>45743</v>
      </c>
      <c r="U16" s="6">
        <v>1802</v>
      </c>
      <c r="V16" s="11">
        <v>809727</v>
      </c>
      <c r="W16" s="6"/>
      <c r="X16" s="6"/>
      <c r="Y16" s="6"/>
      <c r="Z16" s="6"/>
      <c r="AA16" s="8"/>
      <c r="AB16" s="8"/>
      <c r="AC16" s="6"/>
      <c r="AD16" s="6"/>
      <c r="AE16" s="9"/>
    </row>
    <row r="17" spans="1:31" s="10" customFormat="1" ht="31.5" x14ac:dyDescent="0.25">
      <c r="A17" s="3">
        <v>14</v>
      </c>
      <c r="B17" s="3" t="s">
        <v>25</v>
      </c>
      <c r="C17" s="5" t="s">
        <v>433</v>
      </c>
      <c r="D17" s="4" t="s">
        <v>434</v>
      </c>
      <c r="E17" s="6">
        <v>24</v>
      </c>
      <c r="F17" s="6">
        <v>500</v>
      </c>
      <c r="G17" s="3">
        <v>714.8</v>
      </c>
      <c r="H17" s="3" t="s">
        <v>51</v>
      </c>
      <c r="I17" s="7">
        <v>45698</v>
      </c>
      <c r="J17" s="3"/>
      <c r="K17" s="3" t="s">
        <v>62</v>
      </c>
      <c r="L17" s="3"/>
      <c r="M17" s="3"/>
      <c r="N17" s="3"/>
      <c r="O17" s="3"/>
      <c r="P17" s="3"/>
      <c r="Q17" s="6" t="s">
        <v>101</v>
      </c>
      <c r="R17" s="7">
        <v>45707</v>
      </c>
      <c r="S17" s="7">
        <v>45709</v>
      </c>
      <c r="T17" s="7">
        <v>45709</v>
      </c>
      <c r="U17" s="6">
        <v>975</v>
      </c>
      <c r="V17" s="11">
        <v>809727</v>
      </c>
      <c r="W17" s="6"/>
      <c r="X17" s="6"/>
      <c r="Y17" s="6"/>
      <c r="Z17" s="6" t="s">
        <v>1236</v>
      </c>
      <c r="AA17" s="8" t="s">
        <v>1237</v>
      </c>
      <c r="AB17" s="8"/>
      <c r="AC17" s="6"/>
      <c r="AD17" s="6"/>
      <c r="AE17" s="9"/>
    </row>
    <row r="18" spans="1:31" s="10" customFormat="1" ht="31.5" x14ac:dyDescent="0.25">
      <c r="A18" s="3">
        <v>15</v>
      </c>
      <c r="B18" s="3" t="s">
        <v>25</v>
      </c>
      <c r="C18" s="5" t="s">
        <v>459</v>
      </c>
      <c r="D18" s="4" t="s">
        <v>460</v>
      </c>
      <c r="E18" s="6">
        <v>5</v>
      </c>
      <c r="F18" s="6">
        <v>209</v>
      </c>
      <c r="G18" s="3">
        <v>243.1</v>
      </c>
      <c r="H18" s="3" t="s">
        <v>75</v>
      </c>
      <c r="I18" s="7">
        <v>45699</v>
      </c>
      <c r="J18" s="3"/>
      <c r="K18" s="3"/>
      <c r="L18" s="3"/>
      <c r="M18" s="3"/>
      <c r="N18" s="3"/>
      <c r="O18" s="3"/>
      <c r="P18" s="3" t="s">
        <v>52</v>
      </c>
      <c r="Q18" s="6" t="s">
        <v>101</v>
      </c>
      <c r="R18" s="7">
        <v>45715</v>
      </c>
      <c r="S18" s="7">
        <v>45744</v>
      </c>
      <c r="T18" s="7">
        <v>45744</v>
      </c>
      <c r="U18" s="6">
        <v>1836</v>
      </c>
      <c r="V18" s="11">
        <v>2523992</v>
      </c>
      <c r="W18" s="6"/>
      <c r="X18" s="6"/>
      <c r="Y18" s="6"/>
      <c r="Z18" s="6"/>
      <c r="AA18" s="8"/>
      <c r="AB18" s="8"/>
      <c r="AC18" s="6" t="s">
        <v>1455</v>
      </c>
      <c r="AD18" s="6"/>
      <c r="AE18" s="9"/>
    </row>
    <row r="19" spans="1:31" s="10" customFormat="1" ht="15.75" x14ac:dyDescent="0.25">
      <c r="A19" s="3">
        <v>16</v>
      </c>
      <c r="B19" s="3" t="s">
        <v>25</v>
      </c>
      <c r="C19" s="5" t="s">
        <v>485</v>
      </c>
      <c r="D19" s="4"/>
      <c r="E19" s="6">
        <v>17</v>
      </c>
      <c r="F19" s="6">
        <v>105</v>
      </c>
      <c r="G19" s="3">
        <v>1181.8</v>
      </c>
      <c r="H19" s="3" t="s">
        <v>75</v>
      </c>
      <c r="I19" s="7">
        <v>45700</v>
      </c>
      <c r="J19" s="3"/>
      <c r="K19" s="3" t="s">
        <v>62</v>
      </c>
      <c r="L19" s="3"/>
      <c r="M19" s="3"/>
      <c r="N19" s="3"/>
      <c r="O19" s="3"/>
      <c r="P19" s="3"/>
      <c r="Q19" s="6" t="s">
        <v>101</v>
      </c>
      <c r="R19" s="7">
        <v>45743</v>
      </c>
      <c r="S19" s="7">
        <v>45769</v>
      </c>
      <c r="T19" s="7">
        <v>45769</v>
      </c>
      <c r="U19" s="6">
        <v>77</v>
      </c>
      <c r="V19" s="11">
        <v>809727</v>
      </c>
      <c r="W19" s="6"/>
      <c r="X19" s="6"/>
      <c r="Y19" s="6"/>
      <c r="Z19" s="6"/>
      <c r="AA19" s="8"/>
      <c r="AB19" s="8"/>
      <c r="AC19" s="6"/>
      <c r="AD19" s="6"/>
      <c r="AE19" s="9"/>
    </row>
    <row r="20" spans="1:31" s="10" customFormat="1" ht="31.5" x14ac:dyDescent="0.25">
      <c r="A20" s="3">
        <v>17</v>
      </c>
      <c r="B20" s="3" t="s">
        <v>25</v>
      </c>
      <c r="C20" s="5" t="s">
        <v>511</v>
      </c>
      <c r="D20" s="4" t="s">
        <v>512</v>
      </c>
      <c r="E20" s="6"/>
      <c r="F20" s="6">
        <v>7</v>
      </c>
      <c r="G20" s="3">
        <v>142</v>
      </c>
      <c r="H20" s="3">
        <v>179.3</v>
      </c>
      <c r="I20" s="7">
        <v>45701</v>
      </c>
      <c r="J20" s="3"/>
      <c r="K20" s="3"/>
      <c r="L20" s="3"/>
      <c r="M20" s="3"/>
      <c r="N20" s="3"/>
      <c r="O20" s="3"/>
      <c r="P20" s="3" t="s">
        <v>52</v>
      </c>
      <c r="Q20" s="6" t="s">
        <v>101</v>
      </c>
      <c r="R20" s="7"/>
      <c r="S20" s="7"/>
      <c r="T20" s="7"/>
      <c r="U20" s="6"/>
      <c r="V20" s="11"/>
      <c r="W20" s="6"/>
      <c r="X20" s="6"/>
      <c r="Y20" s="6"/>
      <c r="Z20" s="6"/>
      <c r="AA20" s="8"/>
      <c r="AB20" s="8"/>
      <c r="AC20" s="6"/>
      <c r="AD20" s="6"/>
      <c r="AE20" s="9"/>
    </row>
    <row r="21" spans="1:31" s="10" customFormat="1" ht="15.75" x14ac:dyDescent="0.25">
      <c r="A21" s="3">
        <v>18</v>
      </c>
      <c r="B21" s="3" t="s">
        <v>25</v>
      </c>
      <c r="C21" s="5" t="s">
        <v>540</v>
      </c>
      <c r="D21" s="4" t="s">
        <v>541</v>
      </c>
      <c r="E21" s="6">
        <v>16</v>
      </c>
      <c r="F21" s="6">
        <v>886</v>
      </c>
      <c r="G21" s="3">
        <v>2488.1999999999998</v>
      </c>
      <c r="H21" s="3" t="s">
        <v>51</v>
      </c>
      <c r="I21" s="7">
        <v>45702</v>
      </c>
      <c r="J21" s="3" t="s">
        <v>76</v>
      </c>
      <c r="K21" s="3"/>
      <c r="L21" s="3"/>
      <c r="M21" s="3"/>
      <c r="N21" s="3"/>
      <c r="O21" s="3"/>
      <c r="P21" s="3"/>
      <c r="Q21" s="6" t="s">
        <v>101</v>
      </c>
      <c r="R21" s="7"/>
      <c r="S21" s="7"/>
      <c r="T21" s="7"/>
      <c r="U21" s="6"/>
      <c r="V21" s="11"/>
      <c r="W21" s="6"/>
      <c r="X21" s="6"/>
      <c r="Y21" s="6"/>
      <c r="Z21" s="6"/>
      <c r="AA21" s="8"/>
      <c r="AB21" s="8"/>
      <c r="AC21" s="6"/>
      <c r="AD21" s="6"/>
      <c r="AE21" s="9"/>
    </row>
    <row r="22" spans="1:31" s="10" customFormat="1" ht="105" customHeight="1" x14ac:dyDescent="0.25">
      <c r="A22" s="3">
        <v>19</v>
      </c>
      <c r="B22" s="3" t="s">
        <v>25</v>
      </c>
      <c r="C22" s="5" t="s">
        <v>564</v>
      </c>
      <c r="D22" s="4" t="s">
        <v>565</v>
      </c>
      <c r="E22" s="6">
        <v>11</v>
      </c>
      <c r="F22" s="6">
        <v>707</v>
      </c>
      <c r="G22" s="3">
        <v>671</v>
      </c>
      <c r="H22" s="3" t="s">
        <v>51</v>
      </c>
      <c r="I22" s="7">
        <v>45705</v>
      </c>
      <c r="J22" s="3"/>
      <c r="K22" s="3" t="s">
        <v>62</v>
      </c>
      <c r="L22" s="3"/>
      <c r="M22" s="3"/>
      <c r="N22" s="3"/>
      <c r="O22" s="3"/>
      <c r="P22" s="3"/>
      <c r="Q22" s="6" t="s">
        <v>101</v>
      </c>
      <c r="R22" s="7" t="s">
        <v>1021</v>
      </c>
      <c r="S22" s="7">
        <v>45720</v>
      </c>
      <c r="T22" s="7">
        <v>45720</v>
      </c>
      <c r="U22" s="6">
        <v>1226</v>
      </c>
      <c r="V22" s="11">
        <v>1019155</v>
      </c>
      <c r="W22" s="6"/>
      <c r="X22" s="6"/>
      <c r="Y22" s="6"/>
      <c r="Z22" s="6" t="s">
        <v>1055</v>
      </c>
      <c r="AA22" s="8" t="s">
        <v>1056</v>
      </c>
      <c r="AB22" s="8"/>
      <c r="AC22" s="6" t="s">
        <v>1022</v>
      </c>
      <c r="AD22" s="6"/>
      <c r="AE22" s="9"/>
    </row>
    <row r="23" spans="1:31" s="10" customFormat="1" ht="31.5" customHeight="1" x14ac:dyDescent="0.25">
      <c r="A23" s="3">
        <v>20</v>
      </c>
      <c r="B23" s="3" t="s">
        <v>25</v>
      </c>
      <c r="C23" s="5" t="s">
        <v>597</v>
      </c>
      <c r="D23" s="4" t="s">
        <v>598</v>
      </c>
      <c r="E23" s="6">
        <v>24</v>
      </c>
      <c r="F23" s="6">
        <v>255</v>
      </c>
      <c r="G23" s="3">
        <v>119.3</v>
      </c>
      <c r="H23" s="3" t="s">
        <v>51</v>
      </c>
      <c r="I23" s="7">
        <v>45707</v>
      </c>
      <c r="J23" s="3"/>
      <c r="K23" s="3" t="s">
        <v>62</v>
      </c>
      <c r="L23" s="3"/>
      <c r="M23" s="3"/>
      <c r="N23" s="3"/>
      <c r="O23" s="3"/>
      <c r="P23" s="3"/>
      <c r="Q23" s="6" t="s">
        <v>101</v>
      </c>
      <c r="R23" s="7">
        <v>45743</v>
      </c>
      <c r="S23" s="7">
        <v>45748</v>
      </c>
      <c r="T23" s="7">
        <v>45748</v>
      </c>
      <c r="U23" s="6">
        <v>1900</v>
      </c>
      <c r="V23" s="11">
        <v>961551</v>
      </c>
      <c r="W23" s="6"/>
      <c r="X23" s="6"/>
      <c r="Y23" s="6"/>
      <c r="Z23" s="6"/>
      <c r="AA23" s="8"/>
      <c r="AB23" s="8"/>
      <c r="AC23" s="6"/>
      <c r="AD23" s="6"/>
      <c r="AE23" s="9"/>
    </row>
    <row r="24" spans="1:31" s="10" customFormat="1" ht="31.5" x14ac:dyDescent="0.25">
      <c r="A24" s="3">
        <v>21</v>
      </c>
      <c r="B24" s="3" t="s">
        <v>25</v>
      </c>
      <c r="C24" s="5" t="s">
        <v>606</v>
      </c>
      <c r="D24" s="4" t="s">
        <v>607</v>
      </c>
      <c r="E24" s="6">
        <v>5</v>
      </c>
      <c r="F24" s="6">
        <v>46</v>
      </c>
      <c r="G24" s="3">
        <v>155.9</v>
      </c>
      <c r="H24" s="3" t="s">
        <v>75</v>
      </c>
      <c r="I24" s="7">
        <v>45707</v>
      </c>
      <c r="J24" s="3"/>
      <c r="K24" s="3"/>
      <c r="L24" s="3"/>
      <c r="M24" s="3"/>
      <c r="N24" s="3"/>
      <c r="O24" s="3"/>
      <c r="P24" s="3" t="s">
        <v>52</v>
      </c>
      <c r="Q24" s="6" t="s">
        <v>101</v>
      </c>
      <c r="R24" s="7">
        <v>45833</v>
      </c>
      <c r="S24" s="7">
        <v>45834</v>
      </c>
      <c r="T24" s="7">
        <v>45834</v>
      </c>
      <c r="U24" s="20">
        <v>1922</v>
      </c>
      <c r="V24" s="11">
        <v>2125468</v>
      </c>
      <c r="W24" s="6"/>
      <c r="X24" s="6"/>
      <c r="Y24" s="6"/>
      <c r="Z24" s="6" t="s">
        <v>2724</v>
      </c>
      <c r="AA24" s="8" t="s">
        <v>972</v>
      </c>
      <c r="AB24" s="6" t="s">
        <v>971</v>
      </c>
      <c r="AC24" s="6"/>
      <c r="AD24" s="6"/>
      <c r="AE24" s="9"/>
    </row>
    <row r="25" spans="1:31" s="10" customFormat="1" ht="15.75" x14ac:dyDescent="0.25">
      <c r="A25" s="3">
        <v>22</v>
      </c>
      <c r="B25" s="3" t="s">
        <v>25</v>
      </c>
      <c r="C25" s="5" t="s">
        <v>66</v>
      </c>
      <c r="D25" s="4" t="s">
        <v>67</v>
      </c>
      <c r="E25" s="6">
        <v>10</v>
      </c>
      <c r="F25" s="6">
        <v>1068</v>
      </c>
      <c r="G25" s="3">
        <v>1429.4</v>
      </c>
      <c r="H25" s="3" t="s">
        <v>51</v>
      </c>
      <c r="I25" s="7">
        <v>45709</v>
      </c>
      <c r="J25" s="3" t="s">
        <v>76</v>
      </c>
      <c r="K25" s="3"/>
      <c r="L25" s="3"/>
      <c r="M25" s="3"/>
      <c r="N25" s="3"/>
      <c r="O25" s="3"/>
      <c r="P25" s="3"/>
      <c r="Q25" s="6" t="s">
        <v>101</v>
      </c>
      <c r="R25" s="7">
        <v>45721</v>
      </c>
      <c r="S25" s="7">
        <v>45726</v>
      </c>
      <c r="T25" s="7">
        <v>45726</v>
      </c>
      <c r="U25" s="6">
        <v>1319</v>
      </c>
      <c r="V25" s="11">
        <v>1248329</v>
      </c>
      <c r="W25" s="6"/>
      <c r="X25" s="6"/>
      <c r="Y25" s="6"/>
      <c r="Z25" s="6" t="s">
        <v>969</v>
      </c>
      <c r="AA25" s="8"/>
      <c r="AB25" s="8" t="s">
        <v>970</v>
      </c>
      <c r="AC25" s="6"/>
      <c r="AD25" s="6"/>
      <c r="AE25" s="9"/>
    </row>
    <row r="26" spans="1:31" s="10" customFormat="1" ht="31.5" x14ac:dyDescent="0.25">
      <c r="A26" s="3">
        <v>23</v>
      </c>
      <c r="B26" s="3" t="s">
        <v>25</v>
      </c>
      <c r="C26" s="5" t="s">
        <v>678</v>
      </c>
      <c r="D26" s="4" t="s">
        <v>679</v>
      </c>
      <c r="E26" s="6">
        <v>10</v>
      </c>
      <c r="F26" s="6">
        <v>1084</v>
      </c>
      <c r="G26" s="3">
        <v>506.7</v>
      </c>
      <c r="H26" s="3" t="s">
        <v>51</v>
      </c>
      <c r="I26" s="7">
        <v>45712</v>
      </c>
      <c r="J26" s="3"/>
      <c r="K26" s="3" t="s">
        <v>62</v>
      </c>
      <c r="L26" s="3"/>
      <c r="M26" s="3"/>
      <c r="N26" s="3"/>
      <c r="O26" s="3"/>
      <c r="P26" s="3"/>
      <c r="Q26" s="6" t="s">
        <v>101</v>
      </c>
      <c r="R26" s="7">
        <v>45726</v>
      </c>
      <c r="S26" s="7">
        <v>45727</v>
      </c>
      <c r="T26" s="7">
        <v>45727</v>
      </c>
      <c r="U26" s="6">
        <v>1392</v>
      </c>
      <c r="V26" s="11">
        <v>809727</v>
      </c>
      <c r="W26" s="6"/>
      <c r="X26" s="6"/>
      <c r="Y26" s="6"/>
      <c r="Z26" s="6" t="s">
        <v>1614</v>
      </c>
      <c r="AA26" s="8" t="s">
        <v>1615</v>
      </c>
      <c r="AB26" s="8"/>
      <c r="AC26" s="6"/>
      <c r="AD26" s="6"/>
      <c r="AE26" s="9"/>
    </row>
    <row r="27" spans="1:31" ht="16.5" x14ac:dyDescent="0.25">
      <c r="A27" s="12"/>
      <c r="B27" s="73" t="s">
        <v>706</v>
      </c>
      <c r="C27" s="74"/>
      <c r="D27" s="74"/>
      <c r="E27" s="74"/>
      <c r="F27" s="74"/>
      <c r="G27" s="74"/>
      <c r="H27" s="75"/>
      <c r="I27" s="13"/>
      <c r="J27" s="14">
        <f>COUNTIF(J16:J26,"CT")+COUNTIF(J26,"CN")+COUNTIF(J26,"TK")</f>
        <v>2</v>
      </c>
      <c r="K27" s="14">
        <f>COUNTIF(K16:K26,"CMĐ")</f>
        <v>6</v>
      </c>
      <c r="L27" s="14">
        <f>COUNTIF(L26,"XMDT")+COUNTIF(L26,"Mốc")</f>
        <v>0</v>
      </c>
      <c r="M27" s="14">
        <f>COUNTIF(M26,"THÁn")</f>
        <v>0</v>
      </c>
      <c r="N27" s="14">
        <f>COUNTIF(N26,"TÒA")</f>
        <v>0</v>
      </c>
      <c r="O27" s="14">
        <f>COUNTIF(O16:O26,"Cấp GCN")</f>
        <v>0</v>
      </c>
      <c r="P27" s="14">
        <f>COUNTIF(P16:P26,"SHN")</f>
        <v>3</v>
      </c>
      <c r="Q27" s="15"/>
      <c r="R27" s="13"/>
      <c r="S27" s="15"/>
      <c r="T27" s="15"/>
      <c r="U27" s="16"/>
      <c r="V27" s="11"/>
      <c r="W27" s="17"/>
      <c r="X27" s="2"/>
      <c r="AD27" s="14">
        <f>COUNTIF(AD26,"kt")</f>
        <v>0</v>
      </c>
    </row>
    <row r="28" spans="1:31" s="10" customFormat="1" ht="31.5" x14ac:dyDescent="0.25">
      <c r="A28" s="3">
        <v>24</v>
      </c>
      <c r="B28" s="3" t="s">
        <v>25</v>
      </c>
      <c r="C28" s="5" t="s">
        <v>743</v>
      </c>
      <c r="D28" s="4" t="s">
        <v>744</v>
      </c>
      <c r="E28" s="6">
        <v>23</v>
      </c>
      <c r="F28" s="6">
        <v>134</v>
      </c>
      <c r="G28" s="3">
        <v>293.8</v>
      </c>
      <c r="H28" s="3" t="s">
        <v>75</v>
      </c>
      <c r="I28" s="7">
        <v>45714</v>
      </c>
      <c r="J28" s="3"/>
      <c r="K28" s="3"/>
      <c r="L28" s="3"/>
      <c r="M28" s="3"/>
      <c r="N28" s="3"/>
      <c r="O28" s="3"/>
      <c r="P28" s="3" t="s">
        <v>52</v>
      </c>
      <c r="Q28" s="6" t="s">
        <v>101</v>
      </c>
      <c r="R28" s="7">
        <v>45723</v>
      </c>
      <c r="S28" s="7">
        <v>45726</v>
      </c>
      <c r="T28" s="7">
        <v>45726</v>
      </c>
      <c r="U28" s="6">
        <v>1338</v>
      </c>
      <c r="V28" s="11">
        <v>2125468</v>
      </c>
      <c r="W28" s="6"/>
      <c r="X28" s="6"/>
      <c r="Y28" s="6"/>
      <c r="Z28" s="6"/>
      <c r="AA28" s="8"/>
      <c r="AB28" s="8"/>
      <c r="AC28" s="6" t="s">
        <v>975</v>
      </c>
      <c r="AD28" s="6"/>
      <c r="AE28" s="9"/>
    </row>
    <row r="29" spans="1:31" s="10" customFormat="1" ht="31.5" x14ac:dyDescent="0.25">
      <c r="A29" s="3">
        <v>25</v>
      </c>
      <c r="B29" s="3" t="s">
        <v>25</v>
      </c>
      <c r="C29" s="5" t="s">
        <v>264</v>
      </c>
      <c r="D29" s="4" t="s">
        <v>265</v>
      </c>
      <c r="E29" s="6">
        <v>16</v>
      </c>
      <c r="F29" s="6">
        <v>417</v>
      </c>
      <c r="G29" s="3">
        <v>126</v>
      </c>
      <c r="H29" s="3" t="s">
        <v>55</v>
      </c>
      <c r="I29" s="7">
        <v>45716</v>
      </c>
      <c r="J29" s="3"/>
      <c r="K29" s="3"/>
      <c r="L29" s="3"/>
      <c r="M29" s="3"/>
      <c r="N29" s="3"/>
      <c r="O29" s="3"/>
      <c r="P29" s="3" t="s">
        <v>52</v>
      </c>
      <c r="Q29" s="6" t="s">
        <v>101</v>
      </c>
      <c r="R29" s="7">
        <v>45748</v>
      </c>
      <c r="S29" s="7">
        <v>45748</v>
      </c>
      <c r="T29" s="7">
        <v>45748</v>
      </c>
      <c r="U29" s="20">
        <v>1917</v>
      </c>
      <c r="V29" s="11">
        <v>1682662</v>
      </c>
      <c r="W29" s="6"/>
      <c r="X29" s="6"/>
      <c r="Y29" s="6"/>
      <c r="Z29" s="6"/>
      <c r="AA29" s="8"/>
      <c r="AB29" s="8"/>
      <c r="AC29" s="6" t="s">
        <v>1384</v>
      </c>
      <c r="AD29" s="6"/>
      <c r="AE29" s="9"/>
    </row>
    <row r="30" spans="1:31" s="10" customFormat="1" ht="15.75" x14ac:dyDescent="0.25">
      <c r="A30" s="3">
        <v>26</v>
      </c>
      <c r="B30" s="3" t="s">
        <v>25</v>
      </c>
      <c r="C30" s="5" t="s">
        <v>846</v>
      </c>
      <c r="D30" s="4" t="s">
        <v>847</v>
      </c>
      <c r="E30" s="6">
        <v>19</v>
      </c>
      <c r="F30" s="6">
        <v>426</v>
      </c>
      <c r="G30" s="3">
        <v>641.1</v>
      </c>
      <c r="H30" s="3" t="s">
        <v>75</v>
      </c>
      <c r="I30" s="7">
        <v>45720</v>
      </c>
      <c r="J30" s="3"/>
      <c r="K30" s="3" t="s">
        <v>62</v>
      </c>
      <c r="L30" s="3"/>
      <c r="M30" s="3"/>
      <c r="N30" s="3"/>
      <c r="O30" s="3"/>
      <c r="P30" s="3"/>
      <c r="Q30" s="6" t="s">
        <v>101</v>
      </c>
      <c r="R30" s="7"/>
      <c r="S30" s="7"/>
      <c r="T30" s="7"/>
      <c r="U30" s="6"/>
      <c r="V30" s="11"/>
      <c r="W30" s="6"/>
      <c r="X30" s="6"/>
      <c r="Y30" s="6"/>
      <c r="Z30" s="6"/>
      <c r="AA30" s="8"/>
      <c r="AB30" s="8"/>
      <c r="AC30" s="6"/>
      <c r="AD30" s="6"/>
      <c r="AE30" s="9"/>
    </row>
    <row r="31" spans="1:31" s="10" customFormat="1" ht="31.5" x14ac:dyDescent="0.25">
      <c r="A31" s="3">
        <v>27</v>
      </c>
      <c r="B31" s="3" t="s">
        <v>25</v>
      </c>
      <c r="C31" s="5" t="s">
        <v>852</v>
      </c>
      <c r="D31" s="4" t="s">
        <v>829</v>
      </c>
      <c r="E31" s="6">
        <v>20</v>
      </c>
      <c r="F31" s="6">
        <v>859</v>
      </c>
      <c r="G31" s="3">
        <v>76.5</v>
      </c>
      <c r="H31" s="3" t="s">
        <v>55</v>
      </c>
      <c r="I31" s="7" t="s">
        <v>2498</v>
      </c>
      <c r="J31" s="3"/>
      <c r="K31" s="3"/>
      <c r="L31" s="3"/>
      <c r="M31" s="3"/>
      <c r="N31" s="3"/>
      <c r="O31" s="3"/>
      <c r="P31" s="3" t="s">
        <v>52</v>
      </c>
      <c r="Q31" s="6" t="s">
        <v>101</v>
      </c>
      <c r="R31" s="7"/>
      <c r="S31" s="7"/>
      <c r="T31" s="7"/>
      <c r="U31" s="6"/>
      <c r="V31" s="11"/>
      <c r="W31" s="6"/>
      <c r="X31" s="6"/>
      <c r="Y31" s="6"/>
      <c r="Z31" s="6"/>
      <c r="AA31" s="8"/>
      <c r="AB31" s="8"/>
      <c r="AC31" s="6" t="s">
        <v>2502</v>
      </c>
      <c r="AD31" s="6"/>
      <c r="AE31" s="9"/>
    </row>
    <row r="32" spans="1:31" s="10" customFormat="1" ht="15.75" x14ac:dyDescent="0.25">
      <c r="A32" s="3">
        <v>28</v>
      </c>
      <c r="B32" s="3" t="s">
        <v>25</v>
      </c>
      <c r="C32" s="5" t="s">
        <v>858</v>
      </c>
      <c r="D32" s="4" t="s">
        <v>859</v>
      </c>
      <c r="E32" s="6">
        <v>16</v>
      </c>
      <c r="F32" s="6">
        <v>614</v>
      </c>
      <c r="G32" s="3">
        <v>89.4</v>
      </c>
      <c r="H32" s="3" t="s">
        <v>55</v>
      </c>
      <c r="I32" s="7">
        <v>45721</v>
      </c>
      <c r="J32" s="3"/>
      <c r="K32" s="3"/>
      <c r="L32" s="3"/>
      <c r="M32" s="3"/>
      <c r="N32" s="3"/>
      <c r="O32" s="3" t="s">
        <v>860</v>
      </c>
      <c r="P32" s="3"/>
      <c r="Q32" s="6" t="s">
        <v>101</v>
      </c>
      <c r="R32" s="7">
        <v>45824</v>
      </c>
      <c r="S32" s="7">
        <v>45824</v>
      </c>
      <c r="T32" s="7">
        <v>45824</v>
      </c>
      <c r="U32" s="6">
        <v>1570</v>
      </c>
      <c r="V32" s="11">
        <v>2125468</v>
      </c>
      <c r="W32" s="6"/>
      <c r="X32" s="6"/>
      <c r="Y32" s="6"/>
      <c r="Z32" s="6"/>
      <c r="AA32" s="8"/>
      <c r="AB32" s="8"/>
      <c r="AC32" s="6"/>
      <c r="AD32" s="6"/>
      <c r="AE32" s="9"/>
    </row>
    <row r="33" spans="1:31" s="10" customFormat="1" ht="47.25" x14ac:dyDescent="0.25">
      <c r="A33" s="3">
        <v>29</v>
      </c>
      <c r="B33" s="3" t="s">
        <v>25</v>
      </c>
      <c r="C33" s="5" t="s">
        <v>873</v>
      </c>
      <c r="D33" s="4" t="s">
        <v>874</v>
      </c>
      <c r="E33" s="6">
        <v>19</v>
      </c>
      <c r="F33" s="6">
        <v>5</v>
      </c>
      <c r="G33" s="3">
        <v>3625.8</v>
      </c>
      <c r="H33" s="3" t="s">
        <v>51</v>
      </c>
      <c r="I33" s="7" t="s">
        <v>998</v>
      </c>
      <c r="J33" s="3" t="s">
        <v>76</v>
      </c>
      <c r="K33" s="3"/>
      <c r="L33" s="3"/>
      <c r="M33" s="3"/>
      <c r="N33" s="3"/>
      <c r="O33" s="3"/>
      <c r="P33" s="3"/>
      <c r="Q33" s="6" t="s">
        <v>101</v>
      </c>
      <c r="R33" s="7">
        <v>45791</v>
      </c>
      <c r="S33" s="7">
        <v>45792</v>
      </c>
      <c r="T33" s="7">
        <v>45792</v>
      </c>
      <c r="U33" s="6">
        <v>640</v>
      </c>
      <c r="V33" s="11">
        <v>2631612</v>
      </c>
      <c r="W33" s="6"/>
      <c r="X33" s="6"/>
      <c r="Y33" s="6"/>
      <c r="Z33" s="6"/>
      <c r="AA33" s="8"/>
      <c r="AB33" s="8"/>
      <c r="AC33" s="6" t="s">
        <v>2061</v>
      </c>
      <c r="AD33" s="6" t="s">
        <v>999</v>
      </c>
      <c r="AE33" s="9"/>
    </row>
    <row r="34" spans="1:31" s="10" customFormat="1" ht="47.25" x14ac:dyDescent="0.25">
      <c r="A34" s="3">
        <v>30</v>
      </c>
      <c r="B34" s="3" t="s">
        <v>25</v>
      </c>
      <c r="C34" s="5" t="s">
        <v>875</v>
      </c>
      <c r="D34" s="4" t="s">
        <v>876</v>
      </c>
      <c r="E34" s="6">
        <v>10</v>
      </c>
      <c r="F34" s="6">
        <v>24</v>
      </c>
      <c r="G34" s="3">
        <v>694.6</v>
      </c>
      <c r="H34" s="3" t="s">
        <v>75</v>
      </c>
      <c r="I34" s="7">
        <v>45721</v>
      </c>
      <c r="J34" s="3"/>
      <c r="K34" s="3"/>
      <c r="L34" s="3" t="s">
        <v>98</v>
      </c>
      <c r="M34" s="3"/>
      <c r="N34" s="3"/>
      <c r="O34" s="3"/>
      <c r="P34" s="3"/>
      <c r="Q34" s="6" t="s">
        <v>101</v>
      </c>
      <c r="R34" s="7">
        <v>45728</v>
      </c>
      <c r="S34" s="7">
        <v>45734</v>
      </c>
      <c r="T34" s="7">
        <v>45734</v>
      </c>
      <c r="U34" s="6">
        <v>1533</v>
      </c>
      <c r="V34" s="11">
        <v>2060577</v>
      </c>
      <c r="W34" s="6"/>
      <c r="X34" s="6"/>
      <c r="Y34" s="6"/>
      <c r="Z34" s="6"/>
      <c r="AA34" s="8"/>
      <c r="AB34" s="8" t="s">
        <v>906</v>
      </c>
      <c r="AC34" s="6"/>
      <c r="AD34" s="6"/>
      <c r="AE34" s="9"/>
    </row>
    <row r="35" spans="1:31" s="10" customFormat="1" ht="63" x14ac:dyDescent="0.25">
      <c r="A35" s="3">
        <v>31</v>
      </c>
      <c r="B35" s="3" t="s">
        <v>25</v>
      </c>
      <c r="C35" s="5" t="s">
        <v>914</v>
      </c>
      <c r="D35" s="4" t="s">
        <v>315</v>
      </c>
      <c r="E35" s="6">
        <v>6</v>
      </c>
      <c r="F35" s="6">
        <v>1060</v>
      </c>
      <c r="G35" s="3">
        <v>958.8</v>
      </c>
      <c r="H35" s="3" t="s">
        <v>55</v>
      </c>
      <c r="I35" s="7">
        <v>45719</v>
      </c>
      <c r="J35" s="3"/>
      <c r="K35" s="3"/>
      <c r="L35" s="3"/>
      <c r="M35" s="3"/>
      <c r="N35" s="3" t="s">
        <v>56</v>
      </c>
      <c r="O35" s="3"/>
      <c r="P35" s="3"/>
      <c r="Q35" s="6" t="s">
        <v>101</v>
      </c>
      <c r="R35" s="7"/>
      <c r="S35" s="7"/>
      <c r="T35" s="7"/>
      <c r="U35" s="6"/>
      <c r="V35" s="11"/>
      <c r="W35" s="6"/>
      <c r="X35" s="6"/>
      <c r="Y35" s="6"/>
      <c r="Z35" s="6"/>
      <c r="AA35" s="8"/>
      <c r="AB35" s="8" t="s">
        <v>915</v>
      </c>
      <c r="AC35" s="6"/>
      <c r="AD35" s="6"/>
      <c r="AE35" s="9"/>
    </row>
    <row r="36" spans="1:31" s="10" customFormat="1" ht="31.5" x14ac:dyDescent="0.25">
      <c r="A36" s="3">
        <v>32</v>
      </c>
      <c r="B36" s="3" t="s">
        <v>25</v>
      </c>
      <c r="C36" s="5" t="s">
        <v>973</v>
      </c>
      <c r="D36" s="4" t="s">
        <v>974</v>
      </c>
      <c r="E36" s="6">
        <v>16</v>
      </c>
      <c r="F36" s="6">
        <v>849</v>
      </c>
      <c r="G36" s="3">
        <v>80</v>
      </c>
      <c r="H36" s="3" t="s">
        <v>55</v>
      </c>
      <c r="I36" s="7">
        <v>45727</v>
      </c>
      <c r="J36" s="3"/>
      <c r="K36" s="3"/>
      <c r="L36" s="3"/>
      <c r="M36" s="3"/>
      <c r="N36" s="3"/>
      <c r="O36" s="3"/>
      <c r="P36" s="3" t="s">
        <v>52</v>
      </c>
      <c r="Q36" s="6" t="s">
        <v>101</v>
      </c>
      <c r="R36" s="7">
        <v>45748</v>
      </c>
      <c r="S36" s="7">
        <v>45749</v>
      </c>
      <c r="T36" s="7">
        <v>45749</v>
      </c>
      <c r="U36" s="6">
        <v>1940</v>
      </c>
      <c r="V36" s="11">
        <v>2125468</v>
      </c>
      <c r="W36" s="6"/>
      <c r="X36" s="6"/>
      <c r="Y36" s="6"/>
      <c r="Z36" s="6"/>
      <c r="AA36" s="8"/>
      <c r="AB36" s="8"/>
      <c r="AC36" s="6" t="s">
        <v>1384</v>
      </c>
      <c r="AD36" s="6"/>
      <c r="AE36" s="9"/>
    </row>
    <row r="37" spans="1:31" s="10" customFormat="1" ht="47.25" x14ac:dyDescent="0.25">
      <c r="A37" s="3">
        <v>33</v>
      </c>
      <c r="B37" s="3" t="s">
        <v>25</v>
      </c>
      <c r="C37" s="5" t="s">
        <v>1000</v>
      </c>
      <c r="D37" s="4" t="s">
        <v>1001</v>
      </c>
      <c r="E37" s="6">
        <v>5</v>
      </c>
      <c r="F37" s="6">
        <v>625</v>
      </c>
      <c r="G37" s="3">
        <v>695.7</v>
      </c>
      <c r="H37" s="3" t="s">
        <v>75</v>
      </c>
      <c r="I37" s="7">
        <v>45729</v>
      </c>
      <c r="J37" s="3"/>
      <c r="K37" s="3" t="s">
        <v>62</v>
      </c>
      <c r="L37" s="3"/>
      <c r="M37" s="3"/>
      <c r="N37" s="3"/>
      <c r="O37" s="3"/>
      <c r="P37" s="3"/>
      <c r="Q37" s="6" t="s">
        <v>101</v>
      </c>
      <c r="R37" s="7">
        <v>45782</v>
      </c>
      <c r="S37" s="7">
        <v>45783</v>
      </c>
      <c r="T37" s="7">
        <v>45783</v>
      </c>
      <c r="U37" s="6">
        <v>398</v>
      </c>
      <c r="V37" s="11">
        <v>961551</v>
      </c>
      <c r="W37" s="6"/>
      <c r="X37" s="6"/>
      <c r="Y37" s="6"/>
      <c r="Z37" s="6"/>
      <c r="AA37" s="8"/>
      <c r="AB37" s="8"/>
      <c r="AC37" s="6"/>
      <c r="AD37" s="6" t="s">
        <v>999</v>
      </c>
      <c r="AE37" s="9"/>
    </row>
    <row r="38" spans="1:31" s="10" customFormat="1" ht="15.75" x14ac:dyDescent="0.25">
      <c r="A38" s="3">
        <v>34</v>
      </c>
      <c r="B38" s="3" t="s">
        <v>25</v>
      </c>
      <c r="C38" s="5" t="s">
        <v>1033</v>
      </c>
      <c r="D38" s="4" t="s">
        <v>1034</v>
      </c>
      <c r="E38" s="6">
        <v>6</v>
      </c>
      <c r="F38" s="6">
        <v>670</v>
      </c>
      <c r="G38" s="3">
        <v>160.6</v>
      </c>
      <c r="H38" s="3" t="s">
        <v>55</v>
      </c>
      <c r="I38" s="7">
        <v>45730</v>
      </c>
      <c r="J38" s="3"/>
      <c r="K38" s="3"/>
      <c r="L38" s="3"/>
      <c r="M38" s="3"/>
      <c r="N38" s="3"/>
      <c r="O38" s="3"/>
      <c r="P38" s="3" t="s">
        <v>52</v>
      </c>
      <c r="Q38" s="6" t="s">
        <v>101</v>
      </c>
      <c r="R38" s="7"/>
      <c r="S38" s="7"/>
      <c r="T38" s="7"/>
      <c r="U38" s="6"/>
      <c r="V38" s="11"/>
      <c r="W38" s="6"/>
      <c r="X38" s="6"/>
      <c r="Y38" s="6"/>
      <c r="Z38" s="6"/>
      <c r="AA38" s="8"/>
      <c r="AB38" s="8"/>
      <c r="AC38" s="6"/>
      <c r="AD38" s="6"/>
      <c r="AE38" s="9"/>
    </row>
    <row r="39" spans="1:31" s="10" customFormat="1" ht="15.75" x14ac:dyDescent="0.25">
      <c r="A39" s="3">
        <v>35</v>
      </c>
      <c r="B39" s="3" t="s">
        <v>25</v>
      </c>
      <c r="C39" s="5" t="s">
        <v>1060</v>
      </c>
      <c r="D39" s="4" t="s">
        <v>1061</v>
      </c>
      <c r="E39" s="6">
        <v>16</v>
      </c>
      <c r="F39" s="6">
        <v>2</v>
      </c>
      <c r="G39" s="3">
        <v>318.60000000000002</v>
      </c>
      <c r="H39" s="3" t="s">
        <v>51</v>
      </c>
      <c r="I39" s="7">
        <v>45733</v>
      </c>
      <c r="J39" s="3"/>
      <c r="K39" s="3" t="s">
        <v>62</v>
      </c>
      <c r="L39" s="3"/>
      <c r="M39" s="3"/>
      <c r="N39" s="3"/>
      <c r="O39" s="3"/>
      <c r="P39" s="3"/>
      <c r="Q39" s="6" t="s">
        <v>101</v>
      </c>
      <c r="R39" s="7"/>
      <c r="S39" s="7"/>
      <c r="T39" s="7"/>
      <c r="U39" s="6"/>
      <c r="V39" s="11"/>
      <c r="W39" s="6"/>
      <c r="X39" s="6"/>
      <c r="Y39" s="6"/>
      <c r="Z39" s="6"/>
      <c r="AA39" s="8"/>
      <c r="AB39" s="8"/>
      <c r="AC39" s="6"/>
      <c r="AD39" s="6"/>
      <c r="AE39" s="9" t="s">
        <v>1087</v>
      </c>
    </row>
    <row r="40" spans="1:31" s="10" customFormat="1" ht="63" x14ac:dyDescent="0.25">
      <c r="A40" s="3">
        <v>36</v>
      </c>
      <c r="B40" s="3" t="s">
        <v>25</v>
      </c>
      <c r="C40" s="5" t="s">
        <v>1096</v>
      </c>
      <c r="D40" s="4" t="s">
        <v>1097</v>
      </c>
      <c r="E40" s="6">
        <v>24</v>
      </c>
      <c r="F40" s="6">
        <v>469</v>
      </c>
      <c r="G40" s="3">
        <v>925.2</v>
      </c>
      <c r="H40" s="3" t="s">
        <v>75</v>
      </c>
      <c r="I40" s="7">
        <v>45734</v>
      </c>
      <c r="J40" s="3"/>
      <c r="K40" s="3" t="s">
        <v>62</v>
      </c>
      <c r="L40" s="3"/>
      <c r="M40" s="3"/>
      <c r="N40" s="3"/>
      <c r="O40" s="3"/>
      <c r="P40" s="3"/>
      <c r="Q40" s="6" t="s">
        <v>101</v>
      </c>
      <c r="R40" s="7"/>
      <c r="S40" s="7"/>
      <c r="T40" s="7"/>
      <c r="U40" s="6"/>
      <c r="V40" s="11"/>
      <c r="W40" s="6"/>
      <c r="X40" s="6"/>
      <c r="Y40" s="6"/>
      <c r="Z40" s="6"/>
      <c r="AA40" s="8"/>
      <c r="AB40" s="8"/>
      <c r="AC40" s="6" t="s">
        <v>1263</v>
      </c>
      <c r="AD40" s="6" t="s">
        <v>1266</v>
      </c>
      <c r="AE40" s="9"/>
    </row>
    <row r="41" spans="1:31" s="10" customFormat="1" ht="15.75" x14ac:dyDescent="0.25">
      <c r="A41" s="3">
        <v>37</v>
      </c>
      <c r="B41" s="3" t="s">
        <v>25</v>
      </c>
      <c r="C41" s="5" t="s">
        <v>1147</v>
      </c>
      <c r="D41" s="4" t="s">
        <v>1148</v>
      </c>
      <c r="E41" s="6">
        <v>8</v>
      </c>
      <c r="F41" s="6">
        <v>191</v>
      </c>
      <c r="G41" s="3">
        <v>339.2</v>
      </c>
      <c r="H41" s="3" t="s">
        <v>75</v>
      </c>
      <c r="I41" s="7">
        <v>45736</v>
      </c>
      <c r="J41" s="3"/>
      <c r="K41" s="3" t="s">
        <v>62</v>
      </c>
      <c r="L41" s="3"/>
      <c r="M41" s="3"/>
      <c r="N41" s="3"/>
      <c r="O41" s="3"/>
      <c r="P41" s="3"/>
      <c r="Q41" s="6" t="s">
        <v>101</v>
      </c>
      <c r="R41" s="7">
        <v>45758</v>
      </c>
      <c r="S41" s="7">
        <v>45762</v>
      </c>
      <c r="T41" s="7">
        <v>45762</v>
      </c>
      <c r="U41" s="6">
        <v>2268</v>
      </c>
      <c r="V41" s="11">
        <v>961551</v>
      </c>
      <c r="W41" s="6"/>
      <c r="X41" s="6"/>
      <c r="Y41" s="6"/>
      <c r="Z41" s="6"/>
      <c r="AA41" s="8"/>
      <c r="AB41" s="8"/>
      <c r="AC41" s="6"/>
      <c r="AD41" s="6"/>
      <c r="AE41" s="9"/>
    </row>
    <row r="42" spans="1:31" s="10" customFormat="1" ht="31.5" x14ac:dyDescent="0.25">
      <c r="A42" s="3">
        <v>38</v>
      </c>
      <c r="B42" s="3" t="s">
        <v>25</v>
      </c>
      <c r="C42" s="5" t="s">
        <v>1153</v>
      </c>
      <c r="D42" s="4" t="s">
        <v>1154</v>
      </c>
      <c r="E42" s="6">
        <v>10</v>
      </c>
      <c r="F42" s="6">
        <v>55</v>
      </c>
      <c r="G42" s="3">
        <v>413.1</v>
      </c>
      <c r="H42" s="3" t="s">
        <v>51</v>
      </c>
      <c r="I42" s="7">
        <v>45736</v>
      </c>
      <c r="J42" s="3"/>
      <c r="K42" s="3"/>
      <c r="L42" s="3" t="s">
        <v>1</v>
      </c>
      <c r="M42" s="3"/>
      <c r="N42" s="3"/>
      <c r="O42" s="3"/>
      <c r="P42" s="3"/>
      <c r="Q42" s="6" t="s">
        <v>101</v>
      </c>
      <c r="R42" s="7">
        <v>45768</v>
      </c>
      <c r="S42" s="7">
        <v>45783</v>
      </c>
      <c r="T42" s="7">
        <v>45783</v>
      </c>
      <c r="U42" s="20">
        <v>373</v>
      </c>
      <c r="V42" s="11">
        <v>1019155</v>
      </c>
      <c r="W42" s="6"/>
      <c r="X42" s="6"/>
      <c r="Y42" s="6"/>
      <c r="Z42" s="6"/>
      <c r="AA42" s="8"/>
      <c r="AB42" s="8" t="s">
        <v>1833</v>
      </c>
      <c r="AC42" s="6"/>
      <c r="AD42" s="6"/>
      <c r="AE42" s="9"/>
    </row>
    <row r="43" spans="1:31" s="10" customFormat="1" ht="31.5" x14ac:dyDescent="0.25">
      <c r="A43" s="3">
        <v>39</v>
      </c>
      <c r="B43" s="3" t="s">
        <v>25</v>
      </c>
      <c r="C43" s="5" t="s">
        <v>1162</v>
      </c>
      <c r="D43" s="4" t="s">
        <v>1163</v>
      </c>
      <c r="E43" s="6">
        <v>24</v>
      </c>
      <c r="F43" s="6">
        <v>472</v>
      </c>
      <c r="G43" s="3">
        <v>296.2</v>
      </c>
      <c r="H43" s="3" t="s">
        <v>75</v>
      </c>
      <c r="I43" s="7"/>
      <c r="J43" s="3"/>
      <c r="K43" s="3"/>
      <c r="L43" s="3"/>
      <c r="M43" s="3"/>
      <c r="N43" s="3"/>
      <c r="O43" s="3"/>
      <c r="P43" s="3"/>
      <c r="Q43" s="6" t="s">
        <v>190</v>
      </c>
      <c r="R43" s="7">
        <v>45723</v>
      </c>
      <c r="S43" s="7"/>
      <c r="T43" s="7"/>
      <c r="U43" s="6"/>
      <c r="V43" s="11"/>
      <c r="W43" s="6"/>
      <c r="X43" s="6"/>
      <c r="Y43" s="6"/>
      <c r="Z43" s="6" t="s">
        <v>1161</v>
      </c>
      <c r="AA43" s="8" t="s">
        <v>1160</v>
      </c>
      <c r="AB43" s="8"/>
      <c r="AC43" s="6"/>
      <c r="AD43" s="6"/>
      <c r="AE43" s="9"/>
    </row>
    <row r="44" spans="1:31" s="10" customFormat="1" ht="31.5" x14ac:dyDescent="0.25">
      <c r="A44" s="3">
        <v>40</v>
      </c>
      <c r="B44" s="3" t="s">
        <v>25</v>
      </c>
      <c r="C44" s="5" t="s">
        <v>1188</v>
      </c>
      <c r="D44" s="4" t="s">
        <v>1189</v>
      </c>
      <c r="E44" s="6">
        <v>8</v>
      </c>
      <c r="F44" s="6">
        <v>148</v>
      </c>
      <c r="G44" s="3">
        <v>1007.1</v>
      </c>
      <c r="H44" s="3" t="s">
        <v>75</v>
      </c>
      <c r="I44" s="7">
        <v>45740</v>
      </c>
      <c r="J44" s="3" t="s">
        <v>76</v>
      </c>
      <c r="K44" s="3"/>
      <c r="L44" s="3"/>
      <c r="M44" s="3"/>
      <c r="N44" s="3"/>
      <c r="O44" s="3"/>
      <c r="P44" s="3"/>
      <c r="Q44" s="6" t="s">
        <v>101</v>
      </c>
      <c r="R44" s="7">
        <v>45756</v>
      </c>
      <c r="S44" s="7">
        <v>45805</v>
      </c>
      <c r="T44" s="7">
        <v>45805</v>
      </c>
      <c r="U44" s="6">
        <v>1020</v>
      </c>
      <c r="V44" s="11">
        <v>961551</v>
      </c>
      <c r="W44" s="6"/>
      <c r="X44" s="6"/>
      <c r="Y44" s="6"/>
      <c r="Z44" s="6" t="s">
        <v>2370</v>
      </c>
      <c r="AA44" s="8" t="s">
        <v>2369</v>
      </c>
      <c r="AB44" s="8"/>
      <c r="AC44" s="6"/>
      <c r="AD44" s="6"/>
      <c r="AE44" s="9"/>
    </row>
    <row r="45" spans="1:31" s="10" customFormat="1" ht="47.25" x14ac:dyDescent="0.25">
      <c r="A45" s="3">
        <v>41</v>
      </c>
      <c r="B45" s="3" t="s">
        <v>25</v>
      </c>
      <c r="C45" s="5" t="s">
        <v>1190</v>
      </c>
      <c r="D45" s="4" t="s">
        <v>1191</v>
      </c>
      <c r="E45" s="6">
        <v>8</v>
      </c>
      <c r="F45" s="6">
        <v>276</v>
      </c>
      <c r="G45" s="3">
        <v>150</v>
      </c>
      <c r="H45" s="3" t="s">
        <v>55</v>
      </c>
      <c r="I45" s="7">
        <v>45740</v>
      </c>
      <c r="J45" s="3"/>
      <c r="K45" s="3"/>
      <c r="L45" s="3" t="s">
        <v>98</v>
      </c>
      <c r="M45" s="3"/>
      <c r="N45" s="3"/>
      <c r="O45" s="3"/>
      <c r="P45" s="3"/>
      <c r="Q45" s="6" t="s">
        <v>101</v>
      </c>
      <c r="R45" s="7"/>
      <c r="S45" s="7"/>
      <c r="T45" s="7"/>
      <c r="U45" s="6"/>
      <c r="V45" s="11"/>
      <c r="W45" s="6"/>
      <c r="X45" s="6"/>
      <c r="Y45" s="6"/>
      <c r="Z45" s="6"/>
      <c r="AA45" s="8"/>
      <c r="AB45" s="8"/>
      <c r="AC45" s="6" t="s">
        <v>1192</v>
      </c>
      <c r="AD45" s="6"/>
      <c r="AE45" s="9"/>
    </row>
    <row r="46" spans="1:31" s="10" customFormat="1" ht="15.75" x14ac:dyDescent="0.25">
      <c r="A46" s="3">
        <v>42</v>
      </c>
      <c r="B46" s="3" t="s">
        <v>25</v>
      </c>
      <c r="C46" s="5" t="s">
        <v>1195</v>
      </c>
      <c r="D46" s="4" t="s">
        <v>1196</v>
      </c>
      <c r="E46" s="6">
        <v>12</v>
      </c>
      <c r="F46" s="6">
        <v>113</v>
      </c>
      <c r="G46" s="3">
        <v>361.1</v>
      </c>
      <c r="H46" s="3" t="s">
        <v>75</v>
      </c>
      <c r="I46" s="7">
        <v>45740</v>
      </c>
      <c r="J46" s="3"/>
      <c r="K46" s="3" t="s">
        <v>62</v>
      </c>
      <c r="L46" s="3"/>
      <c r="M46" s="3"/>
      <c r="N46" s="3"/>
      <c r="O46" s="3"/>
      <c r="P46" s="3"/>
      <c r="Q46" s="6" t="s">
        <v>101</v>
      </c>
      <c r="R46" s="7" t="s">
        <v>1533</v>
      </c>
      <c r="S46" s="7">
        <v>45761</v>
      </c>
      <c r="T46" s="7">
        <v>45761</v>
      </c>
      <c r="U46" s="6">
        <v>2217</v>
      </c>
      <c r="V46" s="11">
        <v>809727</v>
      </c>
      <c r="W46" s="6"/>
      <c r="X46" s="6"/>
      <c r="Y46" s="6"/>
      <c r="Z46" s="6"/>
      <c r="AA46" s="8"/>
      <c r="AB46" s="8"/>
      <c r="AC46" s="6"/>
      <c r="AD46" s="6"/>
      <c r="AE46" s="9"/>
    </row>
    <row r="47" spans="1:31" s="10" customFormat="1" ht="15.75" x14ac:dyDescent="0.25">
      <c r="A47" s="3">
        <v>43</v>
      </c>
      <c r="B47" s="3" t="s">
        <v>25</v>
      </c>
      <c r="C47" s="5" t="s">
        <v>1190</v>
      </c>
      <c r="D47" s="4" t="s">
        <v>1191</v>
      </c>
      <c r="E47" s="6">
        <v>8</v>
      </c>
      <c r="F47" s="6">
        <v>276</v>
      </c>
      <c r="G47" s="3">
        <v>150</v>
      </c>
      <c r="H47" s="3" t="s">
        <v>55</v>
      </c>
      <c r="I47" s="7">
        <v>45740</v>
      </c>
      <c r="J47" s="3"/>
      <c r="K47" s="3"/>
      <c r="L47" s="3" t="s">
        <v>98</v>
      </c>
      <c r="M47" s="3"/>
      <c r="N47" s="3"/>
      <c r="O47" s="3"/>
      <c r="P47" s="3"/>
      <c r="Q47" s="6" t="s">
        <v>101</v>
      </c>
      <c r="R47" s="7">
        <v>45744</v>
      </c>
      <c r="S47" s="7">
        <v>45751</v>
      </c>
      <c r="T47" s="7">
        <v>45751</v>
      </c>
      <c r="U47" s="6">
        <v>2020</v>
      </c>
      <c r="V47" s="11">
        <v>2583973</v>
      </c>
      <c r="W47" s="6"/>
      <c r="X47" s="6"/>
      <c r="Y47" s="6"/>
      <c r="Z47" s="6"/>
      <c r="AA47" s="8"/>
      <c r="AB47" s="8"/>
      <c r="AC47" s="6"/>
      <c r="AD47" s="6"/>
      <c r="AE47" s="9"/>
    </row>
    <row r="48" spans="1:31" ht="16.5" x14ac:dyDescent="0.25">
      <c r="A48" s="12"/>
      <c r="B48" s="73" t="s">
        <v>1258</v>
      </c>
      <c r="C48" s="74"/>
      <c r="D48" s="74"/>
      <c r="E48" s="74"/>
      <c r="F48" s="74"/>
      <c r="G48" s="74"/>
      <c r="H48" s="75"/>
      <c r="I48" s="13"/>
      <c r="J48" s="14">
        <f>COUNTIF(J28:J47,"CT")+COUNTIF(J47,"CN")+COUNTIF(J47,"TK")</f>
        <v>2</v>
      </c>
      <c r="K48" s="14">
        <f>COUNTIF(K28:K47,"CMĐ")</f>
        <v>6</v>
      </c>
      <c r="L48" s="14">
        <f>COUNTIF(L28:L47,"XMDT")+COUNTIF(L28:L47,"Mốc")</f>
        <v>4</v>
      </c>
      <c r="M48" s="14">
        <f>COUNTIF(M47,"THÁn")</f>
        <v>0</v>
      </c>
      <c r="N48" s="14">
        <f>COUNTIF(N28:N47,"TÒA")</f>
        <v>1</v>
      </c>
      <c r="O48" s="14">
        <f>COUNTIF(O28:O47,"Cấp GCN")</f>
        <v>0</v>
      </c>
      <c r="P48" s="14">
        <f>COUNTIF(P28:P47,"SHN")</f>
        <v>5</v>
      </c>
      <c r="Q48" s="15"/>
      <c r="R48" s="13"/>
      <c r="S48" s="15"/>
      <c r="T48" s="15"/>
      <c r="U48" s="16"/>
      <c r="V48" s="11"/>
      <c r="W48" s="17"/>
      <c r="X48" s="2"/>
      <c r="AD48" s="14">
        <f>COUNTIF(AD47,"kt")</f>
        <v>0</v>
      </c>
    </row>
    <row r="49" spans="1:31" s="10" customFormat="1" ht="78.75" x14ac:dyDescent="0.25">
      <c r="A49" s="3">
        <v>44</v>
      </c>
      <c r="B49" s="3" t="s">
        <v>25</v>
      </c>
      <c r="C49" s="5" t="s">
        <v>1295</v>
      </c>
      <c r="D49" s="4" t="s">
        <v>315</v>
      </c>
      <c r="E49" s="6">
        <v>11</v>
      </c>
      <c r="F49" s="6">
        <v>648</v>
      </c>
      <c r="G49" s="3">
        <v>909.7</v>
      </c>
      <c r="H49" s="3" t="s">
        <v>75</v>
      </c>
      <c r="I49" s="7">
        <v>45744</v>
      </c>
      <c r="J49" s="3"/>
      <c r="K49" s="3"/>
      <c r="L49" s="3"/>
      <c r="M49" s="3"/>
      <c r="N49" s="3" t="s">
        <v>56</v>
      </c>
      <c r="O49" s="3"/>
      <c r="P49" s="3"/>
      <c r="Q49" s="6" t="s">
        <v>101</v>
      </c>
      <c r="R49" s="7"/>
      <c r="S49" s="7"/>
      <c r="T49" s="7"/>
      <c r="U49" s="6"/>
      <c r="V49" s="11"/>
      <c r="W49" s="6"/>
      <c r="X49" s="6"/>
      <c r="Y49" s="6"/>
      <c r="Z49" s="6"/>
      <c r="AA49" s="8"/>
      <c r="AB49" s="8"/>
      <c r="AC49" s="6" t="s">
        <v>1296</v>
      </c>
      <c r="AD49" s="6"/>
      <c r="AE49" s="9"/>
    </row>
    <row r="50" spans="1:31" s="10" customFormat="1" ht="15.75" x14ac:dyDescent="0.25">
      <c r="A50" s="3">
        <v>45</v>
      </c>
      <c r="B50" s="3" t="s">
        <v>25</v>
      </c>
      <c r="C50" s="5" t="s">
        <v>1306</v>
      </c>
      <c r="D50" s="4" t="s">
        <v>1307</v>
      </c>
      <c r="E50" s="6">
        <v>10</v>
      </c>
      <c r="F50" s="6">
        <v>72</v>
      </c>
      <c r="G50" s="3">
        <v>1029.7</v>
      </c>
      <c r="H50" s="3" t="s">
        <v>75</v>
      </c>
      <c r="I50" s="7">
        <v>45744</v>
      </c>
      <c r="J50" s="3"/>
      <c r="K50" s="3" t="s">
        <v>62</v>
      </c>
      <c r="L50" s="3"/>
      <c r="M50" s="3"/>
      <c r="N50" s="3"/>
      <c r="O50" s="3"/>
      <c r="P50" s="3"/>
      <c r="Q50" s="6" t="s">
        <v>101</v>
      </c>
      <c r="R50" s="7">
        <v>45757</v>
      </c>
      <c r="S50" s="7">
        <v>45770</v>
      </c>
      <c r="T50" s="7">
        <v>45770</v>
      </c>
      <c r="U50" s="23">
        <v>97</v>
      </c>
      <c r="V50" s="11">
        <v>961551</v>
      </c>
      <c r="W50" s="6"/>
      <c r="X50" s="6"/>
      <c r="Y50" s="6"/>
      <c r="Z50" s="6"/>
      <c r="AA50" s="8"/>
      <c r="AB50" s="8"/>
      <c r="AC50" s="6"/>
      <c r="AD50" s="6"/>
      <c r="AE50" s="9"/>
    </row>
    <row r="51" spans="1:31" s="10" customFormat="1" ht="189" x14ac:dyDescent="0.25">
      <c r="A51" s="3">
        <v>46</v>
      </c>
      <c r="B51" s="3" t="s">
        <v>25</v>
      </c>
      <c r="C51" s="5" t="s">
        <v>1308</v>
      </c>
      <c r="D51" s="4" t="s">
        <v>315</v>
      </c>
      <c r="E51" s="6">
        <v>5</v>
      </c>
      <c r="F51" s="6">
        <v>364</v>
      </c>
      <c r="G51" s="3"/>
      <c r="H51" s="3"/>
      <c r="I51" s="7">
        <v>45747</v>
      </c>
      <c r="J51" s="3"/>
      <c r="K51" s="3"/>
      <c r="L51" s="3"/>
      <c r="M51" s="3"/>
      <c r="N51" s="3" t="s">
        <v>56</v>
      </c>
      <c r="O51" s="3"/>
      <c r="P51" s="3"/>
      <c r="Q51" s="6" t="s">
        <v>101</v>
      </c>
      <c r="R51" s="7"/>
      <c r="S51" s="7"/>
      <c r="T51" s="7"/>
      <c r="U51" s="6"/>
      <c r="V51" s="11"/>
      <c r="W51" s="6"/>
      <c r="X51" s="6"/>
      <c r="Y51" s="6"/>
      <c r="Z51" s="6"/>
      <c r="AA51" s="8"/>
      <c r="AB51" s="8"/>
      <c r="AC51" s="6" t="s">
        <v>1309</v>
      </c>
      <c r="AD51" s="6"/>
      <c r="AE51" s="9"/>
    </row>
    <row r="52" spans="1:31" s="10" customFormat="1" ht="31.5" x14ac:dyDescent="0.25">
      <c r="A52" s="3">
        <v>47</v>
      </c>
      <c r="B52" s="3" t="s">
        <v>25</v>
      </c>
      <c r="C52" s="5" t="s">
        <v>1896</v>
      </c>
      <c r="D52" s="4"/>
      <c r="E52" s="6">
        <v>2</v>
      </c>
      <c r="F52" s="6">
        <v>170</v>
      </c>
      <c r="G52" s="3">
        <v>509.9</v>
      </c>
      <c r="H52" s="3" t="s">
        <v>51</v>
      </c>
      <c r="I52" s="7">
        <v>45750</v>
      </c>
      <c r="J52" s="3"/>
      <c r="K52" s="3" t="s">
        <v>62</v>
      </c>
      <c r="L52" s="3"/>
      <c r="M52" s="3"/>
      <c r="N52" s="3"/>
      <c r="O52" s="3"/>
      <c r="P52" s="3"/>
      <c r="Q52" s="6" t="s">
        <v>101</v>
      </c>
      <c r="R52" s="7">
        <v>45763</v>
      </c>
      <c r="S52" s="7">
        <v>45763</v>
      </c>
      <c r="T52" s="7">
        <v>45763</v>
      </c>
      <c r="U52" s="6">
        <v>2339</v>
      </c>
      <c r="V52" s="11">
        <v>809727</v>
      </c>
      <c r="W52" s="6"/>
      <c r="X52" s="6"/>
      <c r="Y52" s="6"/>
      <c r="Z52" s="6" t="s">
        <v>1897</v>
      </c>
      <c r="AA52" s="8" t="s">
        <v>1898</v>
      </c>
      <c r="AB52" s="8"/>
      <c r="AC52" s="6"/>
      <c r="AD52" s="6"/>
      <c r="AE52" s="9" t="s">
        <v>1406</v>
      </c>
    </row>
    <row r="53" spans="1:31" ht="16.5" x14ac:dyDescent="0.25">
      <c r="A53" s="12"/>
      <c r="B53" s="73" t="s">
        <v>1478</v>
      </c>
      <c r="C53" s="74"/>
      <c r="D53" s="74"/>
      <c r="E53" s="74"/>
      <c r="F53" s="74"/>
      <c r="G53" s="74"/>
      <c r="H53" s="75"/>
      <c r="I53" s="13"/>
      <c r="J53" s="14">
        <f>COUNTIF(J49:J52,"CT")+COUNTIF(J52,"CN")+COUNTIF(J52,"TK")</f>
        <v>0</v>
      </c>
      <c r="K53" s="14">
        <f>COUNTIF(K49:K52,"CMĐ")</f>
        <v>2</v>
      </c>
      <c r="L53" s="14">
        <f>COUNTIF(L49:L52,"XMDT")+COUNTIF(L49:L51,"Mốc")</f>
        <v>0</v>
      </c>
      <c r="M53" s="14">
        <f>COUNTIF(M52,"THÁn")</f>
        <v>0</v>
      </c>
      <c r="N53" s="14">
        <f>COUNTIF(N49:N52,"TÒA")</f>
        <v>2</v>
      </c>
      <c r="O53" s="14">
        <f>COUNTIF(O33:O52,"Cấp GCN")</f>
        <v>0</v>
      </c>
      <c r="P53" s="14">
        <f>COUNTIF(P49:P52,"SHN")</f>
        <v>0</v>
      </c>
      <c r="Q53" s="15"/>
      <c r="R53" s="13"/>
      <c r="S53" s="15"/>
      <c r="T53" s="15"/>
      <c r="U53" s="16"/>
      <c r="V53" s="11"/>
      <c r="W53" s="17"/>
      <c r="X53" s="2"/>
      <c r="AD53" s="14">
        <f>COUNTIF(AD52,"kt")</f>
        <v>0</v>
      </c>
    </row>
    <row r="54" spans="1:31" s="10" customFormat="1" ht="31.5" x14ac:dyDescent="0.25">
      <c r="A54" s="3">
        <v>48</v>
      </c>
      <c r="B54" s="3" t="s">
        <v>25</v>
      </c>
      <c r="C54" s="5" t="s">
        <v>1616</v>
      </c>
      <c r="D54" s="4" t="s">
        <v>1617</v>
      </c>
      <c r="E54" s="6">
        <v>10</v>
      </c>
      <c r="F54" s="6">
        <v>1079</v>
      </c>
      <c r="G54" s="3">
        <v>594.29999999999995</v>
      </c>
      <c r="H54" s="3" t="s">
        <v>51</v>
      </c>
      <c r="I54" s="7"/>
      <c r="J54" s="3"/>
      <c r="K54" s="3"/>
      <c r="L54" s="3"/>
      <c r="M54" s="3"/>
      <c r="N54" s="3"/>
      <c r="O54" s="3"/>
      <c r="P54" s="3"/>
      <c r="Q54" s="6" t="s">
        <v>1618</v>
      </c>
      <c r="R54" s="7">
        <v>45532</v>
      </c>
      <c r="S54" s="7"/>
      <c r="T54" s="7"/>
      <c r="U54" s="6"/>
      <c r="V54" s="11"/>
      <c r="W54" s="6"/>
      <c r="X54" s="6"/>
      <c r="Y54" s="6"/>
      <c r="Z54" s="6" t="s">
        <v>1614</v>
      </c>
      <c r="AA54" s="8" t="s">
        <v>1615</v>
      </c>
      <c r="AB54" s="8" t="s">
        <v>1664</v>
      </c>
      <c r="AC54" s="6"/>
      <c r="AD54" s="6"/>
      <c r="AE54" s="9"/>
    </row>
    <row r="55" spans="1:31" ht="16.5" x14ac:dyDescent="0.25">
      <c r="A55" s="12"/>
      <c r="B55" s="73" t="s">
        <v>1656</v>
      </c>
      <c r="C55" s="74"/>
      <c r="D55" s="74"/>
      <c r="E55" s="74"/>
      <c r="F55" s="74"/>
      <c r="G55" s="74"/>
      <c r="H55" s="75"/>
      <c r="I55" s="13"/>
      <c r="J55" s="14">
        <f>COUNTIF(J51:J54,"CT")+COUNTIF(J54,"CN")+COUNTIF(J54,"TK")</f>
        <v>0</v>
      </c>
      <c r="K55" s="14">
        <f>COUNTIF(K54,"CMĐ")</f>
        <v>0</v>
      </c>
      <c r="L55" s="14">
        <f>COUNTIF(L51:L54,"XMDT")+COUNTIF(L51:L53,"Mốc")</f>
        <v>0</v>
      </c>
      <c r="M55" s="14">
        <f>COUNTIF(M54,"THÁn")</f>
        <v>0</v>
      </c>
      <c r="N55" s="14">
        <f>COUNTIF(N54,"TÒA")</f>
        <v>0</v>
      </c>
      <c r="O55" s="14">
        <f>COUNTIF(O35:O54,"Cấp GCN")</f>
        <v>0</v>
      </c>
      <c r="P55" s="14">
        <f>COUNTIF(P51:P54,"SHN")</f>
        <v>0</v>
      </c>
      <c r="Q55" s="15"/>
      <c r="R55" s="13"/>
      <c r="S55" s="15"/>
      <c r="T55" s="15"/>
      <c r="U55" s="16"/>
      <c r="V55" s="11"/>
      <c r="W55" s="17"/>
      <c r="X55" s="2"/>
      <c r="AD55" s="14">
        <f>COUNTIF(AD54,"kt")</f>
        <v>0</v>
      </c>
    </row>
    <row r="56" spans="1:31" s="10" customFormat="1" ht="47.25" x14ac:dyDescent="0.25">
      <c r="A56" s="3">
        <v>49</v>
      </c>
      <c r="B56" s="3" t="s">
        <v>25</v>
      </c>
      <c r="C56" s="5" t="s">
        <v>1677</v>
      </c>
      <c r="D56" s="4" t="s">
        <v>1678</v>
      </c>
      <c r="E56" s="6">
        <v>20</v>
      </c>
      <c r="F56" s="6">
        <v>1097</v>
      </c>
      <c r="G56" s="3">
        <v>100.7</v>
      </c>
      <c r="H56" s="3" t="s">
        <v>55</v>
      </c>
      <c r="I56" s="7">
        <v>45768</v>
      </c>
      <c r="J56" s="3"/>
      <c r="K56" s="3"/>
      <c r="L56" s="3" t="s">
        <v>98</v>
      </c>
      <c r="M56" s="3"/>
      <c r="N56" s="3"/>
      <c r="O56" s="3"/>
      <c r="P56" s="3"/>
      <c r="Q56" s="6" t="s">
        <v>101</v>
      </c>
      <c r="R56" s="7">
        <v>45772</v>
      </c>
      <c r="S56" s="7">
        <v>45796</v>
      </c>
      <c r="T56" s="7">
        <v>45796</v>
      </c>
      <c r="U56" s="6">
        <v>709</v>
      </c>
      <c r="V56" s="11">
        <v>2583973</v>
      </c>
      <c r="W56" s="6"/>
      <c r="X56" s="6"/>
      <c r="Y56" s="6"/>
      <c r="Z56" s="6"/>
      <c r="AA56" s="8"/>
      <c r="AB56" s="8" t="s">
        <v>1679</v>
      </c>
      <c r="AC56" s="6"/>
      <c r="AD56" s="6"/>
      <c r="AE56" s="9"/>
    </row>
    <row r="57" spans="1:31" s="10" customFormat="1" ht="15.75" x14ac:dyDescent="0.25">
      <c r="A57" s="3">
        <v>50</v>
      </c>
      <c r="B57" s="3" t="s">
        <v>25</v>
      </c>
      <c r="C57" s="5" t="s">
        <v>1690</v>
      </c>
      <c r="D57" s="4" t="s">
        <v>1691</v>
      </c>
      <c r="E57" s="6">
        <v>16</v>
      </c>
      <c r="F57" s="6">
        <v>627</v>
      </c>
      <c r="G57" s="3">
        <v>80</v>
      </c>
      <c r="H57" s="3" t="s">
        <v>55</v>
      </c>
      <c r="I57" s="7">
        <v>45768</v>
      </c>
      <c r="J57" s="3"/>
      <c r="K57" s="3"/>
      <c r="L57" s="3"/>
      <c r="M57" s="3"/>
      <c r="N57" s="3"/>
      <c r="O57" s="3"/>
      <c r="P57" s="3" t="s">
        <v>52</v>
      </c>
      <c r="Q57" s="6" t="s">
        <v>101</v>
      </c>
      <c r="R57" s="7"/>
      <c r="S57" s="7"/>
      <c r="T57" s="7"/>
      <c r="U57" s="6"/>
      <c r="V57" s="11"/>
      <c r="W57" s="6"/>
      <c r="X57" s="6"/>
      <c r="Y57" s="6"/>
      <c r="Z57" s="6"/>
      <c r="AA57" s="8"/>
      <c r="AB57" s="8"/>
      <c r="AC57" s="6"/>
      <c r="AD57" s="6"/>
      <c r="AE57" s="9"/>
    </row>
    <row r="58" spans="1:31" ht="16.5" x14ac:dyDescent="0.25">
      <c r="A58" s="12"/>
      <c r="B58" s="73" t="s">
        <v>1782</v>
      </c>
      <c r="C58" s="74"/>
      <c r="D58" s="74"/>
      <c r="E58" s="74"/>
      <c r="F58" s="74"/>
      <c r="G58" s="74"/>
      <c r="H58" s="75"/>
      <c r="I58" s="13"/>
      <c r="J58" s="14">
        <f>COUNTIF(J54:J57,"CT")+COUNTIF(J57,"CN")+COUNTIF(J57,"TK")</f>
        <v>0</v>
      </c>
      <c r="K58" s="14">
        <f>COUNTIF(K57,"CMĐ")</f>
        <v>0</v>
      </c>
      <c r="L58" s="14">
        <f>COUNTIF(L54:L57,"XMDT")+COUNTIF(L54:L56,"Mốc")</f>
        <v>1</v>
      </c>
      <c r="M58" s="14">
        <f>COUNTIF(M57,"THÁn")</f>
        <v>0</v>
      </c>
      <c r="N58" s="14">
        <f>COUNTIF(N57,"TÒA")</f>
        <v>0</v>
      </c>
      <c r="O58" s="14">
        <f>COUNTIF(O38:O57,"Cấp GCN")</f>
        <v>0</v>
      </c>
      <c r="P58" s="14">
        <f>COUNTIF(P54:P57,"SHN")</f>
        <v>1</v>
      </c>
      <c r="Q58" s="15"/>
      <c r="R58" s="13"/>
      <c r="S58" s="15"/>
      <c r="T58" s="15"/>
      <c r="U58" s="16"/>
      <c r="V58" s="11"/>
      <c r="W58" s="17"/>
      <c r="X58" s="2"/>
      <c r="AD58" s="14">
        <f>COUNTIF(AD57,"kt")</f>
        <v>0</v>
      </c>
    </row>
    <row r="59" spans="1:31" s="10" customFormat="1" ht="47.25" x14ac:dyDescent="0.25">
      <c r="A59" s="3">
        <v>51</v>
      </c>
      <c r="B59" s="3" t="s">
        <v>25</v>
      </c>
      <c r="C59" s="5" t="s">
        <v>1800</v>
      </c>
      <c r="D59" s="4" t="s">
        <v>1801</v>
      </c>
      <c r="E59" s="6">
        <v>9</v>
      </c>
      <c r="F59" s="6">
        <v>502</v>
      </c>
      <c r="G59" s="3">
        <v>72.5</v>
      </c>
      <c r="H59" s="3" t="s">
        <v>55</v>
      </c>
      <c r="I59" s="7">
        <v>45782</v>
      </c>
      <c r="J59" s="3"/>
      <c r="K59" s="3"/>
      <c r="L59" s="3" t="s">
        <v>98</v>
      </c>
      <c r="M59" s="3"/>
      <c r="N59" s="3"/>
      <c r="O59" s="3"/>
      <c r="P59" s="3"/>
      <c r="Q59" s="6" t="s">
        <v>101</v>
      </c>
      <c r="R59" s="7">
        <v>45784</v>
      </c>
      <c r="S59" s="7">
        <v>45804</v>
      </c>
      <c r="T59" s="7">
        <v>45804</v>
      </c>
      <c r="U59" s="6">
        <v>994</v>
      </c>
      <c r="V59" s="11">
        <v>2583973</v>
      </c>
      <c r="W59" s="6"/>
      <c r="X59" s="6"/>
      <c r="Y59" s="6"/>
      <c r="Z59" s="6"/>
      <c r="AA59" s="8"/>
      <c r="AB59" s="8" t="s">
        <v>1802</v>
      </c>
      <c r="AC59" s="6"/>
      <c r="AD59" s="6"/>
      <c r="AE59" s="9"/>
    </row>
    <row r="60" spans="1:31" s="10" customFormat="1" ht="31.5" x14ac:dyDescent="0.25">
      <c r="A60" s="3">
        <v>52</v>
      </c>
      <c r="B60" s="3" t="s">
        <v>25</v>
      </c>
      <c r="C60" s="5" t="s">
        <v>99</v>
      </c>
      <c r="D60" s="4" t="s">
        <v>100</v>
      </c>
      <c r="E60" s="6">
        <v>5</v>
      </c>
      <c r="F60" s="6">
        <v>712</v>
      </c>
      <c r="G60" s="3">
        <v>332.4</v>
      </c>
      <c r="H60" s="3" t="s">
        <v>51</v>
      </c>
      <c r="I60" s="7">
        <v>45782</v>
      </c>
      <c r="J60" s="3"/>
      <c r="K60" s="3" t="s">
        <v>62</v>
      </c>
      <c r="L60" s="3"/>
      <c r="M60" s="3"/>
      <c r="N60" s="3"/>
      <c r="O60" s="3"/>
      <c r="P60" s="3"/>
      <c r="Q60" s="6" t="s">
        <v>101</v>
      </c>
      <c r="R60" s="7">
        <v>45797</v>
      </c>
      <c r="S60" s="7">
        <v>45806</v>
      </c>
      <c r="T60" s="7">
        <v>45806</v>
      </c>
      <c r="U60" s="6">
        <v>1062</v>
      </c>
      <c r="V60" s="11">
        <v>961551</v>
      </c>
      <c r="W60" s="6"/>
      <c r="X60" s="6"/>
      <c r="Y60" s="6"/>
      <c r="Z60" s="6" t="s">
        <v>2670</v>
      </c>
      <c r="AA60" s="8" t="s">
        <v>2671</v>
      </c>
      <c r="AB60" s="8"/>
      <c r="AC60" s="6"/>
      <c r="AD60" s="6"/>
      <c r="AE60" s="9"/>
    </row>
    <row r="61" spans="1:31" ht="16.5" x14ac:dyDescent="0.25">
      <c r="A61" s="12"/>
      <c r="B61" s="73" t="s">
        <v>1919</v>
      </c>
      <c r="C61" s="74"/>
      <c r="D61" s="74"/>
      <c r="E61" s="74"/>
      <c r="F61" s="74"/>
      <c r="G61" s="74"/>
      <c r="H61" s="75"/>
      <c r="I61" s="13"/>
      <c r="J61" s="14">
        <f>COUNTIF(J57:J60,"CT")+COUNTIF(J60,"CN")+COUNTIF(J60,"TK")</f>
        <v>0</v>
      </c>
      <c r="K61" s="14">
        <f>COUNTIF(K60,"CMĐ")</f>
        <v>1</v>
      </c>
      <c r="L61" s="14">
        <f>COUNTIF(L57:L60,"XMDT")+COUNTIF(L57:L59,"Mốc")</f>
        <v>1</v>
      </c>
      <c r="M61" s="14">
        <f>COUNTIF(M60,"THÁn")</f>
        <v>0</v>
      </c>
      <c r="N61" s="14">
        <f>COUNTIF(N60,"TÒA")</f>
        <v>0</v>
      </c>
      <c r="O61" s="14">
        <f>COUNTIF(O41:O60,"Cấp GCN")</f>
        <v>0</v>
      </c>
      <c r="P61" s="14">
        <f>COUNTIF(P59:P60,"SHN")</f>
        <v>0</v>
      </c>
      <c r="Q61" s="15"/>
      <c r="R61" s="13"/>
      <c r="S61" s="15"/>
      <c r="T61" s="15"/>
      <c r="U61" s="16"/>
      <c r="V61" s="11"/>
      <c r="W61" s="17"/>
      <c r="X61" s="2"/>
      <c r="AD61" s="14">
        <f>COUNTIF(AD60,"kt")</f>
        <v>0</v>
      </c>
    </row>
    <row r="62" spans="1:31" s="10" customFormat="1" ht="15.75" x14ac:dyDescent="0.25">
      <c r="A62" s="3">
        <v>53</v>
      </c>
      <c r="B62" s="3" t="s">
        <v>25</v>
      </c>
      <c r="C62" s="5" t="s">
        <v>1000</v>
      </c>
      <c r="D62" s="4" t="s">
        <v>1001</v>
      </c>
      <c r="E62" s="6">
        <v>5</v>
      </c>
      <c r="F62" s="6">
        <v>798</v>
      </c>
      <c r="G62" s="3">
        <v>232.9</v>
      </c>
      <c r="H62" s="3" t="s">
        <v>51</v>
      </c>
      <c r="I62" s="7">
        <v>45786</v>
      </c>
      <c r="J62" s="3"/>
      <c r="K62" s="3" t="s">
        <v>62</v>
      </c>
      <c r="L62" s="3"/>
      <c r="M62" s="3"/>
      <c r="N62" s="3"/>
      <c r="O62" s="3"/>
      <c r="P62" s="3"/>
      <c r="Q62" s="6" t="s">
        <v>101</v>
      </c>
      <c r="R62" s="7"/>
      <c r="S62" s="7"/>
      <c r="T62" s="7"/>
      <c r="U62" s="6"/>
      <c r="V62" s="11"/>
      <c r="W62" s="6"/>
      <c r="X62" s="6"/>
      <c r="Y62" s="6"/>
      <c r="Z62" s="6"/>
      <c r="AA62" s="8"/>
      <c r="AB62" s="8"/>
      <c r="AC62" s="6"/>
      <c r="AD62" s="6"/>
      <c r="AE62" s="9"/>
    </row>
    <row r="63" spans="1:31" s="10" customFormat="1" ht="31.5" x14ac:dyDescent="0.25">
      <c r="A63" s="3">
        <v>54</v>
      </c>
      <c r="B63" s="3" t="s">
        <v>25</v>
      </c>
      <c r="C63" s="5" t="s">
        <v>1984</v>
      </c>
      <c r="D63" s="4" t="s">
        <v>1985</v>
      </c>
      <c r="E63" s="6">
        <v>10</v>
      </c>
      <c r="F63" s="6">
        <v>1113</v>
      </c>
      <c r="G63" s="3">
        <v>714.5</v>
      </c>
      <c r="H63" s="3" t="s">
        <v>51</v>
      </c>
      <c r="I63" s="7"/>
      <c r="J63" s="3"/>
      <c r="K63" s="3"/>
      <c r="L63" s="3"/>
      <c r="M63" s="3"/>
      <c r="N63" s="3"/>
      <c r="O63" s="3"/>
      <c r="P63" s="3"/>
      <c r="Q63" s="6" t="s">
        <v>1986</v>
      </c>
      <c r="R63" s="7"/>
      <c r="S63" s="7"/>
      <c r="T63" s="7"/>
      <c r="U63" s="6"/>
      <c r="V63" s="11"/>
      <c r="W63" s="6"/>
      <c r="X63" s="6"/>
      <c r="Y63" s="6"/>
      <c r="Z63" s="6" t="s">
        <v>1982</v>
      </c>
      <c r="AA63" s="8" t="s">
        <v>1987</v>
      </c>
      <c r="AB63" s="8"/>
      <c r="AC63" s="6"/>
      <c r="AD63" s="6"/>
      <c r="AE63" s="9"/>
    </row>
    <row r="64" spans="1:31" s="10" customFormat="1" ht="31.5" x14ac:dyDescent="0.25">
      <c r="A64" s="3">
        <v>55</v>
      </c>
      <c r="B64" s="3" t="s">
        <v>25</v>
      </c>
      <c r="C64" s="5" t="s">
        <v>2005</v>
      </c>
      <c r="D64" s="4"/>
      <c r="E64" s="6">
        <v>10</v>
      </c>
      <c r="F64" s="6">
        <v>1058</v>
      </c>
      <c r="G64" s="3">
        <v>918.1</v>
      </c>
      <c r="H64" s="3" t="s">
        <v>51</v>
      </c>
      <c r="I64" s="7"/>
      <c r="J64" s="3"/>
      <c r="K64" s="3"/>
      <c r="L64" s="3"/>
      <c r="M64" s="3"/>
      <c r="N64" s="3"/>
      <c r="O64" s="3"/>
      <c r="P64" s="3"/>
      <c r="Q64" s="6" t="s">
        <v>190</v>
      </c>
      <c r="R64" s="7"/>
      <c r="S64" s="7"/>
      <c r="T64" s="7"/>
      <c r="U64" s="6"/>
      <c r="V64" s="11"/>
      <c r="W64" s="6"/>
      <c r="X64" s="6"/>
      <c r="Y64" s="6"/>
      <c r="Z64" s="6" t="s">
        <v>1998</v>
      </c>
      <c r="AA64" s="8" t="s">
        <v>2004</v>
      </c>
      <c r="AB64" s="8"/>
      <c r="AC64" s="6"/>
      <c r="AD64" s="6"/>
      <c r="AE64" s="9"/>
    </row>
    <row r="65" spans="1:31" s="10" customFormat="1" ht="15.75" x14ac:dyDescent="0.25">
      <c r="A65" s="3">
        <v>56</v>
      </c>
      <c r="B65" s="3" t="s">
        <v>25</v>
      </c>
      <c r="C65" s="5" t="s">
        <v>2048</v>
      </c>
      <c r="D65" s="4" t="s">
        <v>2049</v>
      </c>
      <c r="E65" s="6">
        <v>15</v>
      </c>
      <c r="F65" s="6">
        <v>283</v>
      </c>
      <c r="G65" s="3">
        <v>120</v>
      </c>
      <c r="H65" s="3" t="s">
        <v>55</v>
      </c>
      <c r="I65" s="7">
        <v>45792</v>
      </c>
      <c r="J65" s="3"/>
      <c r="K65" s="3"/>
      <c r="L65" s="3"/>
      <c r="M65" s="3"/>
      <c r="N65" s="3"/>
      <c r="O65" s="3"/>
      <c r="P65" s="3" t="s">
        <v>52</v>
      </c>
      <c r="Q65" s="6" t="s">
        <v>101</v>
      </c>
      <c r="R65" s="7"/>
      <c r="S65" s="7"/>
      <c r="T65" s="7"/>
      <c r="U65" s="6"/>
      <c r="V65" s="11"/>
      <c r="W65" s="6"/>
      <c r="X65" s="6"/>
      <c r="Y65" s="6"/>
      <c r="Z65" s="6"/>
      <c r="AA65" s="8"/>
      <c r="AB65" s="8"/>
      <c r="AC65" s="6"/>
      <c r="AD65" s="6"/>
      <c r="AE65" s="9"/>
    </row>
    <row r="66" spans="1:31" s="10" customFormat="1" ht="47.25" x14ac:dyDescent="0.25">
      <c r="A66" s="3">
        <v>57</v>
      </c>
      <c r="B66" s="3" t="s">
        <v>25</v>
      </c>
      <c r="C66" s="5" t="s">
        <v>2055</v>
      </c>
      <c r="D66" s="4" t="s">
        <v>2056</v>
      </c>
      <c r="E66" s="6">
        <v>11</v>
      </c>
      <c r="F66" s="6">
        <v>235</v>
      </c>
      <c r="G66" s="3">
        <v>238.4</v>
      </c>
      <c r="H66" s="3" t="s">
        <v>75</v>
      </c>
      <c r="I66" s="7">
        <v>45793</v>
      </c>
      <c r="J66" s="3"/>
      <c r="K66" s="3"/>
      <c r="L66" s="3" t="s">
        <v>1</v>
      </c>
      <c r="M66" s="3"/>
      <c r="N66" s="3"/>
      <c r="O66" s="3"/>
      <c r="P66" s="3"/>
      <c r="Q66" s="6" t="s">
        <v>101</v>
      </c>
      <c r="R66" s="7"/>
      <c r="S66" s="7"/>
      <c r="T66" s="7"/>
      <c r="U66" s="6"/>
      <c r="V66" s="11"/>
      <c r="W66" s="6"/>
      <c r="X66" s="6"/>
      <c r="Y66" s="6"/>
      <c r="Z66" s="6"/>
      <c r="AA66" s="8"/>
      <c r="AB66" s="8"/>
      <c r="AC66" s="6"/>
      <c r="AD66" s="6"/>
      <c r="AE66" s="9"/>
    </row>
    <row r="67" spans="1:31" s="10" customFormat="1" ht="31.5" x14ac:dyDescent="0.25">
      <c r="A67" s="3">
        <v>58</v>
      </c>
      <c r="B67" s="3" t="s">
        <v>25</v>
      </c>
      <c r="C67" s="5" t="s">
        <v>2081</v>
      </c>
      <c r="D67" s="4"/>
      <c r="E67" s="6">
        <v>12</v>
      </c>
      <c r="F67" s="6" t="s">
        <v>2082</v>
      </c>
      <c r="G67" s="6" t="s">
        <v>2083</v>
      </c>
      <c r="H67" s="3" t="s">
        <v>75</v>
      </c>
      <c r="I67" s="7">
        <v>45796</v>
      </c>
      <c r="J67" s="3"/>
      <c r="K67" s="3"/>
      <c r="L67" s="3"/>
      <c r="M67" s="3"/>
      <c r="N67" s="3"/>
      <c r="O67" s="3"/>
      <c r="P67" s="3" t="s">
        <v>52</v>
      </c>
      <c r="Q67" s="6" t="s">
        <v>101</v>
      </c>
      <c r="R67" s="7">
        <v>45811</v>
      </c>
      <c r="S67" s="7">
        <v>45813</v>
      </c>
      <c r="T67" s="7">
        <v>45813</v>
      </c>
      <c r="U67" s="20">
        <v>1282</v>
      </c>
      <c r="V67" s="11">
        <v>3383690</v>
      </c>
      <c r="W67" s="6"/>
      <c r="X67" s="6"/>
      <c r="Y67" s="6"/>
      <c r="Z67" s="6"/>
      <c r="AA67" s="8"/>
      <c r="AB67" s="8" t="s">
        <v>2373</v>
      </c>
      <c r="AC67" s="6"/>
      <c r="AD67" s="6"/>
      <c r="AE67" s="9"/>
    </row>
    <row r="68" spans="1:31" ht="16.5" x14ac:dyDescent="0.25">
      <c r="A68" s="12"/>
      <c r="B68" s="73" t="s">
        <v>2099</v>
      </c>
      <c r="C68" s="74"/>
      <c r="D68" s="74"/>
      <c r="E68" s="74"/>
      <c r="F68" s="74"/>
      <c r="G68" s="74"/>
      <c r="H68" s="75"/>
      <c r="I68" s="13"/>
      <c r="J68" s="14">
        <f>COUNTIF(J64:J67,"CT")+COUNTIF(J67,"CN")+COUNTIF(J67,"TK")</f>
        <v>0</v>
      </c>
      <c r="K68" s="14">
        <f>COUNTIF(K62:K67,"CMĐ")</f>
        <v>1</v>
      </c>
      <c r="L68" s="14">
        <f>COUNTIF(L64:L67,"XMDT")+COUNTIF(L64:L66,"Mốc")</f>
        <v>1</v>
      </c>
      <c r="M68" s="14">
        <f>COUNTIF(M67,"THÁn")</f>
        <v>0</v>
      </c>
      <c r="N68" s="14">
        <f>COUNTIF(N67,"TÒA")</f>
        <v>0</v>
      </c>
      <c r="O68" s="14">
        <f>COUNTIF(O48:O67,"Cấp GCN")</f>
        <v>0</v>
      </c>
      <c r="P68" s="14">
        <f>COUNTIF(P62:P67,"SHN")</f>
        <v>2</v>
      </c>
      <c r="Q68" s="15"/>
      <c r="R68" s="13"/>
      <c r="S68" s="15"/>
      <c r="T68" s="15"/>
      <c r="U68" s="16"/>
      <c r="V68" s="11"/>
      <c r="W68" s="17"/>
      <c r="X68" s="2"/>
      <c r="AD68" s="14">
        <f>COUNTIF(AD67,"kt")</f>
        <v>0</v>
      </c>
    </row>
    <row r="69" spans="1:31" s="10" customFormat="1" ht="15.75" x14ac:dyDescent="0.25">
      <c r="A69" s="3">
        <v>59</v>
      </c>
      <c r="B69" s="3" t="s">
        <v>25</v>
      </c>
      <c r="C69" s="5" t="s">
        <v>2134</v>
      </c>
      <c r="D69" s="4"/>
      <c r="E69" s="6">
        <v>16</v>
      </c>
      <c r="F69" s="6">
        <v>1113</v>
      </c>
      <c r="G69" s="3">
        <v>152.69999999999999</v>
      </c>
      <c r="H69" s="3" t="s">
        <v>51</v>
      </c>
      <c r="I69" s="7">
        <v>45798</v>
      </c>
      <c r="J69" s="3"/>
      <c r="K69" s="3" t="s">
        <v>62</v>
      </c>
      <c r="L69" s="3"/>
      <c r="M69" s="3"/>
      <c r="N69" s="3"/>
      <c r="O69" s="3"/>
      <c r="P69" s="3"/>
      <c r="Q69" s="6" t="s">
        <v>101</v>
      </c>
      <c r="R69" s="7">
        <v>45811</v>
      </c>
      <c r="S69" s="7">
        <v>45818</v>
      </c>
      <c r="T69" s="7">
        <v>45818</v>
      </c>
      <c r="U69" s="6">
        <v>1424</v>
      </c>
      <c r="V69" s="11">
        <v>809727</v>
      </c>
      <c r="W69" s="6"/>
      <c r="X69" s="6"/>
      <c r="Y69" s="6"/>
      <c r="Z69" s="6"/>
      <c r="AA69" s="8"/>
      <c r="AB69" s="8"/>
      <c r="AC69" s="6"/>
      <c r="AD69" s="6"/>
      <c r="AE69" s="9" t="s">
        <v>2135</v>
      </c>
    </row>
    <row r="70" spans="1:31" s="10" customFormat="1" ht="31.5" x14ac:dyDescent="0.25">
      <c r="A70" s="3">
        <v>60</v>
      </c>
      <c r="B70" s="3" t="s">
        <v>25</v>
      </c>
      <c r="C70" s="5" t="s">
        <v>2136</v>
      </c>
      <c r="D70" s="4" t="s">
        <v>2137</v>
      </c>
      <c r="E70" s="6">
        <v>22</v>
      </c>
      <c r="F70" s="6">
        <v>5</v>
      </c>
      <c r="G70" s="3">
        <v>592.6</v>
      </c>
      <c r="H70" s="3" t="s">
        <v>51</v>
      </c>
      <c r="I70" s="7">
        <v>45798</v>
      </c>
      <c r="J70" s="3"/>
      <c r="K70" s="3" t="s">
        <v>62</v>
      </c>
      <c r="L70" s="3"/>
      <c r="M70" s="3"/>
      <c r="N70" s="3"/>
      <c r="O70" s="3"/>
      <c r="P70" s="3"/>
      <c r="Q70" s="6" t="s">
        <v>101</v>
      </c>
      <c r="R70" s="7">
        <v>45810</v>
      </c>
      <c r="S70" s="7">
        <v>45834</v>
      </c>
      <c r="T70" s="7">
        <v>45834</v>
      </c>
      <c r="U70" s="20">
        <v>1955</v>
      </c>
      <c r="V70" s="11">
        <v>1019155</v>
      </c>
      <c r="W70" s="6"/>
      <c r="X70" s="6"/>
      <c r="Y70" s="6"/>
      <c r="Z70" s="6"/>
      <c r="AA70" s="8"/>
      <c r="AB70" s="8"/>
      <c r="AC70" s="6"/>
      <c r="AD70" s="6"/>
      <c r="AE70" s="9"/>
    </row>
    <row r="71" spans="1:31" s="10" customFormat="1" ht="63" x14ac:dyDescent="0.25">
      <c r="A71" s="3">
        <v>61</v>
      </c>
      <c r="B71" s="3" t="s">
        <v>25</v>
      </c>
      <c r="C71" s="5" t="s">
        <v>2197</v>
      </c>
      <c r="D71" s="4" t="s">
        <v>2198</v>
      </c>
      <c r="E71" s="6">
        <v>5</v>
      </c>
      <c r="F71" s="6">
        <v>564</v>
      </c>
      <c r="G71" s="3">
        <v>124.2</v>
      </c>
      <c r="H71" s="3" t="s">
        <v>75</v>
      </c>
      <c r="I71" s="7">
        <v>45799</v>
      </c>
      <c r="J71" s="3"/>
      <c r="K71" s="3"/>
      <c r="L71" s="3" t="s">
        <v>98</v>
      </c>
      <c r="M71" s="3"/>
      <c r="N71" s="3"/>
      <c r="O71" s="3"/>
      <c r="P71" s="3"/>
      <c r="Q71" s="6" t="s">
        <v>101</v>
      </c>
      <c r="R71" s="7">
        <v>45797</v>
      </c>
      <c r="S71" s="7">
        <v>45803</v>
      </c>
      <c r="T71" s="7">
        <v>45803</v>
      </c>
      <c r="U71" s="6">
        <v>922</v>
      </c>
      <c r="V71" s="11">
        <v>2583973</v>
      </c>
      <c r="W71" s="6"/>
      <c r="X71" s="6"/>
      <c r="Y71" s="6"/>
      <c r="Z71" s="6"/>
      <c r="AA71" s="8"/>
      <c r="AB71" s="8"/>
      <c r="AC71" s="6" t="s">
        <v>2199</v>
      </c>
      <c r="AD71" s="6"/>
      <c r="AE71" s="9"/>
    </row>
    <row r="72" spans="1:31" ht="16.5" x14ac:dyDescent="0.25">
      <c r="A72" s="12"/>
      <c r="B72" s="73" t="s">
        <v>2208</v>
      </c>
      <c r="C72" s="74"/>
      <c r="D72" s="74"/>
      <c r="E72" s="74"/>
      <c r="F72" s="74"/>
      <c r="G72" s="74"/>
      <c r="H72" s="75"/>
      <c r="I72" s="13"/>
      <c r="J72" s="14">
        <f>COUNTIF(J68:J71,"CT")+COUNTIF(J71,"CN")+COUNTIF(J71,"TK")</f>
        <v>0</v>
      </c>
      <c r="K72" s="14">
        <f>COUNTIF(K66:K71,"CMĐ")</f>
        <v>2</v>
      </c>
      <c r="L72" s="14">
        <f>COUNTIF(L68:L71,"XMDT")+COUNTIF(L69:L71,"Mốc")</f>
        <v>1</v>
      </c>
      <c r="M72" s="14">
        <f>COUNTIF(M71,"THÁn")</f>
        <v>0</v>
      </c>
      <c r="N72" s="14">
        <f>COUNTIF(N71,"TÒA")</f>
        <v>0</v>
      </c>
      <c r="O72" s="14">
        <f>COUNTIF(O52:O71,"Cấp GCN")</f>
        <v>0</v>
      </c>
      <c r="P72" s="14">
        <f>COUNTIF(P69:P71,"SHN")</f>
        <v>0</v>
      </c>
      <c r="Q72" s="15"/>
      <c r="R72" s="13"/>
      <c r="S72" s="15"/>
      <c r="T72" s="15"/>
      <c r="U72" s="16"/>
      <c r="V72" s="11"/>
      <c r="W72" s="17"/>
      <c r="X72" s="2"/>
      <c r="AD72" s="14">
        <f>COUNTIF(AD71,"kt")</f>
        <v>0</v>
      </c>
    </row>
    <row r="73" spans="1:31" s="10" customFormat="1" ht="31.5" x14ac:dyDescent="0.25">
      <c r="A73" s="3">
        <v>62</v>
      </c>
      <c r="B73" s="3" t="s">
        <v>25</v>
      </c>
      <c r="C73" s="5" t="s">
        <v>2231</v>
      </c>
      <c r="D73" s="4" t="s">
        <v>2232</v>
      </c>
      <c r="E73" s="6">
        <v>14</v>
      </c>
      <c r="F73" s="6">
        <v>221</v>
      </c>
      <c r="G73" s="3">
        <v>459.9</v>
      </c>
      <c r="H73" s="3" t="s">
        <v>75</v>
      </c>
      <c r="I73" s="7">
        <v>45803</v>
      </c>
      <c r="J73" s="3" t="s">
        <v>823</v>
      </c>
      <c r="K73" s="3"/>
      <c r="L73" s="3"/>
      <c r="M73" s="3"/>
      <c r="N73" s="3"/>
      <c r="O73" s="3"/>
      <c r="P73" s="3"/>
      <c r="Q73" s="6" t="s">
        <v>101</v>
      </c>
      <c r="R73" s="7">
        <v>45834</v>
      </c>
      <c r="S73" s="7">
        <v>45834</v>
      </c>
      <c r="T73" s="7">
        <v>45834</v>
      </c>
      <c r="U73" s="20">
        <v>1954</v>
      </c>
      <c r="V73" s="11">
        <v>1682662</v>
      </c>
      <c r="W73" s="6"/>
      <c r="X73" s="6"/>
      <c r="Y73" s="6"/>
      <c r="Z73" s="6"/>
      <c r="AA73" s="8"/>
      <c r="AB73" s="8"/>
      <c r="AC73" s="6"/>
      <c r="AD73" s="6"/>
      <c r="AE73" s="9"/>
    </row>
    <row r="74" spans="1:31" s="10" customFormat="1" ht="15.75" x14ac:dyDescent="0.25">
      <c r="A74" s="3">
        <v>63</v>
      </c>
      <c r="B74" s="3" t="s">
        <v>25</v>
      </c>
      <c r="C74" s="5" t="s">
        <v>2241</v>
      </c>
      <c r="D74" s="4" t="s">
        <v>2242</v>
      </c>
      <c r="E74" s="6">
        <v>16</v>
      </c>
      <c r="F74" s="6">
        <v>754</v>
      </c>
      <c r="G74" s="3">
        <v>120</v>
      </c>
      <c r="H74" s="3" t="s">
        <v>55</v>
      </c>
      <c r="I74" s="7">
        <v>45803</v>
      </c>
      <c r="J74" s="3"/>
      <c r="K74" s="3"/>
      <c r="L74" s="3"/>
      <c r="M74" s="3"/>
      <c r="N74" s="3"/>
      <c r="O74" s="3"/>
      <c r="P74" s="3" t="s">
        <v>52</v>
      </c>
      <c r="Q74" s="6" t="s">
        <v>101</v>
      </c>
      <c r="R74" s="7"/>
      <c r="S74" s="7"/>
      <c r="T74" s="7"/>
      <c r="U74" s="6"/>
      <c r="V74" s="11"/>
      <c r="W74" s="6"/>
      <c r="X74" s="6"/>
      <c r="Y74" s="6"/>
      <c r="Z74" s="6"/>
      <c r="AA74" s="8"/>
      <c r="AB74" s="8"/>
      <c r="AC74" s="6"/>
      <c r="AD74" s="6"/>
      <c r="AE74" s="9"/>
    </row>
    <row r="75" spans="1:31" s="10" customFormat="1" ht="15.75" x14ac:dyDescent="0.25">
      <c r="A75" s="3">
        <v>64</v>
      </c>
      <c r="B75" s="3" t="s">
        <v>25</v>
      </c>
      <c r="C75" s="5" t="s">
        <v>2253</v>
      </c>
      <c r="D75" s="4" t="s">
        <v>2254</v>
      </c>
      <c r="E75" s="6">
        <v>16</v>
      </c>
      <c r="F75" s="6">
        <v>694</v>
      </c>
      <c r="G75" s="3">
        <v>92</v>
      </c>
      <c r="H75" s="3" t="s">
        <v>55</v>
      </c>
      <c r="I75" s="7">
        <v>45804</v>
      </c>
      <c r="J75" s="3"/>
      <c r="K75" s="3"/>
      <c r="L75" s="3"/>
      <c r="M75" s="3"/>
      <c r="N75" s="3"/>
      <c r="O75" s="3"/>
      <c r="P75" s="3" t="s">
        <v>52</v>
      </c>
      <c r="Q75" s="6" t="s">
        <v>101</v>
      </c>
      <c r="R75" s="7" t="s">
        <v>2518</v>
      </c>
      <c r="S75" s="7">
        <v>45811</v>
      </c>
      <c r="T75" s="7">
        <v>45811</v>
      </c>
      <c r="U75" s="20">
        <v>1209</v>
      </c>
      <c r="V75" s="11">
        <v>1416978</v>
      </c>
      <c r="W75" s="6"/>
      <c r="X75" s="6"/>
      <c r="Y75" s="6"/>
      <c r="Z75" s="6"/>
      <c r="AA75" s="8"/>
      <c r="AB75" s="8"/>
      <c r="AC75" s="6"/>
      <c r="AD75" s="6"/>
      <c r="AE75" s="9"/>
    </row>
    <row r="76" spans="1:31" s="10" customFormat="1" ht="63" x14ac:dyDescent="0.25">
      <c r="A76" s="3">
        <v>65</v>
      </c>
      <c r="B76" s="3" t="s">
        <v>25</v>
      </c>
      <c r="C76" s="5" t="s">
        <v>2283</v>
      </c>
      <c r="D76" s="4" t="s">
        <v>2284</v>
      </c>
      <c r="E76" s="6">
        <v>19</v>
      </c>
      <c r="F76" s="6">
        <v>351</v>
      </c>
      <c r="G76" s="3">
        <v>65.2</v>
      </c>
      <c r="H76" s="3" t="s">
        <v>55</v>
      </c>
      <c r="I76" s="7">
        <v>45806</v>
      </c>
      <c r="J76" s="3"/>
      <c r="K76" s="3"/>
      <c r="L76" s="3" t="s">
        <v>98</v>
      </c>
      <c r="M76" s="3"/>
      <c r="N76" s="3"/>
      <c r="O76" s="3"/>
      <c r="P76" s="3"/>
      <c r="Q76" s="6" t="s">
        <v>101</v>
      </c>
      <c r="R76" s="7">
        <v>45812</v>
      </c>
      <c r="S76" s="7">
        <v>45819</v>
      </c>
      <c r="T76" s="7">
        <v>45819</v>
      </c>
      <c r="U76" s="6">
        <v>1444</v>
      </c>
      <c r="V76" s="11">
        <v>2235043</v>
      </c>
      <c r="W76" s="6"/>
      <c r="X76" s="6"/>
      <c r="Y76" s="6"/>
      <c r="Z76" s="6"/>
      <c r="AA76" s="8"/>
      <c r="AB76" s="8"/>
      <c r="AC76" s="6" t="s">
        <v>2291</v>
      </c>
      <c r="AD76" s="6"/>
      <c r="AE76" s="9"/>
    </row>
    <row r="77" spans="1:31" s="10" customFormat="1" ht="15.75" x14ac:dyDescent="0.25">
      <c r="A77" s="3">
        <v>66</v>
      </c>
      <c r="B77" s="3" t="s">
        <v>25</v>
      </c>
      <c r="C77" s="5" t="s">
        <v>873</v>
      </c>
      <c r="D77" s="4" t="s">
        <v>874</v>
      </c>
      <c r="E77" s="6">
        <v>19</v>
      </c>
      <c r="F77" s="6">
        <v>5</v>
      </c>
      <c r="G77" s="3">
        <v>3636.1</v>
      </c>
      <c r="H77" s="3" t="s">
        <v>51</v>
      </c>
      <c r="I77" s="7">
        <v>45807</v>
      </c>
      <c r="J77" s="3" t="s">
        <v>76</v>
      </c>
      <c r="K77" s="3"/>
      <c r="L77" s="3"/>
      <c r="M77" s="3"/>
      <c r="N77" s="3"/>
      <c r="O77" s="3"/>
      <c r="P77" s="3"/>
      <c r="Q77" s="6" t="s">
        <v>101</v>
      </c>
      <c r="R77" s="7"/>
      <c r="S77" s="7"/>
      <c r="T77" s="7"/>
      <c r="U77" s="6"/>
      <c r="V77" s="11"/>
      <c r="W77" s="6"/>
      <c r="X77" s="6"/>
      <c r="Y77" s="6"/>
      <c r="Z77" s="6"/>
      <c r="AA77" s="8"/>
      <c r="AB77" s="8"/>
      <c r="AC77" s="6"/>
      <c r="AD77" s="6"/>
      <c r="AE77" s="9"/>
    </row>
    <row r="78" spans="1:31" ht="16.5" x14ac:dyDescent="0.25">
      <c r="A78" s="12"/>
      <c r="B78" s="73" t="s">
        <v>2324</v>
      </c>
      <c r="C78" s="74"/>
      <c r="D78" s="74"/>
      <c r="E78" s="74"/>
      <c r="F78" s="74"/>
      <c r="G78" s="74"/>
      <c r="H78" s="75"/>
      <c r="I78" s="13"/>
      <c r="J78" s="14">
        <f>COUNTIF(J74:J77,"CT")+COUNTIF(J73:J77,"IG")+COUNTIF(J77,"TK")</f>
        <v>2</v>
      </c>
      <c r="K78" s="14">
        <f>COUNTIF(K72:K77,"CMĐ")</f>
        <v>0</v>
      </c>
      <c r="L78" s="14">
        <f>COUNTIF(L74:L77,"XMDT")+COUNTIF(L75:L77,"Mốc")</f>
        <v>1</v>
      </c>
      <c r="M78" s="14">
        <f>COUNTIF(M77,"THÁn")</f>
        <v>0</v>
      </c>
      <c r="N78" s="14">
        <f>COUNTIF(N77,"TÒA")</f>
        <v>0</v>
      </c>
      <c r="O78" s="14">
        <f>COUNTIF(O58:O77,"Cấp GCN")</f>
        <v>0</v>
      </c>
      <c r="P78" s="14">
        <f>COUNTIF(P73:P77,"SHN")</f>
        <v>2</v>
      </c>
      <c r="Q78" s="15"/>
      <c r="R78" s="13"/>
      <c r="S78" s="15"/>
      <c r="T78" s="15"/>
      <c r="U78" s="16"/>
      <c r="V78" s="11"/>
      <c r="W78" s="17"/>
      <c r="X78" s="2"/>
      <c r="AD78" s="14">
        <f>COUNTIF(AD77,"kt")</f>
        <v>0</v>
      </c>
    </row>
    <row r="79" spans="1:31" s="10" customFormat="1" ht="15.75" x14ac:dyDescent="0.25">
      <c r="A79" s="3">
        <v>67</v>
      </c>
      <c r="B79" s="3" t="s">
        <v>25</v>
      </c>
      <c r="C79" s="5" t="s">
        <v>2362</v>
      </c>
      <c r="D79" s="4" t="s">
        <v>2363</v>
      </c>
      <c r="E79" s="6">
        <v>16</v>
      </c>
      <c r="F79" s="6">
        <v>524</v>
      </c>
      <c r="G79" s="3">
        <v>90</v>
      </c>
      <c r="H79" s="3" t="s">
        <v>55</v>
      </c>
      <c r="I79" s="7">
        <v>45812</v>
      </c>
      <c r="J79" s="3"/>
      <c r="K79" s="3"/>
      <c r="L79" s="3"/>
      <c r="M79" s="3"/>
      <c r="N79" s="3"/>
      <c r="O79" s="3"/>
      <c r="P79" s="3" t="s">
        <v>52</v>
      </c>
      <c r="Q79" s="6" t="s">
        <v>101</v>
      </c>
      <c r="R79" s="7">
        <v>45832</v>
      </c>
      <c r="S79" s="7">
        <v>45833</v>
      </c>
      <c r="T79" s="7">
        <v>45833</v>
      </c>
      <c r="U79" s="20">
        <v>1884</v>
      </c>
      <c r="V79" s="11">
        <v>2125468</v>
      </c>
      <c r="W79" s="6"/>
      <c r="X79" s="6"/>
      <c r="Y79" s="6"/>
      <c r="Z79" s="6"/>
      <c r="AA79" s="8"/>
      <c r="AB79" s="8"/>
      <c r="AC79" s="6"/>
      <c r="AD79" s="6"/>
      <c r="AE79" s="9"/>
    </row>
    <row r="80" spans="1:31" ht="16.5" x14ac:dyDescent="0.25">
      <c r="A80" s="12"/>
      <c r="B80" s="73" t="s">
        <v>2377</v>
      </c>
      <c r="C80" s="74"/>
      <c r="D80" s="74"/>
      <c r="E80" s="74"/>
      <c r="F80" s="74"/>
      <c r="G80" s="74"/>
      <c r="H80" s="75"/>
      <c r="I80" s="13"/>
      <c r="J80" s="14">
        <f>COUNTIF(J79,"CT")+COUNTIF(J79,"IG")+COUNTIF(J79,"TK")</f>
        <v>0</v>
      </c>
      <c r="K80" s="14">
        <f>COUNTIF(K74:K79,"CMĐ")</f>
        <v>0</v>
      </c>
      <c r="L80" s="14">
        <f>COUNTIF(L76:L79,"XMDT")+COUNTIF(L77:L79,"Mốc")</f>
        <v>0</v>
      </c>
      <c r="M80" s="14">
        <f>COUNTIF(M79,"THÁn")</f>
        <v>0</v>
      </c>
      <c r="N80" s="14">
        <f>COUNTIF(N79,"TÒA")</f>
        <v>0</v>
      </c>
      <c r="O80" s="14">
        <f>COUNTIF(O60:O79,"Cấp GCN")</f>
        <v>0</v>
      </c>
      <c r="P80" s="14">
        <f>COUNTIF(P79,"SHN")</f>
        <v>1</v>
      </c>
      <c r="Q80" s="15"/>
      <c r="R80" s="13"/>
      <c r="S80" s="15"/>
      <c r="T80" s="15"/>
      <c r="U80" s="16"/>
      <c r="V80" s="11"/>
      <c r="W80" s="17"/>
      <c r="X80" s="2"/>
      <c r="AD80" s="14">
        <f>COUNTIF(AD79,"kt")</f>
        <v>0</v>
      </c>
    </row>
    <row r="81" spans="1:31" s="10" customFormat="1" ht="15.75" x14ac:dyDescent="0.25">
      <c r="A81" s="3">
        <v>68</v>
      </c>
      <c r="B81" s="3" t="s">
        <v>25</v>
      </c>
      <c r="C81" s="5" t="s">
        <v>2403</v>
      </c>
      <c r="D81" s="4" t="s">
        <v>2404</v>
      </c>
      <c r="E81" s="6">
        <v>14</v>
      </c>
      <c r="F81" s="6">
        <v>59</v>
      </c>
      <c r="G81" s="3">
        <v>925.9</v>
      </c>
      <c r="H81" s="3" t="s">
        <v>75</v>
      </c>
      <c r="I81" s="7">
        <v>45813</v>
      </c>
      <c r="J81" s="3"/>
      <c r="K81" s="3"/>
      <c r="L81" s="3" t="s">
        <v>1</v>
      </c>
      <c r="M81" s="3"/>
      <c r="N81" s="3"/>
      <c r="O81" s="3"/>
      <c r="P81" s="3"/>
      <c r="Q81" s="6" t="s">
        <v>101</v>
      </c>
      <c r="R81" s="7"/>
      <c r="S81" s="7"/>
      <c r="T81" s="7"/>
      <c r="U81" s="6"/>
      <c r="V81" s="11"/>
      <c r="W81" s="6"/>
      <c r="X81" s="6"/>
      <c r="Y81" s="6"/>
      <c r="Z81" s="6"/>
      <c r="AA81" s="8"/>
      <c r="AB81" s="8"/>
      <c r="AC81" s="6"/>
      <c r="AD81" s="6"/>
      <c r="AE81" s="9"/>
    </row>
    <row r="82" spans="1:31" s="10" customFormat="1" ht="31.5" x14ac:dyDescent="0.25">
      <c r="A82" s="3">
        <v>69</v>
      </c>
      <c r="B82" s="3" t="s">
        <v>25</v>
      </c>
      <c r="C82" s="5" t="s">
        <v>2416</v>
      </c>
      <c r="D82" s="4" t="s">
        <v>2417</v>
      </c>
      <c r="E82" s="6">
        <v>15</v>
      </c>
      <c r="F82" s="6">
        <v>1253</v>
      </c>
      <c r="G82" s="3">
        <v>257.2</v>
      </c>
      <c r="H82" s="3" t="s">
        <v>51</v>
      </c>
      <c r="I82" s="7">
        <v>45817</v>
      </c>
      <c r="J82" s="3"/>
      <c r="K82" s="3" t="s">
        <v>62</v>
      </c>
      <c r="L82" s="3"/>
      <c r="M82" s="3"/>
      <c r="N82" s="3"/>
      <c r="O82" s="3"/>
      <c r="P82" s="3"/>
      <c r="Q82" s="6" t="s">
        <v>101</v>
      </c>
      <c r="R82" s="7"/>
      <c r="S82" s="7"/>
      <c r="T82" s="7"/>
      <c r="U82" s="6"/>
      <c r="V82" s="11"/>
      <c r="W82" s="6"/>
      <c r="X82" s="6"/>
      <c r="Y82" s="6"/>
      <c r="Z82" s="6"/>
      <c r="AA82" s="8"/>
      <c r="AB82" s="8"/>
      <c r="AC82" s="6"/>
      <c r="AD82" s="6"/>
      <c r="AE82" s="9"/>
    </row>
    <row r="83" spans="1:31" s="10" customFormat="1" ht="63" x14ac:dyDescent="0.25">
      <c r="A83" s="3">
        <v>70</v>
      </c>
      <c r="B83" s="3" t="s">
        <v>25</v>
      </c>
      <c r="C83" s="5" t="s">
        <v>2435</v>
      </c>
      <c r="D83" s="4" t="s">
        <v>315</v>
      </c>
      <c r="E83" s="6">
        <v>24</v>
      </c>
      <c r="F83" s="6">
        <v>361</v>
      </c>
      <c r="G83" s="3">
        <v>115.9</v>
      </c>
      <c r="H83" s="3"/>
      <c r="I83" s="7">
        <v>45819</v>
      </c>
      <c r="J83" s="3"/>
      <c r="K83" s="3"/>
      <c r="L83" s="3"/>
      <c r="M83" s="3"/>
      <c r="N83" s="3" t="s">
        <v>56</v>
      </c>
      <c r="O83" s="3"/>
      <c r="P83" s="3"/>
      <c r="Q83" s="6" t="s">
        <v>101</v>
      </c>
      <c r="R83" s="7"/>
      <c r="S83" s="7"/>
      <c r="T83" s="7"/>
      <c r="U83" s="6"/>
      <c r="V83" s="11"/>
      <c r="W83" s="6"/>
      <c r="X83" s="6"/>
      <c r="Y83" s="6"/>
      <c r="Z83" s="6"/>
      <c r="AA83" s="8"/>
      <c r="AB83" s="8"/>
      <c r="AC83" s="6" t="s">
        <v>2436</v>
      </c>
      <c r="AD83" s="6"/>
      <c r="AE83" s="9"/>
    </row>
    <row r="84" spans="1:31" s="10" customFormat="1" ht="63" x14ac:dyDescent="0.25">
      <c r="A84" s="3">
        <v>71</v>
      </c>
      <c r="B84" s="3" t="s">
        <v>25</v>
      </c>
      <c r="C84" s="5" t="s">
        <v>1295</v>
      </c>
      <c r="D84" s="4" t="s">
        <v>315</v>
      </c>
      <c r="E84" s="6">
        <v>11</v>
      </c>
      <c r="F84" s="6">
        <v>648</v>
      </c>
      <c r="G84" s="3">
        <v>909.7</v>
      </c>
      <c r="H84" s="3" t="s">
        <v>75</v>
      </c>
      <c r="I84" s="7">
        <v>45817</v>
      </c>
      <c r="J84" s="3"/>
      <c r="K84" s="3"/>
      <c r="L84" s="3"/>
      <c r="M84" s="3"/>
      <c r="N84" s="3" t="s">
        <v>56</v>
      </c>
      <c r="O84" s="3"/>
      <c r="P84" s="3"/>
      <c r="Q84" s="6" t="s">
        <v>101</v>
      </c>
      <c r="R84" s="7"/>
      <c r="S84" s="7"/>
      <c r="T84" s="7"/>
      <c r="U84" s="6"/>
      <c r="V84" s="11"/>
      <c r="W84" s="6"/>
      <c r="X84" s="6"/>
      <c r="Y84" s="6"/>
      <c r="Z84" s="6"/>
      <c r="AA84" s="8"/>
      <c r="AB84" s="8"/>
      <c r="AC84" s="6" t="s">
        <v>2437</v>
      </c>
      <c r="AD84" s="6"/>
      <c r="AE84" s="9"/>
    </row>
    <row r="85" spans="1:31" s="10" customFormat="1" ht="78.75" x14ac:dyDescent="0.25">
      <c r="A85" s="3">
        <v>72</v>
      </c>
      <c r="B85" s="3" t="s">
        <v>25</v>
      </c>
      <c r="C85" s="5" t="s">
        <v>2445</v>
      </c>
      <c r="D85" s="4" t="s">
        <v>315</v>
      </c>
      <c r="E85" s="6">
        <v>10</v>
      </c>
      <c r="F85" s="6" t="s">
        <v>2446</v>
      </c>
      <c r="G85" s="3"/>
      <c r="H85" s="3"/>
      <c r="I85" s="7">
        <v>45818</v>
      </c>
      <c r="J85" s="3"/>
      <c r="K85" s="3"/>
      <c r="L85" s="3"/>
      <c r="M85" s="3"/>
      <c r="N85" s="3" t="s">
        <v>56</v>
      </c>
      <c r="O85" s="3"/>
      <c r="P85" s="3"/>
      <c r="Q85" s="6" t="s">
        <v>101</v>
      </c>
      <c r="R85" s="7"/>
      <c r="S85" s="7"/>
      <c r="T85" s="7"/>
      <c r="U85" s="6"/>
      <c r="V85" s="11"/>
      <c r="W85" s="6"/>
      <c r="X85" s="6"/>
      <c r="Y85" s="6"/>
      <c r="Z85" s="6"/>
      <c r="AA85" s="8"/>
      <c r="AB85" s="8"/>
      <c r="AC85" s="6" t="s">
        <v>2447</v>
      </c>
      <c r="AD85" s="6"/>
      <c r="AE85" s="9"/>
    </row>
    <row r="86" spans="1:31" s="10" customFormat="1" ht="31.5" x14ac:dyDescent="0.25">
      <c r="A86" s="3">
        <v>73</v>
      </c>
      <c r="B86" s="3" t="s">
        <v>25</v>
      </c>
      <c r="C86" s="5" t="s">
        <v>2231</v>
      </c>
      <c r="D86" s="4" t="s">
        <v>2232</v>
      </c>
      <c r="E86" s="6">
        <v>14</v>
      </c>
      <c r="F86" s="6">
        <v>221</v>
      </c>
      <c r="G86" s="3">
        <v>459.9</v>
      </c>
      <c r="H86" s="3" t="s">
        <v>75</v>
      </c>
      <c r="I86" s="7">
        <v>45818</v>
      </c>
      <c r="J86" s="3"/>
      <c r="K86" s="3"/>
      <c r="L86" s="3"/>
      <c r="M86" s="3"/>
      <c r="N86" s="3"/>
      <c r="O86" s="3"/>
      <c r="P86" s="3" t="s">
        <v>52</v>
      </c>
      <c r="Q86" s="6" t="s">
        <v>101</v>
      </c>
      <c r="R86" s="7">
        <v>45834</v>
      </c>
      <c r="S86" s="7"/>
      <c r="T86" s="7"/>
      <c r="U86" s="6"/>
      <c r="V86" s="11"/>
      <c r="W86" s="6"/>
      <c r="X86" s="6"/>
      <c r="Y86" s="6"/>
      <c r="Z86" s="6"/>
      <c r="AA86" s="8"/>
      <c r="AB86" s="8"/>
      <c r="AC86" s="6"/>
      <c r="AD86" s="6"/>
      <c r="AE86" s="9"/>
    </row>
    <row r="87" spans="1:31" s="10" customFormat="1" ht="15.75" x14ac:dyDescent="0.25">
      <c r="A87" s="3">
        <v>74</v>
      </c>
      <c r="B87" s="3" t="s">
        <v>25</v>
      </c>
      <c r="C87" s="5" t="s">
        <v>2454</v>
      </c>
      <c r="D87" s="4" t="s">
        <v>2455</v>
      </c>
      <c r="E87" s="6">
        <v>6</v>
      </c>
      <c r="F87" s="6">
        <v>328</v>
      </c>
      <c r="G87" s="3">
        <v>265.60000000000002</v>
      </c>
      <c r="H87" s="3" t="s">
        <v>51</v>
      </c>
      <c r="I87" s="7">
        <v>45819</v>
      </c>
      <c r="J87" s="3"/>
      <c r="K87" s="3" t="s">
        <v>62</v>
      </c>
      <c r="L87" s="3"/>
      <c r="M87" s="3"/>
      <c r="N87" s="3"/>
      <c r="O87" s="3"/>
      <c r="P87" s="3"/>
      <c r="Q87" s="6" t="s">
        <v>101</v>
      </c>
      <c r="R87" s="7"/>
      <c r="S87" s="7"/>
      <c r="T87" s="7"/>
      <c r="U87" s="6"/>
      <c r="V87" s="11"/>
      <c r="W87" s="6"/>
      <c r="X87" s="6"/>
      <c r="Y87" s="6"/>
      <c r="Z87" s="6"/>
      <c r="AA87" s="8"/>
      <c r="AB87" s="8"/>
      <c r="AC87" s="6"/>
      <c r="AD87" s="6"/>
      <c r="AE87" s="9"/>
    </row>
    <row r="88" spans="1:31" s="10" customFormat="1" ht="157.5" x14ac:dyDescent="0.25">
      <c r="A88" s="3">
        <v>75</v>
      </c>
      <c r="B88" s="3" t="s">
        <v>25</v>
      </c>
      <c r="C88" s="5" t="s">
        <v>2459</v>
      </c>
      <c r="D88" s="4" t="s">
        <v>2460</v>
      </c>
      <c r="E88" s="6">
        <v>11</v>
      </c>
      <c r="F88" s="6">
        <v>177</v>
      </c>
      <c r="G88" s="3">
        <v>602.79999999999995</v>
      </c>
      <c r="H88" s="3" t="s">
        <v>75</v>
      </c>
      <c r="I88" s="7">
        <v>45819</v>
      </c>
      <c r="J88" s="3"/>
      <c r="K88" s="3"/>
      <c r="L88" s="3" t="s">
        <v>1</v>
      </c>
      <c r="M88" s="3"/>
      <c r="N88" s="3"/>
      <c r="O88" s="3"/>
      <c r="P88" s="3"/>
      <c r="Q88" s="6" t="s">
        <v>101</v>
      </c>
      <c r="R88" s="7"/>
      <c r="S88" s="7"/>
      <c r="T88" s="7"/>
      <c r="U88" s="6"/>
      <c r="V88" s="11"/>
      <c r="W88" s="6"/>
      <c r="X88" s="6"/>
      <c r="Y88" s="6"/>
      <c r="Z88" s="6"/>
      <c r="AA88" s="8"/>
      <c r="AB88" s="8"/>
      <c r="AC88" s="6"/>
      <c r="AD88" s="6"/>
      <c r="AE88" s="9"/>
    </row>
    <row r="89" spans="1:31" s="10" customFormat="1" ht="15.75" x14ac:dyDescent="0.25">
      <c r="A89" s="3">
        <v>76</v>
      </c>
      <c r="B89" s="3" t="s">
        <v>25</v>
      </c>
      <c r="C89" s="5" t="s">
        <v>485</v>
      </c>
      <c r="D89" s="4"/>
      <c r="E89" s="6">
        <v>17</v>
      </c>
      <c r="F89" s="6">
        <v>105</v>
      </c>
      <c r="G89" s="3">
        <v>1181.8</v>
      </c>
      <c r="H89" s="3" t="s">
        <v>75</v>
      </c>
      <c r="I89" s="7">
        <v>45819</v>
      </c>
      <c r="J89" s="3"/>
      <c r="K89" s="3" t="s">
        <v>62</v>
      </c>
      <c r="L89" s="3"/>
      <c r="M89" s="3"/>
      <c r="N89" s="3"/>
      <c r="O89" s="3"/>
      <c r="P89" s="3"/>
      <c r="Q89" s="6" t="s">
        <v>101</v>
      </c>
      <c r="R89" s="7">
        <v>45835</v>
      </c>
      <c r="S89" s="7"/>
      <c r="T89" s="7"/>
      <c r="U89" s="6"/>
      <c r="V89" s="11"/>
      <c r="W89" s="6"/>
      <c r="X89" s="6"/>
      <c r="Y89" s="6"/>
      <c r="Z89" s="6"/>
      <c r="AA89" s="8"/>
      <c r="AB89" s="8"/>
      <c r="AC89" s="6"/>
      <c r="AD89" s="6"/>
      <c r="AE89" s="9" t="s">
        <v>2468</v>
      </c>
    </row>
    <row r="90" spans="1:31" s="10" customFormat="1" ht="15.75" x14ac:dyDescent="0.25">
      <c r="A90" s="3">
        <v>77</v>
      </c>
      <c r="B90" s="3" t="s">
        <v>25</v>
      </c>
      <c r="C90" s="5" t="s">
        <v>2474</v>
      </c>
      <c r="D90" s="4" t="s">
        <v>2475</v>
      </c>
      <c r="E90" s="6">
        <v>16</v>
      </c>
      <c r="F90" s="6">
        <v>648</v>
      </c>
      <c r="G90" s="3">
        <v>120</v>
      </c>
      <c r="H90" s="3" t="s">
        <v>55</v>
      </c>
      <c r="I90" s="7">
        <v>45819</v>
      </c>
      <c r="J90" s="3"/>
      <c r="K90" s="3"/>
      <c r="L90" s="3"/>
      <c r="M90" s="3"/>
      <c r="N90" s="3"/>
      <c r="O90" s="3"/>
      <c r="P90" s="3" t="s">
        <v>52</v>
      </c>
      <c r="Q90" s="6" t="s">
        <v>101</v>
      </c>
      <c r="R90" s="7">
        <v>45801</v>
      </c>
      <c r="S90" s="7">
        <v>45834</v>
      </c>
      <c r="T90" s="7">
        <v>45834</v>
      </c>
      <c r="U90" s="20">
        <v>1950</v>
      </c>
      <c r="V90" s="11">
        <v>2125468</v>
      </c>
      <c r="W90" s="6"/>
      <c r="X90" s="6"/>
      <c r="Y90" s="6"/>
      <c r="Z90" s="6"/>
      <c r="AA90" s="8"/>
      <c r="AB90" s="8"/>
      <c r="AC90" s="6"/>
      <c r="AD90" s="6"/>
      <c r="AE90" s="9"/>
    </row>
    <row r="91" spans="1:31" s="10" customFormat="1" ht="15.75" x14ac:dyDescent="0.25">
      <c r="A91" s="3">
        <v>78</v>
      </c>
      <c r="B91" s="3" t="s">
        <v>25</v>
      </c>
      <c r="C91" s="5" t="s">
        <v>2478</v>
      </c>
      <c r="D91" s="4"/>
      <c r="E91" s="6">
        <v>19</v>
      </c>
      <c r="F91" s="6">
        <v>1</v>
      </c>
      <c r="G91" s="3">
        <v>761.1</v>
      </c>
      <c r="H91" s="3" t="s">
        <v>75</v>
      </c>
      <c r="I91" s="7">
        <v>45820</v>
      </c>
      <c r="J91" s="3" t="s">
        <v>153</v>
      </c>
      <c r="K91" s="3"/>
      <c r="L91" s="3"/>
      <c r="M91" s="3"/>
      <c r="N91" s="3"/>
      <c r="O91" s="3"/>
      <c r="P91" s="3"/>
      <c r="Q91" s="6" t="s">
        <v>101</v>
      </c>
      <c r="R91" s="7"/>
      <c r="S91" s="7"/>
      <c r="T91" s="7"/>
      <c r="U91" s="6"/>
      <c r="V91" s="11"/>
      <c r="W91" s="6"/>
      <c r="X91" s="6"/>
      <c r="Y91" s="6"/>
      <c r="Z91" s="6"/>
      <c r="AA91" s="8"/>
      <c r="AB91" s="8"/>
      <c r="AC91" s="6"/>
      <c r="AD91" s="6"/>
      <c r="AE91" s="9" t="s">
        <v>2468</v>
      </c>
    </row>
    <row r="92" spans="1:31" s="10" customFormat="1" ht="31.5" x14ac:dyDescent="0.25">
      <c r="A92" s="3">
        <v>79</v>
      </c>
      <c r="B92" s="3" t="s">
        <v>25</v>
      </c>
      <c r="C92" s="5" t="s">
        <v>1052</v>
      </c>
      <c r="D92" s="4" t="s">
        <v>565</v>
      </c>
      <c r="E92" s="6">
        <v>11</v>
      </c>
      <c r="F92" s="6">
        <v>797</v>
      </c>
      <c r="G92" s="3">
        <v>342.6</v>
      </c>
      <c r="H92" s="3" t="s">
        <v>51</v>
      </c>
      <c r="I92" s="7">
        <v>45824</v>
      </c>
      <c r="J92" s="3"/>
      <c r="K92" s="3" t="s">
        <v>62</v>
      </c>
      <c r="L92" s="3"/>
      <c r="M92" s="3"/>
      <c r="N92" s="3"/>
      <c r="O92" s="3"/>
      <c r="P92" s="3"/>
      <c r="Q92" s="6" t="s">
        <v>101</v>
      </c>
      <c r="R92" s="7">
        <v>45828</v>
      </c>
      <c r="S92" s="7">
        <v>45828</v>
      </c>
      <c r="T92" s="7">
        <v>45829</v>
      </c>
      <c r="U92" s="6">
        <v>1785</v>
      </c>
      <c r="V92" s="11">
        <v>961551</v>
      </c>
      <c r="W92" s="6"/>
      <c r="X92" s="6"/>
      <c r="Y92" s="6"/>
      <c r="Z92" s="6"/>
      <c r="AA92" s="8"/>
      <c r="AB92" s="8"/>
      <c r="AC92" s="6" t="s">
        <v>2649</v>
      </c>
      <c r="AD92" s="6"/>
      <c r="AE92" s="9"/>
    </row>
    <row r="93" spans="1:31" ht="16.5" x14ac:dyDescent="0.25">
      <c r="A93" s="12"/>
      <c r="B93" s="73" t="s">
        <v>2523</v>
      </c>
      <c r="C93" s="74"/>
      <c r="D93" s="74"/>
      <c r="E93" s="74"/>
      <c r="F93" s="74"/>
      <c r="G93" s="74"/>
      <c r="H93" s="75"/>
      <c r="I93" s="13"/>
      <c r="J93" s="14">
        <f>COUNTIF(J81:J92,"CQ")+COUNTIF(J92,"IG")+COUNTIF(J92,"TK")</f>
        <v>1</v>
      </c>
      <c r="K93" s="14">
        <f>COUNTIF(K81:K92,"CMĐ")</f>
        <v>4</v>
      </c>
      <c r="L93" s="14">
        <f>COUNTIF(L81:L92,"XMDT")+COUNTIF(L90:L92,"Mốc")</f>
        <v>2</v>
      </c>
      <c r="M93" s="14">
        <f>COUNTIF(M92,"THÁn")</f>
        <v>0</v>
      </c>
      <c r="N93" s="14">
        <f>COUNTIF(N82:N92,"TÒA")</f>
        <v>3</v>
      </c>
      <c r="O93" s="14">
        <f>COUNTIF(O73:O92,"Cấp GCN")</f>
        <v>0</v>
      </c>
      <c r="P93" s="14">
        <f>COUNTIF(P81:P92,"SHN")</f>
        <v>2</v>
      </c>
      <c r="Q93" s="15"/>
      <c r="R93" s="13"/>
      <c r="S93" s="15"/>
      <c r="T93" s="15"/>
      <c r="U93" s="16"/>
      <c r="V93" s="11"/>
      <c r="W93" s="17"/>
      <c r="X93" s="2"/>
      <c r="AD93" s="14">
        <f>COUNTIF(AD92,"kt")</f>
        <v>0</v>
      </c>
    </row>
    <row r="94" spans="1:31" s="10" customFormat="1" ht="94.5" x14ac:dyDescent="0.25">
      <c r="A94" s="3">
        <v>80</v>
      </c>
      <c r="B94" s="3" t="s">
        <v>25</v>
      </c>
      <c r="C94" s="5" t="s">
        <v>2531</v>
      </c>
      <c r="D94" s="4" t="s">
        <v>491</v>
      </c>
      <c r="E94" s="6">
        <v>20</v>
      </c>
      <c r="F94" s="6">
        <v>649</v>
      </c>
      <c r="G94" s="3">
        <v>142.19999999999999</v>
      </c>
      <c r="H94" s="3"/>
      <c r="I94" s="7">
        <v>45824</v>
      </c>
      <c r="J94" s="3"/>
      <c r="K94" s="3"/>
      <c r="L94" s="3"/>
      <c r="M94" s="3" t="s">
        <v>491</v>
      </c>
      <c r="N94" s="3"/>
      <c r="O94" s="3"/>
      <c r="P94" s="3"/>
      <c r="Q94" s="6" t="s">
        <v>101</v>
      </c>
      <c r="R94" s="7"/>
      <c r="S94" s="7"/>
      <c r="T94" s="7"/>
      <c r="U94" s="6"/>
      <c r="V94" s="11"/>
      <c r="W94" s="6"/>
      <c r="X94" s="6"/>
      <c r="Y94" s="6"/>
      <c r="Z94" s="6"/>
      <c r="AA94" s="8"/>
      <c r="AB94" s="8"/>
      <c r="AC94" s="6" t="s">
        <v>2532</v>
      </c>
      <c r="AD94" s="6"/>
      <c r="AE94" s="9"/>
    </row>
    <row r="95" spans="1:31" s="10" customFormat="1" ht="31.5" x14ac:dyDescent="0.25">
      <c r="A95" s="3">
        <v>81</v>
      </c>
      <c r="B95" s="3" t="s">
        <v>25</v>
      </c>
      <c r="C95" s="5" t="s">
        <v>2416</v>
      </c>
      <c r="D95" s="4" t="s">
        <v>2417</v>
      </c>
      <c r="E95" s="6">
        <v>15</v>
      </c>
      <c r="F95" s="6">
        <v>1253</v>
      </c>
      <c r="G95" s="3">
        <v>257.2</v>
      </c>
      <c r="H95" s="3" t="s">
        <v>51</v>
      </c>
      <c r="I95" s="7">
        <v>45824</v>
      </c>
      <c r="J95" s="3"/>
      <c r="K95" s="3" t="s">
        <v>62</v>
      </c>
      <c r="L95" s="3"/>
      <c r="M95" s="3"/>
      <c r="N95" s="3"/>
      <c r="O95" s="3"/>
      <c r="P95" s="3"/>
      <c r="Q95" s="6" t="s">
        <v>101</v>
      </c>
      <c r="R95" s="7"/>
      <c r="S95" s="7"/>
      <c r="T95" s="7"/>
      <c r="U95" s="6"/>
      <c r="V95" s="11"/>
      <c r="W95" s="6"/>
      <c r="X95" s="6"/>
      <c r="Y95" s="6"/>
      <c r="Z95" s="6"/>
      <c r="AA95" s="8"/>
      <c r="AB95" s="8"/>
      <c r="AC95" s="6"/>
      <c r="AD95" s="6"/>
      <c r="AE95" s="9"/>
    </row>
    <row r="96" spans="1:31" s="10" customFormat="1" ht="31.5" x14ac:dyDescent="0.25">
      <c r="A96" s="3">
        <v>82</v>
      </c>
      <c r="B96" s="3" t="s">
        <v>25</v>
      </c>
      <c r="C96" s="5" t="s">
        <v>167</v>
      </c>
      <c r="D96" s="4"/>
      <c r="E96" s="6">
        <v>11</v>
      </c>
      <c r="F96" s="6">
        <v>784</v>
      </c>
      <c r="G96" s="3">
        <v>353.1</v>
      </c>
      <c r="H96" s="3" t="s">
        <v>75</v>
      </c>
      <c r="I96" s="7"/>
      <c r="J96" s="3"/>
      <c r="K96" s="3"/>
      <c r="L96" s="3"/>
      <c r="M96" s="3"/>
      <c r="N96" s="3"/>
      <c r="O96" s="3"/>
      <c r="P96" s="3"/>
      <c r="Q96" s="6" t="s">
        <v>190</v>
      </c>
      <c r="R96" s="7">
        <v>45813</v>
      </c>
      <c r="S96" s="7"/>
      <c r="T96" s="7"/>
      <c r="U96" s="6"/>
      <c r="V96" s="11"/>
      <c r="W96" s="6"/>
      <c r="X96" s="6"/>
      <c r="Y96" s="6"/>
      <c r="Z96" s="6" t="s">
        <v>2567</v>
      </c>
      <c r="AA96" s="8"/>
      <c r="AB96" s="8" t="s">
        <v>2576</v>
      </c>
      <c r="AC96" s="6"/>
      <c r="AD96" s="6"/>
      <c r="AE96" s="9"/>
    </row>
    <row r="97" spans="1:31" s="10" customFormat="1" ht="31.5" x14ac:dyDescent="0.25">
      <c r="A97" s="3">
        <v>83</v>
      </c>
      <c r="B97" s="3" t="s">
        <v>25</v>
      </c>
      <c r="C97" s="5" t="s">
        <v>127</v>
      </c>
      <c r="D97" s="4"/>
      <c r="E97" s="6">
        <v>10</v>
      </c>
      <c r="F97" s="6">
        <v>160</v>
      </c>
      <c r="G97" s="3">
        <v>751.8</v>
      </c>
      <c r="H97" s="3" t="s">
        <v>51</v>
      </c>
      <c r="I97" s="7"/>
      <c r="J97" s="3"/>
      <c r="K97" s="3"/>
      <c r="L97" s="3"/>
      <c r="M97" s="3"/>
      <c r="N97" s="3"/>
      <c r="O97" s="3"/>
      <c r="P97" s="3"/>
      <c r="Q97" s="6" t="s">
        <v>190</v>
      </c>
      <c r="R97" s="7">
        <v>45807</v>
      </c>
      <c r="S97" s="7"/>
      <c r="T97" s="7"/>
      <c r="U97" s="6"/>
      <c r="V97" s="11"/>
      <c r="W97" s="6"/>
      <c r="X97" s="6"/>
      <c r="Y97" s="6"/>
      <c r="Z97" s="6" t="s">
        <v>2626</v>
      </c>
      <c r="AA97" s="8" t="s">
        <v>2627</v>
      </c>
      <c r="AB97" s="8"/>
      <c r="AC97" s="6"/>
      <c r="AD97" s="6"/>
      <c r="AE97" s="9"/>
    </row>
    <row r="98" spans="1:31" ht="16.5" x14ac:dyDescent="0.25">
      <c r="A98" s="12"/>
      <c r="B98" s="73" t="s">
        <v>2655</v>
      </c>
      <c r="C98" s="74"/>
      <c r="D98" s="74"/>
      <c r="E98" s="74"/>
      <c r="F98" s="74"/>
      <c r="G98" s="74"/>
      <c r="H98" s="75"/>
      <c r="I98" s="13"/>
      <c r="J98" s="14">
        <f>COUNTIF(J94:J97,"CQ")+COUNTIF(J97,"IG")+COUNTIF(J97,"TK")</f>
        <v>0</v>
      </c>
      <c r="K98" s="14">
        <f>COUNTIF(K94:K97,"CMĐ")</f>
        <v>1</v>
      </c>
      <c r="L98" s="14">
        <f>COUNTIF(L94:L97,"XMDT")+COUNTIF(L94:L97,"Mốc")</f>
        <v>0</v>
      </c>
      <c r="M98" s="14">
        <f>COUNTIF(M94:M97,"THÁn")</f>
        <v>1</v>
      </c>
      <c r="N98" s="14">
        <f>COUNTIF(N87:N97,"TÒA")</f>
        <v>0</v>
      </c>
      <c r="O98" s="14">
        <f>COUNTIF(O78:O97,"Cấp GCN")</f>
        <v>0</v>
      </c>
      <c r="P98" s="14">
        <f>COUNTIF(P94:P97,"SHN")</f>
        <v>0</v>
      </c>
      <c r="Q98" s="15"/>
      <c r="R98" s="13"/>
      <c r="S98" s="15"/>
      <c r="T98" s="15"/>
      <c r="U98" s="16"/>
      <c r="V98" s="11"/>
      <c r="W98" s="17"/>
      <c r="X98" s="2"/>
      <c r="AD98" s="14">
        <f>COUNTIF(AD97,"kt")</f>
        <v>0</v>
      </c>
    </row>
    <row r="99" spans="1:31" s="10" customFormat="1" ht="32.25" customHeight="1" x14ac:dyDescent="0.25">
      <c r="A99" s="3">
        <v>84</v>
      </c>
      <c r="B99" s="3" t="s">
        <v>25</v>
      </c>
      <c r="C99" s="5" t="s">
        <v>2679</v>
      </c>
      <c r="D99" s="4" t="s">
        <v>2680</v>
      </c>
      <c r="E99" s="6">
        <v>16</v>
      </c>
      <c r="F99" s="6">
        <v>726</v>
      </c>
      <c r="G99" s="3">
        <v>117</v>
      </c>
      <c r="H99" s="3" t="s">
        <v>55</v>
      </c>
      <c r="I99" s="7">
        <v>45832</v>
      </c>
      <c r="J99" s="3"/>
      <c r="K99" s="3"/>
      <c r="L99" s="3"/>
      <c r="M99" s="3"/>
      <c r="N99" s="3"/>
      <c r="O99" s="3"/>
      <c r="P99" s="3" t="s">
        <v>52</v>
      </c>
      <c r="Q99" s="6" t="s">
        <v>101</v>
      </c>
      <c r="R99" s="7"/>
      <c r="S99" s="7"/>
      <c r="T99" s="7"/>
      <c r="U99" s="6"/>
      <c r="V99" s="11"/>
      <c r="W99" s="6"/>
      <c r="X99" s="6"/>
      <c r="Y99" s="6"/>
      <c r="Z99" s="6"/>
      <c r="AA99" s="8"/>
      <c r="AB99" s="8"/>
      <c r="AC99" s="6"/>
      <c r="AD99" s="6"/>
      <c r="AE99" s="9"/>
    </row>
    <row r="100" spans="1:31" s="10" customFormat="1" ht="31.5" customHeight="1" x14ac:dyDescent="0.25">
      <c r="A100" s="3">
        <v>85</v>
      </c>
      <c r="B100" s="3" t="s">
        <v>25</v>
      </c>
      <c r="C100" s="5" t="s">
        <v>2684</v>
      </c>
      <c r="D100" s="4" t="s">
        <v>2685</v>
      </c>
      <c r="E100" s="6">
        <v>11</v>
      </c>
      <c r="F100" s="6">
        <v>783</v>
      </c>
      <c r="G100" s="3">
        <v>110.7</v>
      </c>
      <c r="H100" s="3" t="s">
        <v>75</v>
      </c>
      <c r="I100" s="7">
        <v>45832</v>
      </c>
      <c r="J100" s="3"/>
      <c r="K100" s="3" t="s">
        <v>62</v>
      </c>
      <c r="L100" s="3"/>
      <c r="M100" s="3"/>
      <c r="N100" s="3"/>
      <c r="O100" s="3"/>
      <c r="P100" s="3"/>
      <c r="Q100" s="6" t="s">
        <v>101</v>
      </c>
      <c r="R100" s="7"/>
      <c r="S100" s="7"/>
      <c r="T100" s="7"/>
      <c r="U100" s="6"/>
      <c r="V100" s="11"/>
      <c r="W100" s="6"/>
      <c r="X100" s="6"/>
      <c r="Y100" s="6"/>
      <c r="Z100" s="6"/>
      <c r="AA100" s="8"/>
      <c r="AB100" s="8"/>
      <c r="AC100" s="6"/>
      <c r="AD100" s="6"/>
      <c r="AE100" s="9"/>
    </row>
    <row r="101" spans="1:31" s="10" customFormat="1" ht="31.5" x14ac:dyDescent="0.25">
      <c r="A101" s="3">
        <v>86</v>
      </c>
      <c r="B101" s="3" t="s">
        <v>25</v>
      </c>
      <c r="C101" s="5" t="s">
        <v>2731</v>
      </c>
      <c r="D101" s="4" t="s">
        <v>2732</v>
      </c>
      <c r="E101" s="6">
        <v>9</v>
      </c>
      <c r="F101" s="6">
        <v>398</v>
      </c>
      <c r="G101" s="3">
        <v>389.8</v>
      </c>
      <c r="H101" s="3" t="s">
        <v>75</v>
      </c>
      <c r="I101" s="7">
        <v>45833</v>
      </c>
      <c r="J101" s="3"/>
      <c r="K101" s="3" t="s">
        <v>62</v>
      </c>
      <c r="L101" s="3"/>
      <c r="M101" s="3"/>
      <c r="N101" s="3"/>
      <c r="O101" s="3"/>
      <c r="P101" s="3"/>
      <c r="Q101" s="6" t="s">
        <v>101</v>
      </c>
      <c r="R101" s="7"/>
      <c r="S101" s="7"/>
      <c r="T101" s="7"/>
      <c r="U101" s="6"/>
      <c r="V101" s="11"/>
      <c r="W101" s="6"/>
      <c r="X101" s="6"/>
      <c r="Y101" s="6"/>
      <c r="Z101" s="6"/>
      <c r="AA101" s="8"/>
      <c r="AB101" s="8"/>
      <c r="AC101" s="6"/>
      <c r="AD101" s="6"/>
      <c r="AE101" s="9"/>
    </row>
    <row r="102" spans="1:31" s="10" customFormat="1" ht="15.75" x14ac:dyDescent="0.25">
      <c r="A102" s="3">
        <v>87</v>
      </c>
      <c r="B102" s="3" t="s">
        <v>25</v>
      </c>
      <c r="C102" s="5"/>
      <c r="D102" s="4"/>
      <c r="E102" s="6"/>
      <c r="F102" s="6"/>
      <c r="G102" s="3"/>
      <c r="H102" s="3"/>
      <c r="I102" s="7"/>
      <c r="J102" s="3"/>
      <c r="K102" s="3"/>
      <c r="L102" s="3"/>
      <c r="M102" s="3"/>
      <c r="N102" s="3"/>
      <c r="O102" s="3"/>
      <c r="P102" s="3"/>
      <c r="Q102" s="6"/>
      <c r="R102" s="7"/>
      <c r="S102" s="7"/>
      <c r="T102" s="7"/>
      <c r="U102" s="6"/>
      <c r="V102" s="11"/>
      <c r="W102" s="6"/>
      <c r="X102" s="6"/>
      <c r="Y102" s="6"/>
      <c r="Z102" s="6"/>
      <c r="AA102" s="8"/>
      <c r="AB102" s="8"/>
      <c r="AC102" s="6"/>
      <c r="AD102" s="6"/>
      <c r="AE102" s="9"/>
    </row>
    <row r="103" spans="1:31" s="10" customFormat="1" ht="15.75" x14ac:dyDescent="0.25">
      <c r="A103" s="3">
        <v>88</v>
      </c>
      <c r="B103" s="3" t="s">
        <v>25</v>
      </c>
      <c r="C103" s="5"/>
      <c r="D103" s="4"/>
      <c r="E103" s="6"/>
      <c r="F103" s="6"/>
      <c r="G103" s="3"/>
      <c r="H103" s="3"/>
      <c r="I103" s="7"/>
      <c r="J103" s="3"/>
      <c r="K103" s="3"/>
      <c r="L103" s="3"/>
      <c r="M103" s="3"/>
      <c r="N103" s="3"/>
      <c r="O103" s="3"/>
      <c r="P103" s="3"/>
      <c r="Q103" s="6"/>
      <c r="R103" s="7"/>
      <c r="S103" s="7"/>
      <c r="T103" s="7"/>
      <c r="U103" s="6"/>
      <c r="V103" s="11"/>
      <c r="W103" s="6"/>
      <c r="X103" s="6"/>
      <c r="Y103" s="6"/>
      <c r="Z103" s="6"/>
      <c r="AA103" s="8"/>
      <c r="AB103" s="8"/>
      <c r="AC103" s="6"/>
      <c r="AD103" s="6"/>
      <c r="AE103" s="9"/>
    </row>
    <row r="104" spans="1:31" s="10" customFormat="1" ht="15.75" x14ac:dyDescent="0.25">
      <c r="A104" s="3">
        <v>89</v>
      </c>
      <c r="B104" s="3" t="s">
        <v>25</v>
      </c>
      <c r="C104" s="5"/>
      <c r="D104" s="4"/>
      <c r="E104" s="6"/>
      <c r="F104" s="6"/>
      <c r="G104" s="3"/>
      <c r="H104" s="3"/>
      <c r="I104" s="7"/>
      <c r="J104" s="3"/>
      <c r="K104" s="3"/>
      <c r="L104" s="3"/>
      <c r="M104" s="3"/>
      <c r="N104" s="3"/>
      <c r="O104" s="3"/>
      <c r="P104" s="3"/>
      <c r="Q104" s="6"/>
      <c r="R104" s="7"/>
      <c r="S104" s="7"/>
      <c r="T104" s="7"/>
      <c r="U104" s="6"/>
      <c r="V104" s="11"/>
      <c r="W104" s="6"/>
      <c r="X104" s="6"/>
      <c r="Y104" s="6"/>
      <c r="Z104" s="6"/>
      <c r="AA104" s="8"/>
      <c r="AB104" s="8"/>
      <c r="AC104" s="6"/>
      <c r="AD104" s="6"/>
      <c r="AE104" s="9"/>
    </row>
    <row r="105" spans="1:31" s="10" customFormat="1" ht="15.75" x14ac:dyDescent="0.25">
      <c r="A105" s="3">
        <v>90</v>
      </c>
      <c r="B105" s="3" t="s">
        <v>25</v>
      </c>
      <c r="C105" s="5"/>
      <c r="D105" s="4"/>
      <c r="E105" s="6"/>
      <c r="F105" s="6"/>
      <c r="G105" s="3"/>
      <c r="H105" s="3"/>
      <c r="I105" s="7"/>
      <c r="J105" s="3"/>
      <c r="K105" s="3"/>
      <c r="L105" s="3"/>
      <c r="M105" s="3"/>
      <c r="N105" s="3"/>
      <c r="O105" s="3"/>
      <c r="P105" s="3"/>
      <c r="Q105" s="6"/>
      <c r="R105" s="7"/>
      <c r="S105" s="7"/>
      <c r="T105" s="7"/>
      <c r="U105" s="6"/>
      <c r="V105" s="11"/>
      <c r="W105" s="6"/>
      <c r="X105" s="6"/>
      <c r="Y105" s="6"/>
      <c r="Z105" s="6"/>
      <c r="AA105" s="8"/>
      <c r="AB105" s="8"/>
      <c r="AC105" s="6"/>
      <c r="AD105" s="6"/>
      <c r="AE105" s="9"/>
    </row>
    <row r="106" spans="1:31" s="10" customFormat="1" ht="15.75" x14ac:dyDescent="0.25">
      <c r="A106" s="3">
        <v>91</v>
      </c>
      <c r="B106" s="3" t="s">
        <v>25</v>
      </c>
      <c r="C106" s="5"/>
      <c r="D106" s="4"/>
      <c r="E106" s="6"/>
      <c r="F106" s="6"/>
      <c r="G106" s="3"/>
      <c r="H106" s="3"/>
      <c r="I106" s="7"/>
      <c r="J106" s="3"/>
      <c r="K106" s="3"/>
      <c r="L106" s="3"/>
      <c r="M106" s="3"/>
      <c r="N106" s="3"/>
      <c r="O106" s="3"/>
      <c r="P106" s="3"/>
      <c r="Q106" s="6"/>
      <c r="R106" s="7"/>
      <c r="S106" s="7"/>
      <c r="T106" s="7"/>
      <c r="U106" s="6"/>
      <c r="V106" s="11"/>
      <c r="W106" s="6"/>
      <c r="X106" s="6"/>
      <c r="Y106" s="6"/>
      <c r="Z106" s="6"/>
      <c r="AA106" s="8"/>
      <c r="AB106" s="8"/>
      <c r="AC106" s="6"/>
      <c r="AD106" s="6"/>
      <c r="AE106" s="9"/>
    </row>
    <row r="107" spans="1:31" s="10" customFormat="1" ht="15.75" x14ac:dyDescent="0.25">
      <c r="A107" s="3">
        <v>92</v>
      </c>
      <c r="B107" s="3" t="s">
        <v>25</v>
      </c>
      <c r="C107" s="5"/>
      <c r="D107" s="4"/>
      <c r="E107" s="6"/>
      <c r="F107" s="6"/>
      <c r="G107" s="3"/>
      <c r="H107" s="3"/>
      <c r="I107" s="7"/>
      <c r="J107" s="3"/>
      <c r="K107" s="3"/>
      <c r="L107" s="3"/>
      <c r="M107" s="3"/>
      <c r="N107" s="3"/>
      <c r="O107" s="3"/>
      <c r="P107" s="3"/>
      <c r="Q107" s="6"/>
      <c r="R107" s="7"/>
      <c r="S107" s="7"/>
      <c r="T107" s="7"/>
      <c r="U107" s="6"/>
      <c r="V107" s="11"/>
      <c r="W107" s="6"/>
      <c r="X107" s="6"/>
      <c r="Y107" s="6"/>
      <c r="Z107" s="6"/>
      <c r="AA107" s="8"/>
      <c r="AB107" s="8"/>
      <c r="AC107" s="6"/>
      <c r="AD107" s="6"/>
      <c r="AE107" s="9"/>
    </row>
    <row r="108" spans="1:31" s="10" customFormat="1" ht="15.75" x14ac:dyDescent="0.25">
      <c r="A108" s="3">
        <v>93</v>
      </c>
      <c r="B108" s="3" t="s">
        <v>25</v>
      </c>
      <c r="C108" s="5"/>
      <c r="D108" s="4"/>
      <c r="E108" s="6"/>
      <c r="F108" s="6"/>
      <c r="G108" s="3"/>
      <c r="H108" s="3"/>
      <c r="I108" s="7"/>
      <c r="J108" s="3"/>
      <c r="K108" s="3"/>
      <c r="L108" s="3"/>
      <c r="M108" s="3"/>
      <c r="N108" s="3"/>
      <c r="O108" s="3"/>
      <c r="P108" s="3"/>
      <c r="Q108" s="6"/>
      <c r="R108" s="7"/>
      <c r="S108" s="7"/>
      <c r="T108" s="7"/>
      <c r="U108" s="6"/>
      <c r="V108" s="11"/>
      <c r="W108" s="6"/>
      <c r="X108" s="6"/>
      <c r="Y108" s="6"/>
      <c r="Z108" s="6"/>
      <c r="AA108" s="8"/>
      <c r="AB108" s="8"/>
      <c r="AC108" s="6"/>
      <c r="AD108" s="6"/>
      <c r="AE108" s="9"/>
    </row>
    <row r="109" spans="1:31" s="10" customFormat="1" ht="15.75" x14ac:dyDescent="0.25">
      <c r="A109" s="3">
        <v>94</v>
      </c>
      <c r="B109" s="3" t="s">
        <v>25</v>
      </c>
      <c r="C109" s="5"/>
      <c r="D109" s="4"/>
      <c r="E109" s="6"/>
      <c r="F109" s="6"/>
      <c r="G109" s="3"/>
      <c r="H109" s="3"/>
      <c r="I109" s="7"/>
      <c r="J109" s="3"/>
      <c r="K109" s="3"/>
      <c r="L109" s="3"/>
      <c r="M109" s="3"/>
      <c r="N109" s="3"/>
      <c r="O109" s="3"/>
      <c r="P109" s="3"/>
      <c r="Q109" s="6"/>
      <c r="R109" s="7"/>
      <c r="S109" s="7"/>
      <c r="T109" s="7"/>
      <c r="U109" s="6"/>
      <c r="V109" s="11"/>
      <c r="W109" s="6"/>
      <c r="X109" s="6"/>
      <c r="Y109" s="6"/>
      <c r="Z109" s="6"/>
      <c r="AA109" s="8"/>
      <c r="AB109" s="8"/>
      <c r="AC109" s="6"/>
      <c r="AD109" s="6"/>
      <c r="AE109" s="9"/>
    </row>
    <row r="110" spans="1:31" s="10" customFormat="1" ht="15.75" x14ac:dyDescent="0.25">
      <c r="A110" s="3">
        <v>95</v>
      </c>
      <c r="B110" s="3" t="s">
        <v>25</v>
      </c>
      <c r="C110" s="5"/>
      <c r="D110" s="4"/>
      <c r="E110" s="6"/>
      <c r="F110" s="6"/>
      <c r="G110" s="3"/>
      <c r="H110" s="3"/>
      <c r="I110" s="7"/>
      <c r="J110" s="3"/>
      <c r="K110" s="3"/>
      <c r="L110" s="3"/>
      <c r="M110" s="3"/>
      <c r="N110" s="3"/>
      <c r="O110" s="3"/>
      <c r="P110" s="3"/>
      <c r="Q110" s="6"/>
      <c r="R110" s="7"/>
      <c r="S110" s="7"/>
      <c r="T110" s="7"/>
      <c r="U110" s="6"/>
      <c r="V110" s="11"/>
      <c r="W110" s="6"/>
      <c r="X110" s="6"/>
      <c r="Y110" s="6"/>
      <c r="Z110" s="6"/>
      <c r="AA110" s="8"/>
      <c r="AB110" s="8"/>
      <c r="AC110" s="6"/>
      <c r="AD110" s="6"/>
      <c r="AE110" s="9"/>
    </row>
    <row r="111" spans="1:31" s="10" customFormat="1" ht="15.75" x14ac:dyDescent="0.25">
      <c r="A111" s="3">
        <v>96</v>
      </c>
      <c r="B111" s="3" t="s">
        <v>25</v>
      </c>
      <c r="C111" s="5"/>
      <c r="D111" s="4"/>
      <c r="E111" s="6"/>
      <c r="F111" s="6"/>
      <c r="G111" s="3"/>
      <c r="H111" s="3"/>
      <c r="I111" s="7"/>
      <c r="J111" s="3"/>
      <c r="K111" s="3"/>
      <c r="L111" s="3"/>
      <c r="M111" s="3"/>
      <c r="N111" s="3"/>
      <c r="O111" s="3"/>
      <c r="P111" s="3"/>
      <c r="Q111" s="6"/>
      <c r="R111" s="7"/>
      <c r="S111" s="7"/>
      <c r="T111" s="7"/>
      <c r="U111" s="6"/>
      <c r="V111" s="11"/>
      <c r="W111" s="6"/>
      <c r="X111" s="6"/>
      <c r="Y111" s="6"/>
      <c r="Z111" s="6"/>
      <c r="AA111" s="8"/>
      <c r="AB111" s="8"/>
      <c r="AC111" s="6"/>
      <c r="AD111" s="6"/>
      <c r="AE111" s="9"/>
    </row>
    <row r="112" spans="1:31" s="10" customFormat="1" ht="15.75" x14ac:dyDescent="0.25">
      <c r="A112" s="3">
        <v>97</v>
      </c>
      <c r="B112" s="3" t="s">
        <v>25</v>
      </c>
      <c r="C112" s="5"/>
      <c r="D112" s="4"/>
      <c r="E112" s="6"/>
      <c r="F112" s="6"/>
      <c r="G112" s="3"/>
      <c r="H112" s="3"/>
      <c r="I112" s="7"/>
      <c r="J112" s="3"/>
      <c r="K112" s="3"/>
      <c r="L112" s="3"/>
      <c r="M112" s="3"/>
      <c r="N112" s="3"/>
      <c r="O112" s="3"/>
      <c r="P112" s="3"/>
      <c r="Q112" s="6"/>
      <c r="R112" s="7"/>
      <c r="S112" s="7"/>
      <c r="T112" s="7"/>
      <c r="U112" s="6"/>
      <c r="V112" s="11"/>
      <c r="W112" s="6"/>
      <c r="X112" s="6"/>
      <c r="Y112" s="6"/>
      <c r="Z112" s="6"/>
      <c r="AA112" s="8"/>
      <c r="AB112" s="8"/>
      <c r="AC112" s="6"/>
      <c r="AD112" s="6"/>
      <c r="AE112" s="9"/>
    </row>
    <row r="113" spans="1:31" s="10" customFormat="1" ht="15.75" x14ac:dyDescent="0.25">
      <c r="A113" s="3">
        <v>98</v>
      </c>
      <c r="B113" s="3" t="s">
        <v>25</v>
      </c>
      <c r="C113" s="5"/>
      <c r="D113" s="4"/>
      <c r="E113" s="6"/>
      <c r="F113" s="6"/>
      <c r="G113" s="3"/>
      <c r="H113" s="3"/>
      <c r="I113" s="7"/>
      <c r="J113" s="3"/>
      <c r="K113" s="3"/>
      <c r="L113" s="3"/>
      <c r="M113" s="3"/>
      <c r="N113" s="3"/>
      <c r="O113" s="3"/>
      <c r="P113" s="3"/>
      <c r="Q113" s="6"/>
      <c r="R113" s="7"/>
      <c r="S113" s="7"/>
      <c r="T113" s="7"/>
      <c r="U113" s="6"/>
      <c r="V113" s="11"/>
      <c r="W113" s="6"/>
      <c r="X113" s="6"/>
      <c r="Y113" s="6"/>
      <c r="Z113" s="6"/>
      <c r="AA113" s="8"/>
      <c r="AB113" s="8"/>
      <c r="AC113" s="6"/>
      <c r="AD113" s="6"/>
      <c r="AE113" s="9"/>
    </row>
    <row r="114" spans="1:31" s="10" customFormat="1" ht="15.75" x14ac:dyDescent="0.25">
      <c r="A114" s="3">
        <v>99</v>
      </c>
      <c r="B114" s="3" t="s">
        <v>25</v>
      </c>
      <c r="C114" s="5"/>
      <c r="D114" s="4"/>
      <c r="E114" s="6"/>
      <c r="F114" s="6"/>
      <c r="G114" s="3"/>
      <c r="H114" s="3"/>
      <c r="I114" s="7"/>
      <c r="J114" s="3"/>
      <c r="K114" s="3"/>
      <c r="L114" s="3"/>
      <c r="M114" s="3"/>
      <c r="N114" s="3"/>
      <c r="O114" s="3"/>
      <c r="P114" s="3"/>
      <c r="Q114" s="6"/>
      <c r="R114" s="7"/>
      <c r="S114" s="7"/>
      <c r="T114" s="7"/>
      <c r="U114" s="6"/>
      <c r="V114" s="11"/>
      <c r="W114" s="6"/>
      <c r="X114" s="6"/>
      <c r="Y114" s="6"/>
      <c r="Z114" s="6"/>
      <c r="AA114" s="8"/>
      <c r="AB114" s="8"/>
      <c r="AC114" s="6"/>
      <c r="AD114" s="6"/>
      <c r="AE114" s="9"/>
    </row>
    <row r="115" spans="1:31" s="10" customFormat="1" ht="15.75" x14ac:dyDescent="0.25">
      <c r="A115" s="3">
        <v>100</v>
      </c>
      <c r="B115" s="3" t="s">
        <v>25</v>
      </c>
      <c r="C115" s="5"/>
      <c r="D115" s="4"/>
      <c r="E115" s="6"/>
      <c r="F115" s="6"/>
      <c r="G115" s="3"/>
      <c r="H115" s="3"/>
      <c r="I115" s="7"/>
      <c r="J115" s="3"/>
      <c r="K115" s="3"/>
      <c r="L115" s="3"/>
      <c r="M115" s="3"/>
      <c r="N115" s="3"/>
      <c r="O115" s="3"/>
      <c r="P115" s="3"/>
      <c r="Q115" s="6"/>
      <c r="R115" s="7"/>
      <c r="S115" s="7"/>
      <c r="T115" s="7"/>
      <c r="U115" s="6"/>
      <c r="V115" s="11"/>
      <c r="W115" s="6"/>
      <c r="X115" s="6"/>
      <c r="Y115" s="6"/>
      <c r="Z115" s="6"/>
      <c r="AA115" s="8"/>
      <c r="AB115" s="8"/>
      <c r="AC115" s="6"/>
      <c r="AD115" s="6"/>
      <c r="AE115" s="9"/>
    </row>
    <row r="116" spans="1:31" s="10" customFormat="1" ht="15.75" x14ac:dyDescent="0.25">
      <c r="A116" s="3">
        <v>101</v>
      </c>
      <c r="B116" s="3" t="s">
        <v>25</v>
      </c>
      <c r="C116" s="5"/>
      <c r="D116" s="4"/>
      <c r="E116" s="6"/>
      <c r="F116" s="6"/>
      <c r="G116" s="3"/>
      <c r="H116" s="3"/>
      <c r="I116" s="7"/>
      <c r="J116" s="3"/>
      <c r="K116" s="3"/>
      <c r="L116" s="3"/>
      <c r="M116" s="3"/>
      <c r="N116" s="3"/>
      <c r="O116" s="3"/>
      <c r="P116" s="3"/>
      <c r="Q116" s="6"/>
      <c r="R116" s="7"/>
      <c r="S116" s="7"/>
      <c r="T116" s="7"/>
      <c r="U116" s="6"/>
      <c r="V116" s="11"/>
      <c r="W116" s="6"/>
      <c r="X116" s="6"/>
      <c r="Y116" s="6"/>
      <c r="Z116" s="6"/>
      <c r="AA116" s="8"/>
      <c r="AB116" s="8"/>
      <c r="AC116" s="6"/>
      <c r="AD116" s="6"/>
      <c r="AE116" s="9"/>
    </row>
    <row r="117" spans="1:31" s="10" customFormat="1" ht="15.75" x14ac:dyDescent="0.25">
      <c r="A117" s="3">
        <v>102</v>
      </c>
      <c r="B117" s="3" t="s">
        <v>25</v>
      </c>
      <c r="C117" s="5"/>
      <c r="D117" s="4"/>
      <c r="E117" s="6"/>
      <c r="F117" s="6"/>
      <c r="G117" s="3"/>
      <c r="H117" s="3"/>
      <c r="I117" s="7"/>
      <c r="J117" s="3"/>
      <c r="K117" s="3"/>
      <c r="L117" s="3"/>
      <c r="M117" s="3"/>
      <c r="N117" s="3"/>
      <c r="O117" s="3"/>
      <c r="P117" s="3"/>
      <c r="Q117" s="6"/>
      <c r="R117" s="7"/>
      <c r="S117" s="7"/>
      <c r="T117" s="7"/>
      <c r="U117" s="6"/>
      <c r="V117" s="11"/>
      <c r="W117" s="6"/>
      <c r="X117" s="6"/>
      <c r="Y117" s="6"/>
      <c r="Z117" s="6"/>
      <c r="AA117" s="8"/>
      <c r="AB117" s="8"/>
      <c r="AC117" s="6"/>
      <c r="AD117" s="6"/>
      <c r="AE117" s="9"/>
    </row>
    <row r="118" spans="1:31" s="10" customFormat="1" ht="15.75" x14ac:dyDescent="0.25">
      <c r="A118" s="3">
        <v>103</v>
      </c>
      <c r="B118" s="3" t="s">
        <v>25</v>
      </c>
      <c r="C118" s="5"/>
      <c r="D118" s="4"/>
      <c r="E118" s="6"/>
      <c r="F118" s="6"/>
      <c r="G118" s="3"/>
      <c r="H118" s="3"/>
      <c r="I118" s="7"/>
      <c r="J118" s="3"/>
      <c r="K118" s="3"/>
      <c r="L118" s="3"/>
      <c r="M118" s="3"/>
      <c r="N118" s="3"/>
      <c r="O118" s="3"/>
      <c r="P118" s="3"/>
      <c r="Q118" s="6"/>
      <c r="R118" s="7"/>
      <c r="S118" s="7"/>
      <c r="T118" s="7"/>
      <c r="U118" s="6"/>
      <c r="V118" s="11"/>
      <c r="W118" s="6"/>
      <c r="X118" s="6"/>
      <c r="Y118" s="6"/>
      <c r="Z118" s="6"/>
      <c r="AA118" s="8"/>
      <c r="AB118" s="8"/>
      <c r="AC118" s="6"/>
      <c r="AD118" s="6"/>
      <c r="AE118" s="9"/>
    </row>
    <row r="119" spans="1:31" s="10" customFormat="1" ht="15.75" x14ac:dyDescent="0.25">
      <c r="A119" s="3">
        <v>104</v>
      </c>
      <c r="B119" s="3" t="s">
        <v>25</v>
      </c>
      <c r="C119" s="5"/>
      <c r="D119" s="4"/>
      <c r="E119" s="6"/>
      <c r="F119" s="6"/>
      <c r="G119" s="3"/>
      <c r="H119" s="3"/>
      <c r="I119" s="7"/>
      <c r="J119" s="3"/>
      <c r="K119" s="3"/>
      <c r="L119" s="3"/>
      <c r="M119" s="3"/>
      <c r="N119" s="3"/>
      <c r="O119" s="3"/>
      <c r="P119" s="3"/>
      <c r="Q119" s="6"/>
      <c r="R119" s="7"/>
      <c r="S119" s="7"/>
      <c r="T119" s="7"/>
      <c r="U119" s="6"/>
      <c r="V119" s="11"/>
      <c r="W119" s="6"/>
      <c r="X119" s="6"/>
      <c r="Y119" s="6"/>
      <c r="Z119" s="6"/>
      <c r="AA119" s="8"/>
      <c r="AB119" s="8"/>
      <c r="AC119" s="6"/>
      <c r="AD119" s="6"/>
      <c r="AE119" s="9"/>
    </row>
    <row r="120" spans="1:31" s="10" customFormat="1" ht="15.75" x14ac:dyDescent="0.25">
      <c r="A120" s="3">
        <v>105</v>
      </c>
      <c r="B120" s="3" t="s">
        <v>25</v>
      </c>
      <c r="C120" s="5"/>
      <c r="D120" s="4"/>
      <c r="E120" s="6"/>
      <c r="F120" s="6"/>
      <c r="G120" s="3"/>
      <c r="H120" s="3"/>
      <c r="I120" s="7"/>
      <c r="J120" s="3"/>
      <c r="K120" s="3"/>
      <c r="L120" s="3"/>
      <c r="M120" s="3"/>
      <c r="N120" s="3"/>
      <c r="O120" s="3"/>
      <c r="P120" s="3"/>
      <c r="Q120" s="6"/>
      <c r="R120" s="7"/>
      <c r="S120" s="7"/>
      <c r="T120" s="7"/>
      <c r="U120" s="6"/>
      <c r="V120" s="11"/>
      <c r="W120" s="6"/>
      <c r="X120" s="6"/>
      <c r="Y120" s="6"/>
      <c r="Z120" s="6"/>
      <c r="AA120" s="8"/>
      <c r="AB120" s="8"/>
      <c r="AC120" s="6"/>
      <c r="AD120" s="6"/>
      <c r="AE120" s="9"/>
    </row>
    <row r="121" spans="1:31" s="10" customFormat="1" ht="15.75" x14ac:dyDescent="0.25">
      <c r="A121" s="3">
        <v>106</v>
      </c>
      <c r="B121" s="3" t="s">
        <v>25</v>
      </c>
      <c r="C121" s="5"/>
      <c r="D121" s="4"/>
      <c r="E121" s="6"/>
      <c r="F121" s="6"/>
      <c r="G121" s="3"/>
      <c r="H121" s="3"/>
      <c r="I121" s="7"/>
      <c r="J121" s="3"/>
      <c r="K121" s="3"/>
      <c r="L121" s="3"/>
      <c r="M121" s="3"/>
      <c r="N121" s="3"/>
      <c r="O121" s="3"/>
      <c r="P121" s="3"/>
      <c r="Q121" s="6"/>
      <c r="R121" s="7"/>
      <c r="S121" s="7"/>
      <c r="T121" s="7"/>
      <c r="U121" s="6"/>
      <c r="V121" s="11"/>
      <c r="W121" s="6"/>
      <c r="X121" s="6"/>
      <c r="Y121" s="6"/>
      <c r="Z121" s="6"/>
      <c r="AA121" s="8"/>
      <c r="AB121" s="8"/>
      <c r="AC121" s="6"/>
      <c r="AD121" s="6"/>
      <c r="AE121" s="9"/>
    </row>
    <row r="122" spans="1:31" s="10" customFormat="1" ht="15.75" x14ac:dyDescent="0.25">
      <c r="A122" s="3">
        <v>107</v>
      </c>
      <c r="B122" s="3" t="s">
        <v>25</v>
      </c>
      <c r="C122" s="5"/>
      <c r="D122" s="4"/>
      <c r="E122" s="6"/>
      <c r="F122" s="6"/>
      <c r="G122" s="3"/>
      <c r="H122" s="3"/>
      <c r="I122" s="7"/>
      <c r="J122" s="3"/>
      <c r="K122" s="3"/>
      <c r="L122" s="3"/>
      <c r="M122" s="3"/>
      <c r="N122" s="3"/>
      <c r="O122" s="3"/>
      <c r="P122" s="3"/>
      <c r="Q122" s="6"/>
      <c r="R122" s="7"/>
      <c r="S122" s="7"/>
      <c r="T122" s="7"/>
      <c r="U122" s="6"/>
      <c r="V122" s="11"/>
      <c r="W122" s="6"/>
      <c r="X122" s="6"/>
      <c r="Y122" s="6"/>
      <c r="Z122" s="6"/>
      <c r="AA122" s="8"/>
      <c r="AB122" s="8"/>
      <c r="AC122" s="6"/>
      <c r="AD122" s="6"/>
      <c r="AE122" s="9"/>
    </row>
    <row r="123" spans="1:31" s="10" customFormat="1" ht="15.75" x14ac:dyDescent="0.25">
      <c r="A123" s="3">
        <v>108</v>
      </c>
      <c r="B123" s="3" t="s">
        <v>25</v>
      </c>
      <c r="C123" s="5"/>
      <c r="D123" s="4"/>
      <c r="E123" s="6"/>
      <c r="F123" s="6"/>
      <c r="G123" s="3"/>
      <c r="H123" s="3"/>
      <c r="I123" s="7"/>
      <c r="J123" s="3"/>
      <c r="K123" s="3"/>
      <c r="L123" s="3"/>
      <c r="M123" s="3"/>
      <c r="N123" s="3"/>
      <c r="O123" s="3"/>
      <c r="P123" s="3"/>
      <c r="Q123" s="6"/>
      <c r="R123" s="7"/>
      <c r="S123" s="7"/>
      <c r="T123" s="7"/>
      <c r="U123" s="6"/>
      <c r="V123" s="11"/>
      <c r="W123" s="6"/>
      <c r="X123" s="6"/>
      <c r="Y123" s="6"/>
      <c r="Z123" s="6"/>
      <c r="AA123" s="8"/>
      <c r="AB123" s="8"/>
      <c r="AC123" s="6"/>
      <c r="AD123" s="6"/>
      <c r="AE123" s="9"/>
    </row>
    <row r="124" spans="1:31" s="10" customFormat="1" ht="15.75" x14ac:dyDescent="0.25">
      <c r="A124" s="3">
        <v>109</v>
      </c>
      <c r="B124" s="3" t="s">
        <v>25</v>
      </c>
      <c r="C124" s="5"/>
      <c r="D124" s="4"/>
      <c r="E124" s="6"/>
      <c r="F124" s="6"/>
      <c r="G124" s="3"/>
      <c r="H124" s="3"/>
      <c r="I124" s="7"/>
      <c r="J124" s="3"/>
      <c r="K124" s="3"/>
      <c r="L124" s="3"/>
      <c r="M124" s="3"/>
      <c r="N124" s="3"/>
      <c r="O124" s="3"/>
      <c r="P124" s="3"/>
      <c r="Q124" s="6"/>
      <c r="R124" s="7"/>
      <c r="S124" s="7"/>
      <c r="T124" s="7"/>
      <c r="U124" s="6"/>
      <c r="V124" s="11"/>
      <c r="W124" s="6"/>
      <c r="X124" s="6"/>
      <c r="Y124" s="6"/>
      <c r="Z124" s="6"/>
      <c r="AA124" s="8"/>
      <c r="AB124" s="8"/>
      <c r="AC124" s="6"/>
      <c r="AD124" s="6"/>
      <c r="AE124" s="9"/>
    </row>
    <row r="125" spans="1:31" s="10" customFormat="1" ht="15.75" x14ac:dyDescent="0.25">
      <c r="A125" s="3">
        <v>110</v>
      </c>
      <c r="B125" s="3" t="s">
        <v>25</v>
      </c>
      <c r="C125" s="5"/>
      <c r="D125" s="4"/>
      <c r="E125" s="6"/>
      <c r="F125" s="6"/>
      <c r="G125" s="3"/>
      <c r="H125" s="3"/>
      <c r="I125" s="7"/>
      <c r="J125" s="3"/>
      <c r="K125" s="3"/>
      <c r="L125" s="3"/>
      <c r="M125" s="3"/>
      <c r="N125" s="3"/>
      <c r="O125" s="3"/>
      <c r="P125" s="3"/>
      <c r="Q125" s="6"/>
      <c r="R125" s="7"/>
      <c r="S125" s="7"/>
      <c r="T125" s="7"/>
      <c r="U125" s="6"/>
      <c r="V125" s="11"/>
      <c r="W125" s="6"/>
      <c r="X125" s="6"/>
      <c r="Y125" s="6"/>
      <c r="Z125" s="6"/>
      <c r="AA125" s="8"/>
      <c r="AB125" s="8"/>
      <c r="AC125" s="6"/>
      <c r="AD125" s="6"/>
      <c r="AE125" s="9"/>
    </row>
    <row r="126" spans="1:31" s="10" customFormat="1" ht="15.75" x14ac:dyDescent="0.25">
      <c r="A126" s="3">
        <v>111</v>
      </c>
      <c r="B126" s="3" t="s">
        <v>25</v>
      </c>
      <c r="C126" s="5"/>
      <c r="D126" s="4"/>
      <c r="E126" s="6"/>
      <c r="F126" s="6"/>
      <c r="G126" s="3"/>
      <c r="H126" s="3"/>
      <c r="I126" s="7"/>
      <c r="J126" s="3"/>
      <c r="K126" s="3"/>
      <c r="L126" s="3"/>
      <c r="M126" s="3"/>
      <c r="N126" s="3"/>
      <c r="O126" s="3"/>
      <c r="P126" s="3"/>
      <c r="Q126" s="6"/>
      <c r="R126" s="7"/>
      <c r="S126" s="7"/>
      <c r="T126" s="7"/>
      <c r="U126" s="6"/>
      <c r="V126" s="11"/>
      <c r="W126" s="6"/>
      <c r="X126" s="6"/>
      <c r="Y126" s="6"/>
      <c r="Z126" s="6"/>
      <c r="AA126" s="8"/>
      <c r="AB126" s="8"/>
      <c r="AC126" s="6"/>
      <c r="AD126" s="6"/>
      <c r="AE126" s="9"/>
    </row>
    <row r="127" spans="1:31" s="10" customFormat="1" ht="15.75" x14ac:dyDescent="0.25">
      <c r="A127" s="3">
        <v>112</v>
      </c>
      <c r="B127" s="3" t="s">
        <v>25</v>
      </c>
      <c r="C127" s="5"/>
      <c r="D127" s="4"/>
      <c r="E127" s="6"/>
      <c r="F127" s="6"/>
      <c r="G127" s="3"/>
      <c r="H127" s="3"/>
      <c r="I127" s="7"/>
      <c r="J127" s="3"/>
      <c r="K127" s="3"/>
      <c r="L127" s="3"/>
      <c r="M127" s="3"/>
      <c r="N127" s="3"/>
      <c r="O127" s="3"/>
      <c r="P127" s="3"/>
      <c r="Q127" s="6"/>
      <c r="R127" s="7"/>
      <c r="S127" s="7"/>
      <c r="T127" s="7"/>
      <c r="U127" s="6"/>
      <c r="V127" s="11"/>
      <c r="W127" s="6"/>
      <c r="X127" s="6"/>
      <c r="Y127" s="6"/>
      <c r="Z127" s="6"/>
      <c r="AA127" s="8"/>
      <c r="AB127" s="8"/>
      <c r="AC127" s="6"/>
      <c r="AD127" s="6"/>
      <c r="AE127" s="9"/>
    </row>
    <row r="128" spans="1:31" s="10" customFormat="1" ht="15.75" x14ac:dyDescent="0.25">
      <c r="A128" s="3">
        <v>113</v>
      </c>
      <c r="B128" s="3" t="s">
        <v>25</v>
      </c>
      <c r="C128" s="5"/>
      <c r="D128" s="4"/>
      <c r="E128" s="6"/>
      <c r="F128" s="6"/>
      <c r="G128" s="3"/>
      <c r="H128" s="3"/>
      <c r="I128" s="7"/>
      <c r="J128" s="3"/>
      <c r="K128" s="3"/>
      <c r="L128" s="3"/>
      <c r="M128" s="3"/>
      <c r="N128" s="3"/>
      <c r="O128" s="3"/>
      <c r="P128" s="3"/>
      <c r="Q128" s="6"/>
      <c r="R128" s="7"/>
      <c r="S128" s="7"/>
      <c r="T128" s="7"/>
      <c r="U128" s="6"/>
      <c r="V128" s="11"/>
      <c r="W128" s="6"/>
      <c r="X128" s="6"/>
      <c r="Y128" s="6"/>
      <c r="Z128" s="6"/>
      <c r="AA128" s="8"/>
      <c r="AB128" s="8"/>
      <c r="AC128" s="6"/>
      <c r="AD128" s="6"/>
      <c r="AE128" s="9"/>
    </row>
    <row r="129" spans="1:31" s="10" customFormat="1" ht="15.75" x14ac:dyDescent="0.25">
      <c r="A129" s="3">
        <v>114</v>
      </c>
      <c r="B129" s="3" t="s">
        <v>25</v>
      </c>
      <c r="C129" s="5"/>
      <c r="D129" s="4"/>
      <c r="E129" s="6"/>
      <c r="F129" s="6"/>
      <c r="G129" s="3"/>
      <c r="H129" s="3"/>
      <c r="I129" s="7"/>
      <c r="J129" s="3"/>
      <c r="K129" s="3"/>
      <c r="L129" s="3"/>
      <c r="M129" s="3"/>
      <c r="N129" s="3"/>
      <c r="O129" s="3"/>
      <c r="P129" s="3"/>
      <c r="Q129" s="6"/>
      <c r="R129" s="7"/>
      <c r="S129" s="7"/>
      <c r="T129" s="7"/>
      <c r="U129" s="6"/>
      <c r="V129" s="11"/>
      <c r="W129" s="6"/>
      <c r="X129" s="6"/>
      <c r="Y129" s="6"/>
      <c r="Z129" s="6"/>
      <c r="AA129" s="8"/>
      <c r="AB129" s="8"/>
      <c r="AC129" s="6"/>
      <c r="AD129" s="6"/>
      <c r="AE129" s="9"/>
    </row>
    <row r="130" spans="1:31" s="10" customFormat="1" ht="15.75" x14ac:dyDescent="0.25">
      <c r="A130" s="3">
        <v>115</v>
      </c>
      <c r="B130" s="3" t="s">
        <v>25</v>
      </c>
      <c r="C130" s="5"/>
      <c r="D130" s="4"/>
      <c r="E130" s="6"/>
      <c r="F130" s="6"/>
      <c r="G130" s="3"/>
      <c r="H130" s="3"/>
      <c r="I130" s="7"/>
      <c r="J130" s="3"/>
      <c r="K130" s="3"/>
      <c r="L130" s="3"/>
      <c r="M130" s="3"/>
      <c r="N130" s="3"/>
      <c r="O130" s="3"/>
      <c r="P130" s="3"/>
      <c r="Q130" s="6"/>
      <c r="R130" s="7"/>
      <c r="S130" s="7"/>
      <c r="T130" s="7"/>
      <c r="U130" s="6"/>
      <c r="V130" s="11"/>
      <c r="W130" s="6"/>
      <c r="X130" s="6"/>
      <c r="Y130" s="6"/>
      <c r="Z130" s="6"/>
      <c r="AA130" s="8"/>
      <c r="AB130" s="8"/>
      <c r="AC130" s="6"/>
      <c r="AD130" s="6"/>
      <c r="AE130" s="9"/>
    </row>
    <row r="131" spans="1:31" s="10" customFormat="1" ht="15.75" x14ac:dyDescent="0.25">
      <c r="A131" s="3">
        <v>116</v>
      </c>
      <c r="B131" s="3" t="s">
        <v>25</v>
      </c>
      <c r="C131" s="5"/>
      <c r="D131" s="4"/>
      <c r="E131" s="6"/>
      <c r="F131" s="6"/>
      <c r="G131" s="3"/>
      <c r="H131" s="3"/>
      <c r="I131" s="7"/>
      <c r="J131" s="3"/>
      <c r="K131" s="3"/>
      <c r="L131" s="3"/>
      <c r="M131" s="3"/>
      <c r="N131" s="3"/>
      <c r="O131" s="3"/>
      <c r="P131" s="3"/>
      <c r="Q131" s="6"/>
      <c r="R131" s="7"/>
      <c r="S131" s="7"/>
      <c r="T131" s="7"/>
      <c r="U131" s="6"/>
      <c r="V131" s="11"/>
      <c r="W131" s="6"/>
      <c r="X131" s="6"/>
      <c r="Y131" s="6"/>
      <c r="Z131" s="6"/>
      <c r="AA131" s="8"/>
      <c r="AB131" s="8"/>
      <c r="AC131" s="6"/>
      <c r="AD131" s="6"/>
      <c r="AE131" s="9"/>
    </row>
    <row r="132" spans="1:31" s="10" customFormat="1" ht="15.75" x14ac:dyDescent="0.25">
      <c r="A132" s="3">
        <v>117</v>
      </c>
      <c r="B132" s="3" t="s">
        <v>25</v>
      </c>
      <c r="C132" s="5"/>
      <c r="D132" s="4"/>
      <c r="E132" s="6"/>
      <c r="F132" s="6"/>
      <c r="G132" s="3"/>
      <c r="H132" s="3"/>
      <c r="I132" s="7"/>
      <c r="J132" s="3"/>
      <c r="K132" s="3"/>
      <c r="L132" s="3"/>
      <c r="M132" s="3"/>
      <c r="N132" s="3"/>
      <c r="O132" s="3"/>
      <c r="P132" s="3"/>
      <c r="Q132" s="6"/>
      <c r="R132" s="7"/>
      <c r="S132" s="7"/>
      <c r="T132" s="7"/>
      <c r="U132" s="6"/>
      <c r="V132" s="11"/>
      <c r="W132" s="6"/>
      <c r="X132" s="6"/>
      <c r="Y132" s="6"/>
      <c r="Z132" s="6"/>
      <c r="AA132" s="8"/>
      <c r="AB132" s="8"/>
      <c r="AC132" s="6"/>
      <c r="AD132" s="6"/>
      <c r="AE132" s="9"/>
    </row>
    <row r="133" spans="1:31" s="10" customFormat="1" ht="15.75" x14ac:dyDescent="0.25">
      <c r="A133" s="3">
        <v>118</v>
      </c>
      <c r="B133" s="3" t="s">
        <v>25</v>
      </c>
      <c r="C133" s="5"/>
      <c r="D133" s="4"/>
      <c r="E133" s="6"/>
      <c r="F133" s="6"/>
      <c r="G133" s="3"/>
      <c r="H133" s="3"/>
      <c r="I133" s="7"/>
      <c r="J133" s="3"/>
      <c r="K133" s="3"/>
      <c r="L133" s="3"/>
      <c r="M133" s="3"/>
      <c r="N133" s="3"/>
      <c r="O133" s="3"/>
      <c r="P133" s="3"/>
      <c r="Q133" s="6"/>
      <c r="R133" s="7"/>
      <c r="S133" s="7"/>
      <c r="T133" s="7"/>
      <c r="U133" s="6"/>
      <c r="V133" s="11"/>
      <c r="W133" s="6"/>
      <c r="X133" s="6"/>
      <c r="Y133" s="6"/>
      <c r="Z133" s="6"/>
      <c r="AA133" s="8"/>
      <c r="AB133" s="8"/>
      <c r="AC133" s="6"/>
      <c r="AD133" s="6"/>
      <c r="AE133" s="9"/>
    </row>
    <row r="134" spans="1:31" s="10" customFormat="1" ht="15.75" x14ac:dyDescent="0.25">
      <c r="A134" s="3">
        <v>119</v>
      </c>
      <c r="B134" s="3" t="s">
        <v>25</v>
      </c>
      <c r="C134" s="5"/>
      <c r="D134" s="4"/>
      <c r="E134" s="6"/>
      <c r="F134" s="6"/>
      <c r="G134" s="3"/>
      <c r="H134" s="3"/>
      <c r="I134" s="7"/>
      <c r="J134" s="3"/>
      <c r="K134" s="3"/>
      <c r="L134" s="3"/>
      <c r="M134" s="3"/>
      <c r="N134" s="3"/>
      <c r="O134" s="3"/>
      <c r="P134" s="3"/>
      <c r="Q134" s="6"/>
      <c r="R134" s="7"/>
      <c r="S134" s="7"/>
      <c r="T134" s="7"/>
      <c r="U134" s="6"/>
      <c r="V134" s="11"/>
      <c r="W134" s="6"/>
      <c r="X134" s="6"/>
      <c r="Y134" s="6"/>
      <c r="Z134" s="6"/>
      <c r="AA134" s="8"/>
      <c r="AB134" s="8"/>
      <c r="AC134" s="6"/>
      <c r="AD134" s="6"/>
      <c r="AE134" s="9"/>
    </row>
    <row r="135" spans="1:31" s="10" customFormat="1" ht="15.75" x14ac:dyDescent="0.25">
      <c r="A135" s="3">
        <v>120</v>
      </c>
      <c r="B135" s="3" t="s">
        <v>25</v>
      </c>
      <c r="C135" s="5"/>
      <c r="D135" s="4"/>
      <c r="E135" s="6"/>
      <c r="F135" s="6"/>
      <c r="G135" s="3"/>
      <c r="H135" s="3"/>
      <c r="I135" s="7"/>
      <c r="J135" s="3"/>
      <c r="K135" s="3"/>
      <c r="L135" s="3"/>
      <c r="M135" s="3"/>
      <c r="N135" s="3"/>
      <c r="O135" s="3"/>
      <c r="P135" s="3"/>
      <c r="Q135" s="6"/>
      <c r="R135" s="7"/>
      <c r="S135" s="7"/>
      <c r="T135" s="7"/>
      <c r="U135" s="6"/>
      <c r="V135" s="11"/>
      <c r="W135" s="6"/>
      <c r="X135" s="6"/>
      <c r="Y135" s="6"/>
      <c r="Z135" s="6"/>
      <c r="AA135" s="8"/>
      <c r="AB135" s="8"/>
      <c r="AC135" s="6"/>
      <c r="AD135" s="6"/>
      <c r="AE135" s="9"/>
    </row>
    <row r="136" spans="1:31" s="10" customFormat="1" ht="15.75" x14ac:dyDescent="0.25">
      <c r="A136" s="3">
        <v>121</v>
      </c>
      <c r="B136" s="3" t="s">
        <v>25</v>
      </c>
      <c r="C136" s="5"/>
      <c r="D136" s="4"/>
      <c r="E136" s="6"/>
      <c r="F136" s="6"/>
      <c r="G136" s="3"/>
      <c r="H136" s="3"/>
      <c r="I136" s="7"/>
      <c r="J136" s="3"/>
      <c r="K136" s="3"/>
      <c r="L136" s="3"/>
      <c r="M136" s="3"/>
      <c r="N136" s="3"/>
      <c r="O136" s="3"/>
      <c r="P136" s="3"/>
      <c r="Q136" s="6"/>
      <c r="R136" s="7"/>
      <c r="S136" s="7"/>
      <c r="T136" s="7"/>
      <c r="U136" s="6"/>
      <c r="V136" s="11"/>
      <c r="W136" s="6"/>
      <c r="X136" s="6"/>
      <c r="Y136" s="6"/>
      <c r="Z136" s="6"/>
      <c r="AA136" s="8"/>
      <c r="AB136" s="8"/>
      <c r="AC136" s="6"/>
      <c r="AD136" s="6"/>
      <c r="AE136" s="9"/>
    </row>
    <row r="137" spans="1:31" s="10" customFormat="1" ht="15.75" x14ac:dyDescent="0.25">
      <c r="A137" s="3">
        <v>122</v>
      </c>
      <c r="B137" s="3" t="s">
        <v>25</v>
      </c>
      <c r="C137" s="5"/>
      <c r="D137" s="4"/>
      <c r="E137" s="6"/>
      <c r="F137" s="6"/>
      <c r="G137" s="3"/>
      <c r="H137" s="3"/>
      <c r="I137" s="7"/>
      <c r="J137" s="3"/>
      <c r="K137" s="3"/>
      <c r="L137" s="3"/>
      <c r="M137" s="3"/>
      <c r="N137" s="3"/>
      <c r="O137" s="3"/>
      <c r="P137" s="3"/>
      <c r="Q137" s="6"/>
      <c r="R137" s="7"/>
      <c r="S137" s="7"/>
      <c r="T137" s="7"/>
      <c r="U137" s="6"/>
      <c r="V137" s="11"/>
      <c r="W137" s="6"/>
      <c r="X137" s="6"/>
      <c r="Y137" s="6"/>
      <c r="Z137" s="6"/>
      <c r="AA137" s="8"/>
      <c r="AB137" s="8"/>
      <c r="AC137" s="6"/>
      <c r="AD137" s="6"/>
      <c r="AE137" s="9"/>
    </row>
    <row r="138" spans="1:31" s="10" customFormat="1" ht="15.75" x14ac:dyDescent="0.25">
      <c r="A138" s="3">
        <v>123</v>
      </c>
      <c r="B138" s="3" t="s">
        <v>25</v>
      </c>
      <c r="C138" s="5"/>
      <c r="D138" s="4"/>
      <c r="E138" s="6"/>
      <c r="F138" s="6"/>
      <c r="G138" s="3"/>
      <c r="H138" s="3"/>
      <c r="I138" s="7"/>
      <c r="J138" s="3"/>
      <c r="K138" s="3"/>
      <c r="L138" s="3"/>
      <c r="M138" s="3"/>
      <c r="N138" s="3"/>
      <c r="O138" s="3"/>
      <c r="P138" s="3"/>
      <c r="Q138" s="6"/>
      <c r="R138" s="7"/>
      <c r="S138" s="7"/>
      <c r="T138" s="7"/>
      <c r="U138" s="6"/>
      <c r="V138" s="11"/>
      <c r="W138" s="6"/>
      <c r="X138" s="6"/>
      <c r="Y138" s="6"/>
      <c r="Z138" s="6"/>
      <c r="AA138" s="8"/>
      <c r="AB138" s="8"/>
      <c r="AC138" s="6"/>
      <c r="AD138" s="6"/>
      <c r="AE138" s="9"/>
    </row>
    <row r="139" spans="1:31" s="10" customFormat="1" ht="15.75" x14ac:dyDescent="0.25">
      <c r="A139" s="3">
        <v>124</v>
      </c>
      <c r="B139" s="3" t="s">
        <v>25</v>
      </c>
      <c r="C139" s="5"/>
      <c r="D139" s="4"/>
      <c r="E139" s="6"/>
      <c r="F139" s="6"/>
      <c r="G139" s="3"/>
      <c r="H139" s="3"/>
      <c r="I139" s="7"/>
      <c r="J139" s="3"/>
      <c r="K139" s="3"/>
      <c r="L139" s="3"/>
      <c r="M139" s="3"/>
      <c r="N139" s="3"/>
      <c r="O139" s="3"/>
      <c r="P139" s="3"/>
      <c r="Q139" s="6"/>
      <c r="R139" s="7"/>
      <c r="S139" s="7"/>
      <c r="T139" s="7"/>
      <c r="U139" s="6"/>
      <c r="V139" s="11"/>
      <c r="W139" s="6"/>
      <c r="X139" s="6"/>
      <c r="Y139" s="6"/>
      <c r="Z139" s="6"/>
      <c r="AA139" s="8"/>
      <c r="AB139" s="8"/>
      <c r="AC139" s="6"/>
      <c r="AD139" s="6"/>
      <c r="AE139" s="9"/>
    </row>
    <row r="140" spans="1:31" s="10" customFormat="1" ht="15.75" x14ac:dyDescent="0.25">
      <c r="A140" s="3">
        <v>125</v>
      </c>
      <c r="B140" s="3" t="s">
        <v>25</v>
      </c>
      <c r="C140" s="5"/>
      <c r="D140" s="4"/>
      <c r="E140" s="6"/>
      <c r="F140" s="6"/>
      <c r="G140" s="3"/>
      <c r="H140" s="3"/>
      <c r="I140" s="7"/>
      <c r="J140" s="3"/>
      <c r="K140" s="3"/>
      <c r="L140" s="3"/>
      <c r="M140" s="3"/>
      <c r="N140" s="3"/>
      <c r="O140" s="3"/>
      <c r="P140" s="3"/>
      <c r="Q140" s="6"/>
      <c r="R140" s="7"/>
      <c r="S140" s="7"/>
      <c r="T140" s="7"/>
      <c r="U140" s="6"/>
      <c r="V140" s="11"/>
      <c r="W140" s="6"/>
      <c r="X140" s="6"/>
      <c r="Y140" s="6"/>
      <c r="Z140" s="6"/>
      <c r="AA140" s="8"/>
      <c r="AB140" s="8"/>
      <c r="AC140" s="6"/>
      <c r="AD140" s="6"/>
      <c r="AE140" s="9"/>
    </row>
    <row r="141" spans="1:31" s="10" customFormat="1" ht="15.75" x14ac:dyDescent="0.25">
      <c r="A141" s="3">
        <v>126</v>
      </c>
      <c r="B141" s="3" t="s">
        <v>25</v>
      </c>
      <c r="C141" s="5"/>
      <c r="D141" s="4"/>
      <c r="E141" s="6"/>
      <c r="F141" s="6"/>
      <c r="G141" s="3"/>
      <c r="H141" s="3"/>
      <c r="I141" s="7"/>
      <c r="J141" s="3"/>
      <c r="K141" s="3"/>
      <c r="L141" s="3"/>
      <c r="M141" s="3"/>
      <c r="N141" s="3"/>
      <c r="O141" s="3"/>
      <c r="P141" s="3"/>
      <c r="Q141" s="6"/>
      <c r="R141" s="7"/>
      <c r="S141" s="7"/>
      <c r="T141" s="7"/>
      <c r="U141" s="6"/>
      <c r="V141" s="11"/>
      <c r="W141" s="6"/>
      <c r="X141" s="6"/>
      <c r="Y141" s="6"/>
      <c r="Z141" s="6"/>
      <c r="AA141" s="8"/>
      <c r="AB141" s="8"/>
      <c r="AC141" s="6"/>
      <c r="AD141" s="6"/>
      <c r="AE141" s="9"/>
    </row>
    <row r="142" spans="1:31" s="10" customFormat="1" ht="15.75" x14ac:dyDescent="0.25">
      <c r="A142" s="3">
        <v>127</v>
      </c>
      <c r="B142" s="3" t="s">
        <v>25</v>
      </c>
      <c r="C142" s="5"/>
      <c r="D142" s="4"/>
      <c r="E142" s="6"/>
      <c r="F142" s="6"/>
      <c r="G142" s="3"/>
      <c r="H142" s="3"/>
      <c r="I142" s="7"/>
      <c r="J142" s="3"/>
      <c r="K142" s="3"/>
      <c r="L142" s="3"/>
      <c r="M142" s="3"/>
      <c r="N142" s="3"/>
      <c r="O142" s="3"/>
      <c r="P142" s="3"/>
      <c r="Q142" s="6"/>
      <c r="R142" s="7"/>
      <c r="S142" s="7"/>
      <c r="T142" s="7"/>
      <c r="U142" s="6"/>
      <c r="V142" s="11"/>
      <c r="W142" s="6"/>
      <c r="X142" s="6"/>
      <c r="Y142" s="6"/>
      <c r="Z142" s="6"/>
      <c r="AA142" s="8"/>
      <c r="AB142" s="8"/>
      <c r="AC142" s="6"/>
      <c r="AD142" s="6"/>
      <c r="AE142" s="9"/>
    </row>
    <row r="143" spans="1:31" s="10" customFormat="1" ht="15.75" x14ac:dyDescent="0.25">
      <c r="A143" s="3">
        <v>128</v>
      </c>
      <c r="B143" s="3" t="s">
        <v>25</v>
      </c>
      <c r="C143" s="5"/>
      <c r="D143" s="4"/>
      <c r="E143" s="6"/>
      <c r="F143" s="6"/>
      <c r="G143" s="3"/>
      <c r="H143" s="3"/>
      <c r="I143" s="7"/>
      <c r="J143" s="3"/>
      <c r="K143" s="3"/>
      <c r="L143" s="3"/>
      <c r="M143" s="3"/>
      <c r="N143" s="3"/>
      <c r="O143" s="3"/>
      <c r="P143" s="3"/>
      <c r="Q143" s="6"/>
      <c r="R143" s="7"/>
      <c r="S143" s="7"/>
      <c r="T143" s="7"/>
      <c r="U143" s="6"/>
      <c r="V143" s="11"/>
      <c r="W143" s="6"/>
      <c r="X143" s="6"/>
      <c r="Y143" s="6"/>
      <c r="Z143" s="6"/>
      <c r="AA143" s="8"/>
      <c r="AB143" s="8"/>
      <c r="AC143" s="6"/>
      <c r="AD143" s="6"/>
      <c r="AE143" s="9"/>
    </row>
    <row r="144" spans="1:31" s="10" customFormat="1" ht="15.75" x14ac:dyDescent="0.25">
      <c r="A144" s="3">
        <v>129</v>
      </c>
      <c r="B144" s="3" t="s">
        <v>25</v>
      </c>
      <c r="C144" s="5"/>
      <c r="D144" s="4"/>
      <c r="E144" s="6"/>
      <c r="F144" s="6"/>
      <c r="G144" s="3"/>
      <c r="H144" s="3"/>
      <c r="I144" s="7"/>
      <c r="J144" s="3"/>
      <c r="K144" s="3"/>
      <c r="L144" s="3"/>
      <c r="M144" s="3"/>
      <c r="N144" s="3"/>
      <c r="O144" s="3"/>
      <c r="P144" s="3"/>
      <c r="Q144" s="6"/>
      <c r="R144" s="7"/>
      <c r="S144" s="7"/>
      <c r="T144" s="7"/>
      <c r="U144" s="6"/>
      <c r="V144" s="11"/>
      <c r="W144" s="6"/>
      <c r="X144" s="6"/>
      <c r="Y144" s="6"/>
      <c r="Z144" s="6"/>
      <c r="AA144" s="8"/>
      <c r="AB144" s="8"/>
      <c r="AC144" s="6"/>
      <c r="AD144" s="6"/>
      <c r="AE144" s="9"/>
    </row>
    <row r="145" spans="1:31" s="10" customFormat="1" ht="15.75" x14ac:dyDescent="0.25">
      <c r="A145" s="3">
        <v>130</v>
      </c>
      <c r="B145" s="3" t="s">
        <v>25</v>
      </c>
      <c r="C145" s="5"/>
      <c r="D145" s="4"/>
      <c r="E145" s="6"/>
      <c r="F145" s="6"/>
      <c r="G145" s="3"/>
      <c r="H145" s="3"/>
      <c r="I145" s="7"/>
      <c r="J145" s="3"/>
      <c r="K145" s="3"/>
      <c r="L145" s="3"/>
      <c r="M145" s="3"/>
      <c r="N145" s="3"/>
      <c r="O145" s="3"/>
      <c r="P145" s="3"/>
      <c r="Q145" s="6"/>
      <c r="R145" s="7"/>
      <c r="S145" s="7"/>
      <c r="T145" s="7"/>
      <c r="U145" s="6"/>
      <c r="V145" s="11"/>
      <c r="W145" s="6"/>
      <c r="X145" s="6"/>
      <c r="Y145" s="6"/>
      <c r="Z145" s="6"/>
      <c r="AA145" s="8"/>
      <c r="AB145" s="8"/>
      <c r="AC145" s="6"/>
      <c r="AD145" s="6"/>
      <c r="AE145" s="9"/>
    </row>
    <row r="146" spans="1:31" s="10" customFormat="1" ht="15.75" x14ac:dyDescent="0.25">
      <c r="A146" s="3">
        <v>131</v>
      </c>
      <c r="B146" s="3" t="s">
        <v>25</v>
      </c>
      <c r="C146" s="5"/>
      <c r="D146" s="4"/>
      <c r="E146" s="6"/>
      <c r="F146" s="6"/>
      <c r="G146" s="3"/>
      <c r="H146" s="3"/>
      <c r="I146" s="7"/>
      <c r="J146" s="3"/>
      <c r="K146" s="3"/>
      <c r="L146" s="3"/>
      <c r="M146" s="3"/>
      <c r="N146" s="3"/>
      <c r="O146" s="3"/>
      <c r="P146" s="3"/>
      <c r="Q146" s="6"/>
      <c r="R146" s="7"/>
      <c r="S146" s="7"/>
      <c r="T146" s="7"/>
      <c r="U146" s="6"/>
      <c r="V146" s="11"/>
      <c r="W146" s="6"/>
      <c r="X146" s="6"/>
      <c r="Y146" s="6"/>
      <c r="Z146" s="6"/>
      <c r="AA146" s="8"/>
      <c r="AB146" s="8"/>
      <c r="AC146" s="6"/>
      <c r="AD146" s="6"/>
      <c r="AE146" s="9"/>
    </row>
    <row r="147" spans="1:31" s="10" customFormat="1" ht="15.75" x14ac:dyDescent="0.25">
      <c r="A147" s="3">
        <v>132</v>
      </c>
      <c r="B147" s="3" t="s">
        <v>25</v>
      </c>
      <c r="C147" s="5"/>
      <c r="D147" s="4"/>
      <c r="E147" s="6"/>
      <c r="F147" s="6"/>
      <c r="G147" s="3"/>
      <c r="H147" s="3"/>
      <c r="I147" s="7"/>
      <c r="J147" s="3"/>
      <c r="K147" s="3"/>
      <c r="L147" s="3"/>
      <c r="M147" s="3"/>
      <c r="N147" s="3"/>
      <c r="O147" s="3"/>
      <c r="P147" s="3"/>
      <c r="Q147" s="6"/>
      <c r="R147" s="7"/>
      <c r="S147" s="7"/>
      <c r="T147" s="7"/>
      <c r="U147" s="6"/>
      <c r="V147" s="11"/>
      <c r="W147" s="6"/>
      <c r="X147" s="6"/>
      <c r="Y147" s="6"/>
      <c r="Z147" s="6"/>
      <c r="AA147" s="8"/>
      <c r="AB147" s="8"/>
      <c r="AC147" s="6"/>
      <c r="AD147" s="6"/>
      <c r="AE147" s="9"/>
    </row>
    <row r="148" spans="1:31" s="10" customFormat="1" ht="15.75" x14ac:dyDescent="0.25">
      <c r="A148" s="3">
        <v>133</v>
      </c>
      <c r="B148" s="3" t="s">
        <v>25</v>
      </c>
      <c r="C148" s="5"/>
      <c r="D148" s="4"/>
      <c r="E148" s="6"/>
      <c r="F148" s="6"/>
      <c r="G148" s="3"/>
      <c r="H148" s="3"/>
      <c r="I148" s="7"/>
      <c r="J148" s="3"/>
      <c r="K148" s="3"/>
      <c r="L148" s="3"/>
      <c r="M148" s="3"/>
      <c r="N148" s="3"/>
      <c r="O148" s="3"/>
      <c r="P148" s="3"/>
      <c r="Q148" s="6"/>
      <c r="R148" s="7"/>
      <c r="S148" s="7"/>
      <c r="T148" s="7"/>
      <c r="U148" s="6"/>
      <c r="V148" s="11"/>
      <c r="W148" s="6"/>
      <c r="X148" s="6"/>
      <c r="Y148" s="6"/>
      <c r="Z148" s="6"/>
      <c r="AA148" s="8"/>
      <c r="AB148" s="8"/>
      <c r="AC148" s="6"/>
      <c r="AD148" s="6"/>
      <c r="AE148" s="9"/>
    </row>
    <row r="149" spans="1:31" s="10" customFormat="1" ht="15.75" x14ac:dyDescent="0.25">
      <c r="A149" s="3">
        <v>134</v>
      </c>
      <c r="B149" s="3" t="s">
        <v>25</v>
      </c>
      <c r="C149" s="5"/>
      <c r="D149" s="4"/>
      <c r="E149" s="6"/>
      <c r="F149" s="6"/>
      <c r="G149" s="3"/>
      <c r="H149" s="3"/>
      <c r="I149" s="7"/>
      <c r="J149" s="3"/>
      <c r="K149" s="3"/>
      <c r="L149" s="3"/>
      <c r="M149" s="3"/>
      <c r="N149" s="3"/>
      <c r="O149" s="3"/>
      <c r="P149" s="3"/>
      <c r="Q149" s="6"/>
      <c r="R149" s="7"/>
      <c r="S149" s="7"/>
      <c r="T149" s="7"/>
      <c r="U149" s="6"/>
      <c r="V149" s="11"/>
      <c r="W149" s="6"/>
      <c r="X149" s="6"/>
      <c r="Y149" s="6"/>
      <c r="Z149" s="6"/>
      <c r="AA149" s="8"/>
      <c r="AB149" s="8"/>
      <c r="AC149" s="6"/>
      <c r="AD149" s="6"/>
      <c r="AE149" s="9"/>
    </row>
    <row r="150" spans="1:31" s="10" customFormat="1" ht="15.75" x14ac:dyDescent="0.25">
      <c r="A150" s="3">
        <v>135</v>
      </c>
      <c r="B150" s="3" t="s">
        <v>25</v>
      </c>
      <c r="C150" s="5"/>
      <c r="D150" s="4"/>
      <c r="E150" s="6"/>
      <c r="F150" s="6"/>
      <c r="G150" s="3"/>
      <c r="H150" s="3"/>
      <c r="I150" s="7"/>
      <c r="J150" s="3"/>
      <c r="K150" s="3"/>
      <c r="L150" s="3"/>
      <c r="M150" s="3"/>
      <c r="N150" s="3"/>
      <c r="O150" s="3"/>
      <c r="P150" s="3"/>
      <c r="Q150" s="6"/>
      <c r="R150" s="7"/>
      <c r="S150" s="7"/>
      <c r="T150" s="7"/>
      <c r="U150" s="6"/>
      <c r="V150" s="11"/>
      <c r="W150" s="6"/>
      <c r="X150" s="6"/>
      <c r="Y150" s="6"/>
      <c r="Z150" s="6"/>
      <c r="AA150" s="8"/>
      <c r="AB150" s="8"/>
      <c r="AC150" s="6"/>
      <c r="AD150" s="6"/>
      <c r="AE150" s="9"/>
    </row>
    <row r="151" spans="1:31" s="10" customFormat="1" ht="15.75" x14ac:dyDescent="0.25">
      <c r="A151" s="3">
        <v>136</v>
      </c>
      <c r="B151" s="3" t="s">
        <v>25</v>
      </c>
      <c r="C151" s="5"/>
      <c r="D151" s="4"/>
      <c r="E151" s="6"/>
      <c r="F151" s="6"/>
      <c r="G151" s="3"/>
      <c r="H151" s="3"/>
      <c r="I151" s="7"/>
      <c r="J151" s="3"/>
      <c r="K151" s="3"/>
      <c r="L151" s="3"/>
      <c r="M151" s="3"/>
      <c r="N151" s="3"/>
      <c r="O151" s="3"/>
      <c r="P151" s="3"/>
      <c r="Q151" s="6"/>
      <c r="R151" s="7"/>
      <c r="S151" s="7"/>
      <c r="T151" s="7"/>
      <c r="U151" s="6"/>
      <c r="V151" s="11"/>
      <c r="W151" s="6"/>
      <c r="X151" s="6"/>
      <c r="Y151" s="6"/>
      <c r="Z151" s="6"/>
      <c r="AA151" s="8"/>
      <c r="AB151" s="8"/>
      <c r="AC151" s="6"/>
      <c r="AD151" s="6"/>
      <c r="AE151" s="9"/>
    </row>
    <row r="152" spans="1:31" s="10" customFormat="1" ht="15.75" x14ac:dyDescent="0.25">
      <c r="A152" s="3">
        <v>137</v>
      </c>
      <c r="B152" s="3" t="s">
        <v>25</v>
      </c>
      <c r="C152" s="5"/>
      <c r="D152" s="4"/>
      <c r="E152" s="6"/>
      <c r="F152" s="6"/>
      <c r="G152" s="3"/>
      <c r="H152" s="3"/>
      <c r="I152" s="7"/>
      <c r="J152" s="3"/>
      <c r="K152" s="3"/>
      <c r="L152" s="3"/>
      <c r="M152" s="3"/>
      <c r="N152" s="3"/>
      <c r="O152" s="3"/>
      <c r="P152" s="3"/>
      <c r="Q152" s="6"/>
      <c r="R152" s="7"/>
      <c r="S152" s="7"/>
      <c r="T152" s="7"/>
      <c r="U152" s="6"/>
      <c r="V152" s="11"/>
      <c r="W152" s="6"/>
      <c r="X152" s="6"/>
      <c r="Y152" s="6"/>
      <c r="Z152" s="6"/>
      <c r="AA152" s="8"/>
      <c r="AB152" s="8"/>
      <c r="AC152" s="6"/>
      <c r="AD152" s="6"/>
      <c r="AE152" s="9"/>
    </row>
    <row r="153" spans="1:31" s="10" customFormat="1" ht="15.75" x14ac:dyDescent="0.25">
      <c r="A153" s="3">
        <v>138</v>
      </c>
      <c r="B153" s="3" t="s">
        <v>25</v>
      </c>
      <c r="C153" s="5"/>
      <c r="D153" s="4"/>
      <c r="E153" s="6"/>
      <c r="F153" s="6"/>
      <c r="G153" s="3"/>
      <c r="H153" s="3"/>
      <c r="I153" s="7"/>
      <c r="J153" s="3"/>
      <c r="K153" s="3"/>
      <c r="L153" s="3"/>
      <c r="M153" s="3"/>
      <c r="N153" s="3"/>
      <c r="O153" s="3"/>
      <c r="P153" s="3"/>
      <c r="Q153" s="6"/>
      <c r="R153" s="7"/>
      <c r="S153" s="7"/>
      <c r="T153" s="7"/>
      <c r="U153" s="6"/>
      <c r="V153" s="11"/>
      <c r="W153" s="6"/>
      <c r="X153" s="6"/>
      <c r="Y153" s="6"/>
      <c r="Z153" s="6"/>
      <c r="AA153" s="8"/>
      <c r="AB153" s="8"/>
      <c r="AC153" s="6"/>
      <c r="AD153" s="6"/>
      <c r="AE153" s="9"/>
    </row>
    <row r="154" spans="1:31" s="10" customFormat="1" ht="15.75" x14ac:dyDescent="0.25">
      <c r="A154" s="3">
        <v>139</v>
      </c>
      <c r="B154" s="3" t="s">
        <v>25</v>
      </c>
      <c r="C154" s="5"/>
      <c r="D154" s="4"/>
      <c r="E154" s="6"/>
      <c r="F154" s="6"/>
      <c r="G154" s="3"/>
      <c r="H154" s="3"/>
      <c r="I154" s="7"/>
      <c r="J154" s="3"/>
      <c r="K154" s="3"/>
      <c r="L154" s="3"/>
      <c r="M154" s="3"/>
      <c r="N154" s="3"/>
      <c r="O154" s="3"/>
      <c r="P154" s="3"/>
      <c r="Q154" s="6"/>
      <c r="R154" s="7"/>
      <c r="S154" s="7"/>
      <c r="T154" s="7"/>
      <c r="U154" s="6"/>
      <c r="V154" s="11"/>
      <c r="W154" s="6"/>
      <c r="X154" s="6"/>
      <c r="Y154" s="6"/>
      <c r="Z154" s="6"/>
      <c r="AA154" s="8"/>
      <c r="AB154" s="8"/>
      <c r="AC154" s="6"/>
      <c r="AD154" s="6"/>
      <c r="AE154" s="9"/>
    </row>
    <row r="155" spans="1:31" s="10" customFormat="1" ht="15.75" x14ac:dyDescent="0.25">
      <c r="A155" s="3">
        <v>140</v>
      </c>
      <c r="B155" s="3" t="s">
        <v>25</v>
      </c>
      <c r="C155" s="5"/>
      <c r="D155" s="4"/>
      <c r="E155" s="6"/>
      <c r="F155" s="6"/>
      <c r="G155" s="3"/>
      <c r="H155" s="3"/>
      <c r="I155" s="7"/>
      <c r="J155" s="3"/>
      <c r="K155" s="3"/>
      <c r="L155" s="3"/>
      <c r="M155" s="3"/>
      <c r="N155" s="3"/>
      <c r="O155" s="3"/>
      <c r="P155" s="3"/>
      <c r="Q155" s="6"/>
      <c r="R155" s="7"/>
      <c r="S155" s="7"/>
      <c r="T155" s="7"/>
      <c r="U155" s="6"/>
      <c r="V155" s="11"/>
      <c r="W155" s="6"/>
      <c r="X155" s="6"/>
      <c r="Y155" s="6"/>
      <c r="Z155" s="6"/>
      <c r="AA155" s="8"/>
      <c r="AB155" s="8"/>
      <c r="AC155" s="6"/>
      <c r="AD155" s="6"/>
      <c r="AE155" s="9"/>
    </row>
    <row r="156" spans="1:31" s="10" customFormat="1" ht="15.75" x14ac:dyDescent="0.25">
      <c r="A156" s="3">
        <v>141</v>
      </c>
      <c r="B156" s="3" t="s">
        <v>25</v>
      </c>
      <c r="C156" s="5"/>
      <c r="D156" s="4"/>
      <c r="E156" s="6"/>
      <c r="F156" s="6"/>
      <c r="G156" s="3"/>
      <c r="H156" s="3"/>
      <c r="I156" s="7"/>
      <c r="J156" s="3"/>
      <c r="K156" s="3"/>
      <c r="L156" s="3"/>
      <c r="M156" s="3"/>
      <c r="N156" s="3"/>
      <c r="O156" s="3"/>
      <c r="P156" s="3"/>
      <c r="Q156" s="6"/>
      <c r="R156" s="7"/>
      <c r="S156" s="7"/>
      <c r="T156" s="7"/>
      <c r="U156" s="6"/>
      <c r="V156" s="11"/>
      <c r="W156" s="6"/>
      <c r="X156" s="6"/>
      <c r="Y156" s="6"/>
      <c r="Z156" s="6"/>
      <c r="AA156" s="8"/>
      <c r="AB156" s="8"/>
      <c r="AC156" s="6"/>
      <c r="AD156" s="6"/>
      <c r="AE156" s="9"/>
    </row>
    <row r="157" spans="1:31" s="10" customFormat="1" ht="15.75" x14ac:dyDescent="0.25">
      <c r="A157" s="3">
        <v>142</v>
      </c>
      <c r="B157" s="3" t="s">
        <v>25</v>
      </c>
      <c r="C157" s="5"/>
      <c r="D157" s="4"/>
      <c r="E157" s="6"/>
      <c r="F157" s="6"/>
      <c r="G157" s="3"/>
      <c r="H157" s="3"/>
      <c r="I157" s="7"/>
      <c r="J157" s="3"/>
      <c r="K157" s="3"/>
      <c r="L157" s="3"/>
      <c r="M157" s="3"/>
      <c r="N157" s="3"/>
      <c r="O157" s="3"/>
      <c r="P157" s="3"/>
      <c r="Q157" s="6"/>
      <c r="R157" s="7"/>
      <c r="S157" s="7"/>
      <c r="T157" s="7"/>
      <c r="U157" s="6"/>
      <c r="V157" s="11"/>
      <c r="W157" s="6"/>
      <c r="X157" s="6"/>
      <c r="Y157" s="6"/>
      <c r="Z157" s="6"/>
      <c r="AA157" s="8"/>
      <c r="AB157" s="8"/>
      <c r="AC157" s="6"/>
      <c r="AD157" s="6"/>
      <c r="AE157" s="9"/>
    </row>
    <row r="158" spans="1:31" s="10" customFormat="1" ht="15.75" x14ac:dyDescent="0.25">
      <c r="A158" s="3">
        <v>143</v>
      </c>
      <c r="B158" s="3" t="s">
        <v>25</v>
      </c>
      <c r="C158" s="5"/>
      <c r="D158" s="4"/>
      <c r="E158" s="6"/>
      <c r="F158" s="6"/>
      <c r="G158" s="3"/>
      <c r="H158" s="3"/>
      <c r="I158" s="7"/>
      <c r="J158" s="3"/>
      <c r="K158" s="3"/>
      <c r="L158" s="3"/>
      <c r="M158" s="3"/>
      <c r="N158" s="3"/>
      <c r="O158" s="3"/>
      <c r="P158" s="3"/>
      <c r="Q158" s="6" t="s">
        <v>101</v>
      </c>
      <c r="R158" s="7"/>
      <c r="S158" s="7"/>
      <c r="T158" s="7"/>
      <c r="U158" s="6"/>
      <c r="V158" s="11"/>
      <c r="W158" s="6"/>
      <c r="X158" s="6"/>
      <c r="Y158" s="6"/>
      <c r="Z158" s="6"/>
      <c r="AA158" s="8"/>
      <c r="AB158" s="8"/>
      <c r="AC158" s="6"/>
      <c r="AD158" s="6"/>
      <c r="AE158" s="9"/>
    </row>
    <row r="159" spans="1:31" ht="16.5" x14ac:dyDescent="0.25">
      <c r="A159" s="12"/>
      <c r="B159" s="73" t="s">
        <v>37</v>
      </c>
      <c r="C159" s="74"/>
      <c r="D159" s="74"/>
      <c r="E159" s="74"/>
      <c r="F159" s="74"/>
      <c r="G159" s="74"/>
      <c r="H159" s="75"/>
      <c r="I159" s="13"/>
      <c r="J159" s="14">
        <f>COUNTIF(J3:J158,"CQ")+COUNTIF(J158,"CN")+COUNTIF(J158,"TK")</f>
        <v>1</v>
      </c>
      <c r="K159" s="14">
        <f>COUNTIF(K3:K158,"CMĐ")</f>
        <v>27</v>
      </c>
      <c r="L159" s="14">
        <f>COUNTIF(L158,"XMDT")+COUNTIF(L158,"Mốc")</f>
        <v>0</v>
      </c>
      <c r="M159" s="14">
        <f>COUNTIF(M158,"THÁn")</f>
        <v>0</v>
      </c>
      <c r="N159" s="14">
        <f>COUNTIF(N158,"TÒA")</f>
        <v>0</v>
      </c>
      <c r="O159" s="14">
        <f>COUNTIF(O3:O158,"Cấp GCN")</f>
        <v>1</v>
      </c>
      <c r="P159" s="14">
        <f>COUNTIF(P3:P158,"SHN")</f>
        <v>21</v>
      </c>
      <c r="Q159" s="15"/>
      <c r="R159" s="13"/>
      <c r="S159" s="15"/>
      <c r="T159" s="15"/>
      <c r="U159" s="16"/>
      <c r="V159" s="11"/>
      <c r="W159" s="17"/>
      <c r="X159" s="2"/>
      <c r="AD159" s="14">
        <f>COUNTIF(AD158,"kt")</f>
        <v>0</v>
      </c>
    </row>
  </sheetData>
  <mergeCells count="15">
    <mergeCell ref="B159:H159"/>
    <mergeCell ref="A1:AC1"/>
    <mergeCell ref="B15:H15"/>
    <mergeCell ref="B27:H27"/>
    <mergeCell ref="B48:H48"/>
    <mergeCell ref="B53:H53"/>
    <mergeCell ref="B55:H55"/>
    <mergeCell ref="B58:H58"/>
    <mergeCell ref="B61:H61"/>
    <mergeCell ref="B68:H68"/>
    <mergeCell ref="B72:H72"/>
    <mergeCell ref="B78:H78"/>
    <mergeCell ref="B80:H80"/>
    <mergeCell ref="B93:H93"/>
    <mergeCell ref="B98:H98"/>
  </mergeCells>
  <phoneticPr fontId="4" type="noConversion"/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126"/>
  <sheetViews>
    <sheetView zoomScale="90" zoomScaleNormal="90" workbookViewId="0">
      <pane ySplit="2" topLeftCell="A94" activePane="bottomLeft" state="frozen"/>
      <selection pane="bottomLeft" activeCell="C103" sqref="C103:I103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9" width="12" customWidth="1"/>
    <col min="10" max="10" width="8.42578125" customWidth="1"/>
    <col min="11" max="11" width="7.28515625" customWidth="1"/>
    <col min="12" max="12" width="8.28515625" customWidth="1"/>
    <col min="13" max="13" width="7.5703125" customWidth="1"/>
    <col min="14" max="14" width="5.5703125" customWidth="1"/>
    <col min="15" max="16" width="9.42578125" customWidth="1"/>
    <col min="17" max="17" width="14.5703125" customWidth="1"/>
    <col min="18" max="20" width="12.140625" customWidth="1"/>
    <col min="21" max="21" width="10.7109375" customWidth="1"/>
    <col min="22" max="22" width="13.28515625" customWidth="1"/>
    <col min="23" max="24" width="9" customWidth="1"/>
    <col min="25" max="25" width="10.28515625" customWidth="1"/>
    <col min="26" max="26" width="15.140625" customWidth="1"/>
    <col min="27" max="27" width="16.85546875" customWidth="1"/>
    <col min="28" max="28" width="20.7109375" customWidth="1"/>
    <col min="29" max="30" width="18.5703125" customWidth="1"/>
    <col min="31" max="31" width="9.140625" style="2"/>
  </cols>
  <sheetData>
    <row r="1" spans="1:31" ht="25.5" customHeight="1" x14ac:dyDescent="0.35">
      <c r="A1" s="76" t="s">
        <v>44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2"/>
    </row>
    <row r="2" spans="1:31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4</v>
      </c>
      <c r="K2" s="1" t="s">
        <v>3</v>
      </c>
      <c r="L2" s="1" t="s">
        <v>1</v>
      </c>
      <c r="M2" s="1" t="s">
        <v>19</v>
      </c>
      <c r="N2" s="1" t="s">
        <v>11</v>
      </c>
      <c r="O2" s="1" t="s">
        <v>12</v>
      </c>
      <c r="P2" s="1" t="s">
        <v>52</v>
      </c>
      <c r="Q2" s="1" t="s">
        <v>2</v>
      </c>
      <c r="R2" s="1" t="s">
        <v>20</v>
      </c>
      <c r="S2" s="1" t="s">
        <v>29</v>
      </c>
      <c r="T2" s="1" t="s">
        <v>30</v>
      </c>
      <c r="U2" s="1" t="s">
        <v>31</v>
      </c>
      <c r="V2" s="1" t="s">
        <v>22</v>
      </c>
      <c r="W2" s="1" t="s">
        <v>21</v>
      </c>
      <c r="X2" s="1" t="s">
        <v>23</v>
      </c>
      <c r="Y2" s="1" t="s">
        <v>24</v>
      </c>
      <c r="Z2" s="1" t="s">
        <v>14</v>
      </c>
      <c r="AA2" s="1" t="s">
        <v>13</v>
      </c>
      <c r="AB2" s="1" t="s">
        <v>18</v>
      </c>
      <c r="AC2" s="1" t="s">
        <v>8</v>
      </c>
      <c r="AD2" s="1" t="s">
        <v>35</v>
      </c>
    </row>
    <row r="3" spans="1:31" s="10" customFormat="1" ht="15.75" x14ac:dyDescent="0.25">
      <c r="A3" s="3">
        <v>1</v>
      </c>
      <c r="B3" s="3" t="s">
        <v>32</v>
      </c>
      <c r="C3" s="5" t="s">
        <v>318</v>
      </c>
      <c r="D3" s="4" t="s">
        <v>61</v>
      </c>
      <c r="E3" s="6">
        <v>41</v>
      </c>
      <c r="F3" s="6">
        <v>970</v>
      </c>
      <c r="G3" s="3">
        <v>282.89999999999998</v>
      </c>
      <c r="H3" s="3" t="s">
        <v>51</v>
      </c>
      <c r="I3" s="7">
        <v>45293</v>
      </c>
      <c r="J3" s="3"/>
      <c r="K3" s="3" t="s">
        <v>62</v>
      </c>
      <c r="L3" s="3"/>
      <c r="M3" s="3"/>
      <c r="N3" s="3"/>
      <c r="O3" s="3"/>
      <c r="P3" s="3"/>
      <c r="Q3" s="6" t="s">
        <v>101</v>
      </c>
      <c r="R3" s="7">
        <v>45671</v>
      </c>
      <c r="S3" s="7">
        <v>45677</v>
      </c>
      <c r="T3" s="7">
        <v>45677</v>
      </c>
      <c r="U3" s="20">
        <v>386</v>
      </c>
      <c r="V3" s="11">
        <v>961551</v>
      </c>
      <c r="W3" s="6"/>
      <c r="X3" s="6"/>
      <c r="Y3" s="8"/>
      <c r="Z3" s="8"/>
      <c r="AA3" s="8"/>
      <c r="AB3" s="6"/>
      <c r="AC3" s="8"/>
      <c r="AD3" s="6"/>
      <c r="AE3" s="9"/>
    </row>
    <row r="4" spans="1:31" s="10" customFormat="1" ht="78.75" x14ac:dyDescent="0.25">
      <c r="A4" s="3">
        <v>2</v>
      </c>
      <c r="B4" s="3" t="s">
        <v>32</v>
      </c>
      <c r="C4" s="19" t="s">
        <v>170</v>
      </c>
      <c r="D4" s="4" t="s">
        <v>171</v>
      </c>
      <c r="E4" s="3">
        <v>49</v>
      </c>
      <c r="F4" s="3">
        <v>253</v>
      </c>
      <c r="G4" s="3">
        <v>90</v>
      </c>
      <c r="H4" s="3" t="s">
        <v>55</v>
      </c>
      <c r="I4" s="7" t="s">
        <v>174</v>
      </c>
      <c r="J4" s="3"/>
      <c r="K4" s="3"/>
      <c r="L4" s="3"/>
      <c r="M4" s="3"/>
      <c r="N4" s="3"/>
      <c r="O4" s="3"/>
      <c r="P4" s="3" t="s">
        <v>52</v>
      </c>
      <c r="Q4" s="6" t="s">
        <v>101</v>
      </c>
      <c r="R4" s="7">
        <v>45691</v>
      </c>
      <c r="S4" s="7">
        <v>45699</v>
      </c>
      <c r="T4" s="7">
        <v>45699</v>
      </c>
      <c r="U4" s="20" t="s">
        <v>619</v>
      </c>
      <c r="V4" s="11">
        <v>1416978</v>
      </c>
      <c r="W4" s="6"/>
      <c r="X4" s="6"/>
      <c r="Y4" s="6"/>
      <c r="Z4" s="6"/>
      <c r="AA4" s="8"/>
      <c r="AB4" s="8"/>
      <c r="AC4" s="6"/>
      <c r="AD4" s="6"/>
      <c r="AE4" s="9"/>
    </row>
    <row r="5" spans="1:31" s="10" customFormat="1" ht="31.5" x14ac:dyDescent="0.25">
      <c r="A5" s="3">
        <v>3</v>
      </c>
      <c r="B5" s="3" t="s">
        <v>32</v>
      </c>
      <c r="C5" s="19" t="s">
        <v>172</v>
      </c>
      <c r="D5" s="4" t="s">
        <v>173</v>
      </c>
      <c r="E5" s="3">
        <v>46</v>
      </c>
      <c r="F5" s="3">
        <v>580</v>
      </c>
      <c r="G5" s="3">
        <v>76.5</v>
      </c>
      <c r="H5" s="3" t="s">
        <v>55</v>
      </c>
      <c r="I5" s="7" t="s">
        <v>175</v>
      </c>
      <c r="J5" s="3"/>
      <c r="K5" s="3"/>
      <c r="L5" s="3"/>
      <c r="M5" s="3"/>
      <c r="N5" s="3"/>
      <c r="O5" s="3"/>
      <c r="P5" s="3"/>
      <c r="Q5" s="6" t="s">
        <v>101</v>
      </c>
      <c r="R5" s="7">
        <v>45691</v>
      </c>
      <c r="S5" s="7">
        <v>45693</v>
      </c>
      <c r="T5" s="7">
        <v>45693</v>
      </c>
      <c r="U5" s="6">
        <v>590</v>
      </c>
      <c r="V5" s="11">
        <v>2125468</v>
      </c>
      <c r="W5" s="6"/>
      <c r="X5" s="6"/>
      <c r="Y5" s="6"/>
      <c r="Z5" s="6"/>
      <c r="AA5" s="8"/>
      <c r="AB5" s="8"/>
      <c r="AC5" s="6" t="s">
        <v>392</v>
      </c>
      <c r="AD5" s="6"/>
      <c r="AE5" s="9"/>
    </row>
    <row r="6" spans="1:31" s="10" customFormat="1" ht="31.5" x14ac:dyDescent="0.25">
      <c r="A6" s="3">
        <v>4</v>
      </c>
      <c r="B6" s="3" t="s">
        <v>32</v>
      </c>
      <c r="C6" s="5" t="s">
        <v>176</v>
      </c>
      <c r="D6" s="4" t="s">
        <v>177</v>
      </c>
      <c r="E6" s="6">
        <v>47</v>
      </c>
      <c r="F6" s="6">
        <v>660</v>
      </c>
      <c r="G6" s="3">
        <v>195.9</v>
      </c>
      <c r="H6" s="3" t="s">
        <v>75</v>
      </c>
      <c r="I6" s="7" t="s">
        <v>174</v>
      </c>
      <c r="J6" s="3"/>
      <c r="K6" s="3"/>
      <c r="L6" s="3" t="s">
        <v>1</v>
      </c>
      <c r="M6" s="3"/>
      <c r="N6" s="3"/>
      <c r="O6" s="3"/>
      <c r="P6" s="3"/>
      <c r="Q6" s="6" t="s">
        <v>101</v>
      </c>
      <c r="R6" s="7">
        <v>45749</v>
      </c>
      <c r="S6" s="7">
        <v>45755</v>
      </c>
      <c r="T6" s="7">
        <v>45755</v>
      </c>
      <c r="U6" s="20">
        <v>2065</v>
      </c>
      <c r="V6" s="11">
        <v>961551</v>
      </c>
      <c r="W6" s="6"/>
      <c r="X6" s="6"/>
      <c r="Y6" s="6"/>
      <c r="Z6" s="6"/>
      <c r="AA6" s="8"/>
      <c r="AB6" s="8"/>
      <c r="AC6" s="6" t="s">
        <v>1667</v>
      </c>
      <c r="AD6" s="6"/>
      <c r="AE6" s="9"/>
    </row>
    <row r="7" spans="1:31" s="10" customFormat="1" ht="15.75" x14ac:dyDescent="0.25">
      <c r="A7" s="3">
        <v>5</v>
      </c>
      <c r="B7" s="3" t="s">
        <v>32</v>
      </c>
      <c r="C7" s="5" t="s">
        <v>188</v>
      </c>
      <c r="D7" s="4" t="s">
        <v>189</v>
      </c>
      <c r="E7" s="6">
        <v>34</v>
      </c>
      <c r="F7" s="6">
        <v>754</v>
      </c>
      <c r="G7" s="3">
        <v>1675</v>
      </c>
      <c r="H7" s="3" t="s">
        <v>75</v>
      </c>
      <c r="I7" s="7"/>
      <c r="J7" s="3"/>
      <c r="K7" s="3"/>
      <c r="L7" s="3"/>
      <c r="M7" s="3"/>
      <c r="N7" s="3"/>
      <c r="O7" s="3"/>
      <c r="P7" s="3"/>
      <c r="Q7" s="6" t="s">
        <v>190</v>
      </c>
      <c r="R7" s="7">
        <v>45351</v>
      </c>
      <c r="S7" s="7"/>
      <c r="T7" s="7"/>
      <c r="U7" s="20"/>
      <c r="V7" s="11"/>
      <c r="W7" s="6"/>
      <c r="X7" s="6"/>
      <c r="Y7" s="6"/>
      <c r="Z7" s="6" t="s">
        <v>191</v>
      </c>
      <c r="AA7" s="8"/>
      <c r="AB7" s="8" t="s">
        <v>192</v>
      </c>
      <c r="AC7" s="6"/>
      <c r="AD7" s="6"/>
      <c r="AE7" s="9"/>
    </row>
    <row r="8" spans="1:31" s="10" customFormat="1" ht="94.5" x14ac:dyDescent="0.25">
      <c r="A8" s="3">
        <v>6</v>
      </c>
      <c r="B8" s="3" t="s">
        <v>32</v>
      </c>
      <c r="C8" s="5" t="s">
        <v>314</v>
      </c>
      <c r="D8" s="4" t="s">
        <v>315</v>
      </c>
      <c r="E8" s="6">
        <v>14</v>
      </c>
      <c r="F8" s="6">
        <v>68</v>
      </c>
      <c r="G8" s="3">
        <v>150.80000000000001</v>
      </c>
      <c r="H8" s="3" t="s">
        <v>55</v>
      </c>
      <c r="I8" s="7">
        <v>45674</v>
      </c>
      <c r="J8" s="3"/>
      <c r="K8" s="3"/>
      <c r="L8" s="3"/>
      <c r="M8" s="3"/>
      <c r="N8" s="3" t="s">
        <v>56</v>
      </c>
      <c r="O8" s="3"/>
      <c r="P8" s="3"/>
      <c r="Q8" s="6" t="s">
        <v>101</v>
      </c>
      <c r="R8" s="7"/>
      <c r="S8" s="7"/>
      <c r="T8" s="7"/>
      <c r="U8" s="20"/>
      <c r="V8" s="11"/>
      <c r="W8" s="6"/>
      <c r="X8" s="6"/>
      <c r="Y8" s="6"/>
      <c r="Z8" s="6"/>
      <c r="AA8" s="8"/>
      <c r="AB8" s="8"/>
      <c r="AC8" s="6" t="s">
        <v>316</v>
      </c>
      <c r="AD8" s="6"/>
      <c r="AE8" s="9"/>
    </row>
    <row r="9" spans="1:31" s="10" customFormat="1" ht="31.5" x14ac:dyDescent="0.25">
      <c r="A9" s="3">
        <v>7</v>
      </c>
      <c r="B9" s="3" t="s">
        <v>32</v>
      </c>
      <c r="C9" s="5" t="s">
        <v>327</v>
      </c>
      <c r="D9" s="4" t="s">
        <v>328</v>
      </c>
      <c r="E9" s="6">
        <v>29</v>
      </c>
      <c r="F9" s="6">
        <v>530</v>
      </c>
      <c r="G9" s="3">
        <v>100</v>
      </c>
      <c r="H9" s="3" t="s">
        <v>55</v>
      </c>
      <c r="I9" s="7">
        <v>45677</v>
      </c>
      <c r="J9" s="3"/>
      <c r="K9" s="3"/>
      <c r="L9" s="3"/>
      <c r="M9" s="3"/>
      <c r="N9" s="3"/>
      <c r="O9" s="3"/>
      <c r="P9" s="3" t="s">
        <v>52</v>
      </c>
      <c r="Q9" s="6" t="s">
        <v>101</v>
      </c>
      <c r="R9" s="7">
        <v>45691</v>
      </c>
      <c r="S9" s="7">
        <v>45705</v>
      </c>
      <c r="T9" s="7">
        <v>45705</v>
      </c>
      <c r="U9" s="8">
        <v>827</v>
      </c>
      <c r="V9" s="11">
        <v>2125468</v>
      </c>
      <c r="W9" s="6"/>
      <c r="X9" s="6"/>
      <c r="Y9" s="6"/>
      <c r="Z9" s="6"/>
      <c r="AA9" s="8"/>
      <c r="AB9" s="8"/>
      <c r="AC9" s="6" t="s">
        <v>725</v>
      </c>
      <c r="AD9" s="6"/>
      <c r="AE9" s="9"/>
    </row>
    <row r="10" spans="1:31" s="10" customFormat="1" ht="15.75" x14ac:dyDescent="0.25">
      <c r="A10" s="3">
        <v>8</v>
      </c>
      <c r="B10" s="3" t="s">
        <v>32</v>
      </c>
      <c r="C10" s="5" t="s">
        <v>349</v>
      </c>
      <c r="D10" s="4" t="s">
        <v>350</v>
      </c>
      <c r="E10" s="6">
        <v>41</v>
      </c>
      <c r="F10" s="6">
        <v>28</v>
      </c>
      <c r="G10" s="3">
        <v>1840.3</v>
      </c>
      <c r="H10" s="3" t="s">
        <v>51</v>
      </c>
      <c r="I10" s="7">
        <v>45679</v>
      </c>
      <c r="J10" s="3"/>
      <c r="K10" s="3"/>
      <c r="L10" s="3" t="s">
        <v>1</v>
      </c>
      <c r="M10" s="3"/>
      <c r="N10" s="3"/>
      <c r="O10" s="3"/>
      <c r="P10" s="3"/>
      <c r="Q10" s="6" t="s">
        <v>101</v>
      </c>
      <c r="R10" s="7"/>
      <c r="S10" s="7"/>
      <c r="T10" s="7"/>
      <c r="U10" s="20"/>
      <c r="V10" s="11"/>
      <c r="W10" s="6"/>
      <c r="X10" s="6"/>
      <c r="Y10" s="6"/>
      <c r="Z10" s="6"/>
      <c r="AA10" s="8"/>
      <c r="AB10" s="8"/>
      <c r="AC10" s="6"/>
      <c r="AD10" s="6"/>
      <c r="AE10" s="9"/>
    </row>
    <row r="11" spans="1:31" s="10" customFormat="1" ht="31.5" x14ac:dyDescent="0.25">
      <c r="A11" s="3">
        <v>9</v>
      </c>
      <c r="B11" s="3" t="s">
        <v>32</v>
      </c>
      <c r="C11" s="5" t="s">
        <v>359</v>
      </c>
      <c r="D11" s="4" t="s">
        <v>360</v>
      </c>
      <c r="E11" s="6">
        <v>47</v>
      </c>
      <c r="F11" s="6">
        <v>987</v>
      </c>
      <c r="G11" s="3">
        <v>114</v>
      </c>
      <c r="H11" s="3" t="s">
        <v>55</v>
      </c>
      <c r="I11" s="7">
        <v>45680</v>
      </c>
      <c r="J11" s="3"/>
      <c r="K11" s="3"/>
      <c r="L11" s="3"/>
      <c r="M11" s="3"/>
      <c r="N11" s="3"/>
      <c r="O11" s="3"/>
      <c r="P11" s="3" t="s">
        <v>52</v>
      </c>
      <c r="Q11" s="6" t="s">
        <v>101</v>
      </c>
      <c r="R11" s="7">
        <v>45706</v>
      </c>
      <c r="S11" s="7">
        <v>45708</v>
      </c>
      <c r="T11" s="7">
        <v>45708</v>
      </c>
      <c r="U11" s="20">
        <v>916</v>
      </c>
      <c r="V11" s="11">
        <v>2523992</v>
      </c>
      <c r="W11" s="6"/>
      <c r="X11" s="6"/>
      <c r="Y11" s="6"/>
      <c r="Z11" s="6"/>
      <c r="AA11" s="8"/>
      <c r="AB11" s="8"/>
      <c r="AC11" s="6" t="s">
        <v>637</v>
      </c>
      <c r="AD11" s="6"/>
      <c r="AE11" s="9" t="s">
        <v>361</v>
      </c>
    </row>
    <row r="12" spans="1:31" ht="16.5" x14ac:dyDescent="0.25">
      <c r="A12" s="12"/>
      <c r="B12" s="73" t="s">
        <v>365</v>
      </c>
      <c r="C12" s="74"/>
      <c r="D12" s="74"/>
      <c r="E12" s="74"/>
      <c r="F12" s="74"/>
      <c r="G12" s="74"/>
      <c r="H12" s="75"/>
      <c r="I12" s="13"/>
      <c r="J12" s="14">
        <f ca="1">COUNTIF(J3:J11,"CQ")+COUNTIF(J3:J11,"CN")+COUNTIF(J3:J12,"TK")</f>
        <v>0</v>
      </c>
      <c r="K12" s="14">
        <f>COUNTIF(K3:K11,"CMĐ")</f>
        <v>1</v>
      </c>
      <c r="L12" s="14">
        <f>COUNTIF(L3:L11,"XMDT")+COUNTIF(L3:L11,"Mốc")</f>
        <v>2</v>
      </c>
      <c r="M12" s="14">
        <f>COUNTIF(M11,"THÁn")</f>
        <v>0</v>
      </c>
      <c r="N12" s="14">
        <f>COUNTIF(N3:N11,"TÒA")</f>
        <v>1</v>
      </c>
      <c r="O12" s="14">
        <f>COUNTIF(O3:O11,"Cấp GCN")</f>
        <v>0</v>
      </c>
      <c r="P12" s="14">
        <f>COUNTIF(P3:P11,"SHN")</f>
        <v>3</v>
      </c>
      <c r="Q12" s="15"/>
      <c r="R12" s="13"/>
      <c r="S12" s="15"/>
      <c r="T12" s="15"/>
      <c r="U12" s="16"/>
      <c r="V12" s="11"/>
      <c r="W12" s="17"/>
      <c r="X12" s="2"/>
      <c r="AD12" s="14">
        <f>COUNTIF(AD11,"kt")</f>
        <v>0</v>
      </c>
    </row>
    <row r="13" spans="1:31" s="10" customFormat="1" ht="31.5" x14ac:dyDescent="0.25">
      <c r="A13" s="3">
        <v>10</v>
      </c>
      <c r="B13" s="3" t="s">
        <v>32</v>
      </c>
      <c r="C13" s="5" t="s">
        <v>461</v>
      </c>
      <c r="D13" s="4" t="s">
        <v>462</v>
      </c>
      <c r="E13" s="6">
        <v>29</v>
      </c>
      <c r="F13" s="6">
        <v>561</v>
      </c>
      <c r="G13" s="3">
        <v>100</v>
      </c>
      <c r="H13" s="3" t="s">
        <v>55</v>
      </c>
      <c r="I13" s="7">
        <v>45699</v>
      </c>
      <c r="J13" s="3"/>
      <c r="K13" s="3"/>
      <c r="L13" s="3"/>
      <c r="M13" s="3"/>
      <c r="N13" s="3"/>
      <c r="O13" s="3"/>
      <c r="P13" s="3" t="s">
        <v>52</v>
      </c>
      <c r="Q13" s="6" t="s">
        <v>101</v>
      </c>
      <c r="R13" s="7">
        <v>45706</v>
      </c>
      <c r="S13" s="7">
        <v>45712</v>
      </c>
      <c r="T13" s="7">
        <v>45712</v>
      </c>
      <c r="U13" s="20">
        <v>999</v>
      </c>
      <c r="V13" s="11">
        <v>1416978</v>
      </c>
      <c r="W13" s="6"/>
      <c r="X13" s="6"/>
      <c r="Y13" s="6"/>
      <c r="Z13" s="6"/>
      <c r="AA13" s="8"/>
      <c r="AB13" s="8"/>
      <c r="AC13" s="6" t="s">
        <v>809</v>
      </c>
      <c r="AD13" s="6"/>
      <c r="AE13" s="9"/>
    </row>
    <row r="14" spans="1:31" s="10" customFormat="1" ht="47.25" x14ac:dyDescent="0.25">
      <c r="A14" s="3">
        <v>11</v>
      </c>
      <c r="B14" s="3" t="s">
        <v>32</v>
      </c>
      <c r="C14" s="5" t="s">
        <v>463</v>
      </c>
      <c r="D14" s="4" t="s">
        <v>464</v>
      </c>
      <c r="E14" s="6">
        <v>47</v>
      </c>
      <c r="F14" s="6">
        <v>618</v>
      </c>
      <c r="G14" s="3">
        <v>90</v>
      </c>
      <c r="H14" s="3" t="s">
        <v>55</v>
      </c>
      <c r="I14" s="7" t="s">
        <v>1879</v>
      </c>
      <c r="J14" s="3"/>
      <c r="K14" s="3"/>
      <c r="L14" s="3"/>
      <c r="M14" s="3"/>
      <c r="N14" s="3"/>
      <c r="O14" s="3"/>
      <c r="P14" s="3" t="s">
        <v>52</v>
      </c>
      <c r="Q14" s="6" t="s">
        <v>101</v>
      </c>
      <c r="R14" s="7">
        <v>45806</v>
      </c>
      <c r="S14" s="7">
        <v>45807</v>
      </c>
      <c r="T14" s="7">
        <v>45807</v>
      </c>
      <c r="U14" s="20">
        <v>1097</v>
      </c>
      <c r="V14" s="11">
        <v>2125468</v>
      </c>
      <c r="W14" s="6"/>
      <c r="X14" s="6"/>
      <c r="Y14" s="6"/>
      <c r="Z14" s="6"/>
      <c r="AA14" s="8"/>
      <c r="AB14" s="6" t="s">
        <v>2415</v>
      </c>
      <c r="AC14" s="6" t="s">
        <v>621</v>
      </c>
      <c r="AD14" s="6"/>
      <c r="AE14" s="9"/>
    </row>
    <row r="15" spans="1:31" s="10" customFormat="1" ht="47.25" x14ac:dyDescent="0.25">
      <c r="A15" s="3">
        <v>12</v>
      </c>
      <c r="B15" s="3" t="s">
        <v>32</v>
      </c>
      <c r="C15" s="5" t="s">
        <v>465</v>
      </c>
      <c r="D15" s="4" t="s">
        <v>466</v>
      </c>
      <c r="E15" s="6">
        <v>29</v>
      </c>
      <c r="F15" s="6">
        <v>766</v>
      </c>
      <c r="G15" s="3">
        <v>1344.4</v>
      </c>
      <c r="H15" s="3" t="s">
        <v>51</v>
      </c>
      <c r="I15" s="7">
        <v>45699</v>
      </c>
      <c r="J15" s="3"/>
      <c r="K15" s="3" t="s">
        <v>62</v>
      </c>
      <c r="L15" s="3"/>
      <c r="M15" s="3"/>
      <c r="N15" s="3"/>
      <c r="O15" s="3"/>
      <c r="P15" s="3"/>
      <c r="Q15" s="6" t="s">
        <v>101</v>
      </c>
      <c r="R15" s="7"/>
      <c r="S15" s="7"/>
      <c r="T15" s="7"/>
      <c r="U15" s="20"/>
      <c r="V15" s="11"/>
      <c r="W15" s="6"/>
      <c r="X15" s="6"/>
      <c r="Y15" s="6"/>
      <c r="Z15" s="6"/>
      <c r="AA15" s="6"/>
      <c r="AB15" s="8"/>
      <c r="AC15" s="6" t="s">
        <v>745</v>
      </c>
      <c r="AD15" s="6"/>
      <c r="AE15" s="9"/>
    </row>
    <row r="16" spans="1:31" s="10" customFormat="1" ht="31.5" x14ac:dyDescent="0.25">
      <c r="A16" s="3">
        <v>13</v>
      </c>
      <c r="B16" s="3" t="s">
        <v>32</v>
      </c>
      <c r="C16" s="5" t="s">
        <v>495</v>
      </c>
      <c r="D16" s="4" t="s">
        <v>496</v>
      </c>
      <c r="E16" s="6">
        <v>34</v>
      </c>
      <c r="F16" s="6">
        <v>839</v>
      </c>
      <c r="G16" s="3">
        <v>116.8</v>
      </c>
      <c r="H16" s="3" t="s">
        <v>55</v>
      </c>
      <c r="I16" s="7">
        <v>45700</v>
      </c>
      <c r="J16" s="3" t="s">
        <v>76</v>
      </c>
      <c r="K16" s="3"/>
      <c r="L16" s="3"/>
      <c r="M16" s="3"/>
      <c r="N16" s="3"/>
      <c r="O16" s="3"/>
      <c r="P16" s="3"/>
      <c r="Q16" s="6" t="s">
        <v>101</v>
      </c>
      <c r="R16" s="7">
        <v>45707</v>
      </c>
      <c r="S16" s="7">
        <v>45709</v>
      </c>
      <c r="T16" s="7">
        <v>45709</v>
      </c>
      <c r="U16" s="20">
        <v>945</v>
      </c>
      <c r="V16" s="11">
        <v>809727</v>
      </c>
      <c r="W16" s="6"/>
      <c r="X16" s="6"/>
      <c r="Y16" s="6"/>
      <c r="Z16" s="6" t="s">
        <v>680</v>
      </c>
      <c r="AA16" s="8" t="s">
        <v>681</v>
      </c>
      <c r="AB16" s="8"/>
      <c r="AC16" s="6"/>
      <c r="AD16" s="6"/>
      <c r="AE16" s="9"/>
    </row>
    <row r="17" spans="1:31" s="10" customFormat="1" ht="29.25" customHeight="1" x14ac:dyDescent="0.25">
      <c r="A17" s="3">
        <v>14</v>
      </c>
      <c r="B17" s="3" t="s">
        <v>32</v>
      </c>
      <c r="C17" s="5" t="s">
        <v>497</v>
      </c>
      <c r="D17" s="4" t="s">
        <v>496</v>
      </c>
      <c r="E17" s="6">
        <v>34</v>
      </c>
      <c r="F17" s="6">
        <v>837</v>
      </c>
      <c r="G17" s="3">
        <v>126.3</v>
      </c>
      <c r="H17" s="3" t="s">
        <v>55</v>
      </c>
      <c r="I17" s="7">
        <v>45700</v>
      </c>
      <c r="J17" s="3" t="s">
        <v>76</v>
      </c>
      <c r="K17" s="3"/>
      <c r="L17" s="3"/>
      <c r="M17" s="3"/>
      <c r="N17" s="3"/>
      <c r="O17" s="3"/>
      <c r="P17" s="3"/>
      <c r="Q17" s="6" t="s">
        <v>101</v>
      </c>
      <c r="R17" s="7">
        <v>45707</v>
      </c>
      <c r="S17" s="7">
        <v>45709</v>
      </c>
      <c r="T17" s="7">
        <v>45709</v>
      </c>
      <c r="U17" s="20">
        <v>944</v>
      </c>
      <c r="V17" s="11">
        <v>809727</v>
      </c>
      <c r="W17" s="6"/>
      <c r="X17" s="6"/>
      <c r="Y17" s="6"/>
      <c r="Z17" s="6" t="s">
        <v>699</v>
      </c>
      <c r="AA17" s="8" t="s">
        <v>698</v>
      </c>
      <c r="AB17" s="8"/>
      <c r="AC17" s="6"/>
      <c r="AD17" s="6"/>
      <c r="AE17" s="9"/>
    </row>
    <row r="18" spans="1:31" s="10" customFormat="1" ht="31.5" x14ac:dyDescent="0.25">
      <c r="A18" s="3">
        <v>15</v>
      </c>
      <c r="B18" s="3" t="s">
        <v>32</v>
      </c>
      <c r="C18" s="5" t="s">
        <v>498</v>
      </c>
      <c r="D18" s="4" t="s">
        <v>496</v>
      </c>
      <c r="E18" s="6">
        <v>34</v>
      </c>
      <c r="F18" s="6">
        <v>840</v>
      </c>
      <c r="G18" s="3">
        <v>528</v>
      </c>
      <c r="H18" s="3" t="s">
        <v>55</v>
      </c>
      <c r="I18" s="7">
        <v>45700</v>
      </c>
      <c r="J18" s="3" t="s">
        <v>76</v>
      </c>
      <c r="K18" s="3"/>
      <c r="L18" s="3"/>
      <c r="M18" s="3"/>
      <c r="N18" s="3"/>
      <c r="O18" s="3"/>
      <c r="P18" s="3"/>
      <c r="Q18" s="6" t="s">
        <v>101</v>
      </c>
      <c r="R18" s="7">
        <v>45716</v>
      </c>
      <c r="S18" s="7">
        <v>45719</v>
      </c>
      <c r="T18" s="7">
        <v>45719</v>
      </c>
      <c r="U18" s="20">
        <v>1166</v>
      </c>
      <c r="V18" s="11">
        <v>1771278</v>
      </c>
      <c r="W18" s="6"/>
      <c r="X18" s="6"/>
      <c r="Y18" s="6"/>
      <c r="Z18" s="6" t="s">
        <v>885</v>
      </c>
      <c r="AA18" s="8" t="s">
        <v>886</v>
      </c>
      <c r="AB18" s="8"/>
      <c r="AC18" s="6"/>
      <c r="AD18" s="6"/>
      <c r="AE18" s="9"/>
    </row>
    <row r="19" spans="1:31" s="10" customFormat="1" ht="31.5" x14ac:dyDescent="0.25">
      <c r="A19" s="3">
        <v>16</v>
      </c>
      <c r="B19" s="3" t="s">
        <v>32</v>
      </c>
      <c r="C19" s="5" t="s">
        <v>506</v>
      </c>
      <c r="D19" s="4" t="s">
        <v>507</v>
      </c>
      <c r="E19" s="6">
        <v>24</v>
      </c>
      <c r="F19" s="6">
        <v>86</v>
      </c>
      <c r="G19" s="3">
        <v>133.4</v>
      </c>
      <c r="H19" s="3" t="s">
        <v>75</v>
      </c>
      <c r="I19" s="7">
        <v>45701</v>
      </c>
      <c r="J19" s="3"/>
      <c r="K19" s="3"/>
      <c r="L19" s="3"/>
      <c r="M19" s="3"/>
      <c r="N19" s="3"/>
      <c r="O19" s="3"/>
      <c r="P19" s="3" t="s">
        <v>52</v>
      </c>
      <c r="Q19" s="6" t="s">
        <v>101</v>
      </c>
      <c r="R19" s="7">
        <v>45716</v>
      </c>
      <c r="S19" s="7">
        <v>45720</v>
      </c>
      <c r="T19" s="7">
        <v>45720</v>
      </c>
      <c r="U19" s="6">
        <v>1209</v>
      </c>
      <c r="V19" s="11">
        <v>1682662</v>
      </c>
      <c r="W19" s="6"/>
      <c r="X19" s="6"/>
      <c r="Y19" s="6"/>
      <c r="Z19" s="6"/>
      <c r="AA19" s="8"/>
      <c r="AB19" s="8"/>
      <c r="AC19" s="6" t="s">
        <v>1164</v>
      </c>
      <c r="AD19" s="6"/>
      <c r="AE19" s="9"/>
    </row>
    <row r="20" spans="1:31" s="10" customFormat="1" ht="31.5" x14ac:dyDescent="0.25">
      <c r="A20" s="3">
        <v>17</v>
      </c>
      <c r="B20" s="3" t="s">
        <v>32</v>
      </c>
      <c r="C20" s="5" t="s">
        <v>622</v>
      </c>
      <c r="D20" s="4" t="s">
        <v>623</v>
      </c>
      <c r="E20" s="6">
        <v>24</v>
      </c>
      <c r="F20" s="6">
        <v>91</v>
      </c>
      <c r="G20" s="3">
        <v>1505.6</v>
      </c>
      <c r="H20" s="3" t="s">
        <v>75</v>
      </c>
      <c r="I20" s="7">
        <v>45708</v>
      </c>
      <c r="J20" s="3"/>
      <c r="K20" s="3"/>
      <c r="L20" s="3" t="s">
        <v>98</v>
      </c>
      <c r="M20" s="3"/>
      <c r="N20" s="3"/>
      <c r="O20" s="3"/>
      <c r="P20" s="3"/>
      <c r="Q20" s="6" t="s">
        <v>101</v>
      </c>
      <c r="R20" s="7">
        <v>45730</v>
      </c>
      <c r="S20" s="7">
        <v>45734</v>
      </c>
      <c r="T20" s="7">
        <v>45734</v>
      </c>
      <c r="U20" s="6">
        <v>1535</v>
      </c>
      <c r="V20" s="11">
        <v>2758439</v>
      </c>
      <c r="W20" s="6"/>
      <c r="X20" s="6"/>
      <c r="Y20" s="6"/>
      <c r="Z20" s="6"/>
      <c r="AA20" s="8"/>
      <c r="AB20" s="8"/>
      <c r="AC20" s="6" t="s">
        <v>719</v>
      </c>
      <c r="AD20" s="6" t="s">
        <v>624</v>
      </c>
      <c r="AE20" s="9"/>
    </row>
    <row r="21" spans="1:31" s="10" customFormat="1" ht="94.5" x14ac:dyDescent="0.25">
      <c r="A21" s="3">
        <v>18</v>
      </c>
      <c r="B21" s="3" t="s">
        <v>32</v>
      </c>
      <c r="C21" s="5" t="s">
        <v>314</v>
      </c>
      <c r="D21" s="4" t="s">
        <v>315</v>
      </c>
      <c r="E21" s="6">
        <v>14</v>
      </c>
      <c r="F21" s="6">
        <v>68</v>
      </c>
      <c r="G21" s="3">
        <v>150.80000000000001</v>
      </c>
      <c r="H21" s="3" t="s">
        <v>55</v>
      </c>
      <c r="I21" s="7">
        <v>45708</v>
      </c>
      <c r="J21" s="3"/>
      <c r="K21" s="3"/>
      <c r="L21" s="3"/>
      <c r="M21" s="3"/>
      <c r="N21" s="3" t="s">
        <v>56</v>
      </c>
      <c r="O21" s="3"/>
      <c r="P21" s="3"/>
      <c r="Q21" s="6" t="s">
        <v>101</v>
      </c>
      <c r="R21" s="7">
        <v>45771</v>
      </c>
      <c r="S21" s="7">
        <v>45776</v>
      </c>
      <c r="T21" s="7">
        <v>45776</v>
      </c>
      <c r="U21" s="6">
        <v>290</v>
      </c>
      <c r="V21" s="11">
        <v>961551</v>
      </c>
      <c r="W21" s="6"/>
      <c r="X21" s="6"/>
      <c r="Y21" s="6"/>
      <c r="Z21" s="6"/>
      <c r="AA21" s="8"/>
      <c r="AB21" s="8"/>
      <c r="AC21" s="6" t="s">
        <v>636</v>
      </c>
      <c r="AD21" s="6"/>
      <c r="AE21" s="9"/>
    </row>
    <row r="22" spans="1:31" ht="16.5" x14ac:dyDescent="0.25">
      <c r="A22" s="12"/>
      <c r="B22" s="73" t="s">
        <v>706</v>
      </c>
      <c r="C22" s="74"/>
      <c r="D22" s="74"/>
      <c r="E22" s="74"/>
      <c r="F22" s="74"/>
      <c r="G22" s="74"/>
      <c r="H22" s="75"/>
      <c r="I22" s="13"/>
      <c r="J22" s="14">
        <f>COUNTIF(J13:J21,"CT")+COUNTIF(J21,"CN")+COUNTIF(J21,"TK")</f>
        <v>3</v>
      </c>
      <c r="K22" s="14">
        <f>COUNTIF(K13:K21,"CMĐ")</f>
        <v>1</v>
      </c>
      <c r="L22" s="14">
        <f>COUNTIF(L13:L21,"XMDT")+COUNTIF(L13:L21,"Mốc")</f>
        <v>1</v>
      </c>
      <c r="M22" s="14">
        <f>COUNTIF(M21,"THÁn")</f>
        <v>0</v>
      </c>
      <c r="N22" s="14">
        <f>COUNTIF(N21,"TÒA")</f>
        <v>1</v>
      </c>
      <c r="O22" s="14">
        <f>COUNTIF(O13:O21,"Cấp GCN")</f>
        <v>0</v>
      </c>
      <c r="P22" s="14">
        <f>COUNTIF(P13:P21,"SHN")</f>
        <v>3</v>
      </c>
      <c r="Q22" s="15"/>
      <c r="R22" s="13"/>
      <c r="S22" s="15"/>
      <c r="T22" s="15"/>
      <c r="U22" s="16"/>
      <c r="V22" s="11"/>
      <c r="W22" s="17"/>
      <c r="X22" s="2"/>
      <c r="AD22" s="14">
        <f>COUNTIF(AD21,"kt")</f>
        <v>0</v>
      </c>
    </row>
    <row r="23" spans="1:31" s="10" customFormat="1" ht="15.75" x14ac:dyDescent="0.25">
      <c r="A23" s="3">
        <v>19</v>
      </c>
      <c r="B23" s="3" t="s">
        <v>32</v>
      </c>
      <c r="C23" s="5" t="s">
        <v>749</v>
      </c>
      <c r="D23" s="4" t="s">
        <v>750</v>
      </c>
      <c r="E23" s="6">
        <v>46</v>
      </c>
      <c r="F23" s="6">
        <v>811</v>
      </c>
      <c r="G23" s="3">
        <v>144.5</v>
      </c>
      <c r="H23" s="3" t="s">
        <v>75</v>
      </c>
      <c r="I23" s="7">
        <v>45715</v>
      </c>
      <c r="J23" s="3"/>
      <c r="K23" s="3"/>
      <c r="L23" s="3"/>
      <c r="M23" s="3"/>
      <c r="N23" s="3"/>
      <c r="O23" s="3"/>
      <c r="P23" s="3" t="s">
        <v>52</v>
      </c>
      <c r="Q23" s="6" t="s">
        <v>101</v>
      </c>
      <c r="R23" s="7"/>
      <c r="S23" s="7"/>
      <c r="T23" s="7"/>
      <c r="U23" s="20"/>
      <c r="V23" s="11"/>
      <c r="W23" s="6"/>
      <c r="X23" s="6"/>
      <c r="Y23" s="6"/>
      <c r="Z23" s="6"/>
      <c r="AA23" s="8"/>
      <c r="AB23" s="8"/>
      <c r="AC23" s="6"/>
      <c r="AD23" s="6"/>
      <c r="AE23" s="9"/>
    </row>
    <row r="24" spans="1:31" s="10" customFormat="1" ht="15.75" x14ac:dyDescent="0.25">
      <c r="A24" s="3">
        <v>20</v>
      </c>
      <c r="B24" s="3" t="s">
        <v>32</v>
      </c>
      <c r="C24" s="5" t="s">
        <v>844</v>
      </c>
      <c r="D24" s="4" t="s">
        <v>845</v>
      </c>
      <c r="E24" s="6">
        <v>39</v>
      </c>
      <c r="F24" s="6">
        <v>70</v>
      </c>
      <c r="G24" s="3">
        <v>1717</v>
      </c>
      <c r="H24" s="3" t="s">
        <v>75</v>
      </c>
      <c r="I24" s="7">
        <v>45720</v>
      </c>
      <c r="J24" s="3"/>
      <c r="K24" s="3" t="s">
        <v>62</v>
      </c>
      <c r="L24" s="3"/>
      <c r="M24" s="3"/>
      <c r="N24" s="3"/>
      <c r="O24" s="3"/>
      <c r="P24" s="3"/>
      <c r="Q24" s="6" t="s">
        <v>101</v>
      </c>
      <c r="R24" s="7"/>
      <c r="S24" s="7"/>
      <c r="T24" s="7"/>
      <c r="U24" s="20"/>
      <c r="V24" s="11"/>
      <c r="W24" s="6"/>
      <c r="X24" s="6"/>
      <c r="Y24" s="6"/>
      <c r="Z24" s="6"/>
      <c r="AA24" s="8"/>
      <c r="AB24" s="8"/>
      <c r="AC24" s="6"/>
      <c r="AD24" s="6"/>
      <c r="AE24" s="9"/>
    </row>
    <row r="25" spans="1:31" s="10" customFormat="1" ht="47.25" x14ac:dyDescent="0.25">
      <c r="A25" s="3">
        <v>21</v>
      </c>
      <c r="B25" s="3" t="s">
        <v>32</v>
      </c>
      <c r="C25" s="5" t="s">
        <v>870</v>
      </c>
      <c r="D25" s="4" t="s">
        <v>871</v>
      </c>
      <c r="E25" s="6">
        <v>31</v>
      </c>
      <c r="F25" s="6">
        <v>380</v>
      </c>
      <c r="G25" s="3">
        <v>134</v>
      </c>
      <c r="H25" s="3" t="s">
        <v>55</v>
      </c>
      <c r="I25" s="7">
        <v>45721</v>
      </c>
      <c r="J25" s="3"/>
      <c r="K25" s="3"/>
      <c r="L25" s="3" t="s">
        <v>98</v>
      </c>
      <c r="M25" s="3"/>
      <c r="N25" s="3"/>
      <c r="O25" s="3"/>
      <c r="P25" s="3"/>
      <c r="Q25" s="6" t="s">
        <v>101</v>
      </c>
      <c r="R25" s="7">
        <v>45730</v>
      </c>
      <c r="S25" s="7">
        <v>45734</v>
      </c>
      <c r="T25" s="7">
        <v>45734</v>
      </c>
      <c r="U25" s="6">
        <v>1537</v>
      </c>
      <c r="V25" s="11">
        <v>2583973</v>
      </c>
      <c r="W25" s="6"/>
      <c r="X25" s="6"/>
      <c r="Y25" s="6"/>
      <c r="Z25" s="6"/>
      <c r="AA25" s="8"/>
      <c r="AB25" s="8"/>
      <c r="AC25" s="6" t="s">
        <v>872</v>
      </c>
      <c r="AD25" s="6"/>
      <c r="AE25" s="9"/>
    </row>
    <row r="26" spans="1:31" s="10" customFormat="1" ht="15.75" x14ac:dyDescent="0.25">
      <c r="A26" s="3">
        <v>22</v>
      </c>
      <c r="B26" s="3" t="s">
        <v>32</v>
      </c>
      <c r="C26" s="5" t="s">
        <v>907</v>
      </c>
      <c r="D26" s="4" t="s">
        <v>908</v>
      </c>
      <c r="E26" s="6">
        <v>47</v>
      </c>
      <c r="F26" s="6">
        <v>126</v>
      </c>
      <c r="G26" s="3">
        <v>106.9</v>
      </c>
      <c r="H26" s="3" t="s">
        <v>55</v>
      </c>
      <c r="I26" s="7">
        <v>45723</v>
      </c>
      <c r="J26" s="3"/>
      <c r="K26" s="3"/>
      <c r="L26" s="3" t="s">
        <v>1</v>
      </c>
      <c r="M26" s="3"/>
      <c r="N26" s="3"/>
      <c r="O26" s="3"/>
      <c r="P26" s="3"/>
      <c r="Q26" s="6" t="s">
        <v>101</v>
      </c>
      <c r="R26" s="7"/>
      <c r="S26" s="7"/>
      <c r="T26" s="7"/>
      <c r="U26" s="20"/>
      <c r="V26" s="11"/>
      <c r="W26" s="6"/>
      <c r="X26" s="6"/>
      <c r="Y26" s="6"/>
      <c r="Z26" s="6"/>
      <c r="AA26" s="8"/>
      <c r="AB26" s="8"/>
      <c r="AC26" s="6"/>
      <c r="AD26" s="6"/>
      <c r="AE26" s="9"/>
    </row>
    <row r="27" spans="1:31" s="10" customFormat="1" ht="78.75" x14ac:dyDescent="0.25">
      <c r="A27" s="3">
        <v>23</v>
      </c>
      <c r="B27" s="3" t="s">
        <v>32</v>
      </c>
      <c r="C27" s="5" t="s">
        <v>918</v>
      </c>
      <c r="D27" s="4" t="s">
        <v>315</v>
      </c>
      <c r="E27" s="6">
        <v>49</v>
      </c>
      <c r="F27" s="6" t="s">
        <v>919</v>
      </c>
      <c r="G27" s="3">
        <v>1318.8</v>
      </c>
      <c r="H27" s="3" t="s">
        <v>51</v>
      </c>
      <c r="I27" s="7">
        <v>45721</v>
      </c>
      <c r="J27" s="3"/>
      <c r="K27" s="3"/>
      <c r="L27" s="3"/>
      <c r="M27" s="3"/>
      <c r="N27" s="3" t="s">
        <v>56</v>
      </c>
      <c r="O27" s="3"/>
      <c r="P27" s="3"/>
      <c r="Q27" s="6" t="s">
        <v>101</v>
      </c>
      <c r="R27" s="7"/>
      <c r="S27" s="7"/>
      <c r="T27" s="7"/>
      <c r="U27" s="20"/>
      <c r="V27" s="11"/>
      <c r="W27" s="6"/>
      <c r="X27" s="6"/>
      <c r="Y27" s="6"/>
      <c r="Z27" s="6"/>
      <c r="AA27" s="8"/>
      <c r="AB27" s="8"/>
      <c r="AC27" s="6" t="s">
        <v>920</v>
      </c>
      <c r="AD27" s="6"/>
      <c r="AE27" s="9"/>
    </row>
    <row r="28" spans="1:31" s="10" customFormat="1" ht="15.75" x14ac:dyDescent="0.25">
      <c r="A28" s="3">
        <v>24</v>
      </c>
      <c r="B28" s="3" t="s">
        <v>32</v>
      </c>
      <c r="C28" s="5" t="s">
        <v>1041</v>
      </c>
      <c r="D28" s="4" t="s">
        <v>158</v>
      </c>
      <c r="E28" s="6">
        <v>31</v>
      </c>
      <c r="F28" s="6">
        <v>67</v>
      </c>
      <c r="G28" s="3">
        <v>176</v>
      </c>
      <c r="H28" s="3" t="s">
        <v>55</v>
      </c>
      <c r="I28" s="7">
        <v>45730</v>
      </c>
      <c r="J28" s="3"/>
      <c r="K28" s="3"/>
      <c r="L28" s="3" t="s">
        <v>1</v>
      </c>
      <c r="M28" s="3"/>
      <c r="N28" s="3"/>
      <c r="O28" s="3"/>
      <c r="P28" s="3"/>
      <c r="Q28" s="6" t="s">
        <v>101</v>
      </c>
      <c r="R28" s="7"/>
      <c r="S28" s="7"/>
      <c r="T28" s="7"/>
      <c r="U28" s="20"/>
      <c r="V28" s="11"/>
      <c r="W28" s="6"/>
      <c r="X28" s="6"/>
      <c r="Y28" s="6"/>
      <c r="Z28" s="6"/>
      <c r="AA28" s="8"/>
      <c r="AB28" s="8"/>
      <c r="AC28" s="6"/>
      <c r="AD28" s="6"/>
      <c r="AE28" s="9"/>
    </row>
    <row r="29" spans="1:31" s="10" customFormat="1" ht="78.75" x14ac:dyDescent="0.25">
      <c r="A29" s="3">
        <v>25</v>
      </c>
      <c r="B29" s="3" t="s">
        <v>32</v>
      </c>
      <c r="C29" s="5" t="s">
        <v>1052</v>
      </c>
      <c r="D29" s="4" t="s">
        <v>565</v>
      </c>
      <c r="E29" s="6">
        <v>49</v>
      </c>
      <c r="F29" s="6">
        <v>389</v>
      </c>
      <c r="G29" s="3">
        <v>552.20000000000005</v>
      </c>
      <c r="H29" s="3" t="s">
        <v>75</v>
      </c>
      <c r="I29" s="7">
        <v>45730</v>
      </c>
      <c r="J29" s="3" t="s">
        <v>823</v>
      </c>
      <c r="K29" s="3"/>
      <c r="L29" s="3"/>
      <c r="M29" s="3"/>
      <c r="N29" s="3"/>
      <c r="O29" s="3"/>
      <c r="P29" s="3"/>
      <c r="Q29" s="6" t="s">
        <v>101</v>
      </c>
      <c r="R29" s="7" t="s">
        <v>2613</v>
      </c>
      <c r="S29" s="7">
        <v>45775</v>
      </c>
      <c r="T29" s="7">
        <v>45775</v>
      </c>
      <c r="U29" s="20">
        <v>241</v>
      </c>
      <c r="V29" s="11">
        <v>961551</v>
      </c>
      <c r="W29" s="6"/>
      <c r="X29" s="6"/>
      <c r="Y29" s="6" t="s">
        <v>2612</v>
      </c>
      <c r="Z29" s="6" t="s">
        <v>1843</v>
      </c>
      <c r="AA29" s="8" t="s">
        <v>1846</v>
      </c>
      <c r="AB29" s="8" t="s">
        <v>1918</v>
      </c>
      <c r="AC29" s="6" t="s">
        <v>1967</v>
      </c>
      <c r="AD29" s="6"/>
      <c r="AE29" s="9"/>
    </row>
    <row r="30" spans="1:31" s="10" customFormat="1" ht="78.75" x14ac:dyDescent="0.25">
      <c r="A30" s="3">
        <v>26</v>
      </c>
      <c r="B30" s="3" t="s">
        <v>32</v>
      </c>
      <c r="C30" s="5" t="s">
        <v>1053</v>
      </c>
      <c r="D30" s="4" t="s">
        <v>491</v>
      </c>
      <c r="E30" s="6">
        <v>14</v>
      </c>
      <c r="F30" s="6">
        <v>189</v>
      </c>
      <c r="G30" s="3">
        <v>64.5</v>
      </c>
      <c r="H30" s="3" t="s">
        <v>55</v>
      </c>
      <c r="I30" s="7">
        <v>45730</v>
      </c>
      <c r="J30" s="3"/>
      <c r="K30" s="3"/>
      <c r="L30" s="3"/>
      <c r="M30" s="3" t="s">
        <v>491</v>
      </c>
      <c r="N30" s="3"/>
      <c r="O30" s="3"/>
      <c r="P30" s="3"/>
      <c r="Q30" s="6" t="s">
        <v>101</v>
      </c>
      <c r="R30" s="7"/>
      <c r="S30" s="7"/>
      <c r="T30" s="7"/>
      <c r="U30" s="20"/>
      <c r="V30" s="11"/>
      <c r="W30" s="6"/>
      <c r="X30" s="6"/>
      <c r="Y30" s="6"/>
      <c r="Z30" s="6"/>
      <c r="AA30" s="8"/>
      <c r="AB30" s="8"/>
      <c r="AC30" s="6" t="s">
        <v>1054</v>
      </c>
      <c r="AD30" s="6"/>
      <c r="AE30" s="9"/>
    </row>
    <row r="31" spans="1:31" s="10" customFormat="1" ht="31.5" x14ac:dyDescent="0.25">
      <c r="A31" s="3">
        <v>27</v>
      </c>
      <c r="B31" s="3" t="s">
        <v>32</v>
      </c>
      <c r="C31" s="5" t="s">
        <v>498</v>
      </c>
      <c r="D31" s="4" t="s">
        <v>496</v>
      </c>
      <c r="E31" s="6">
        <v>34</v>
      </c>
      <c r="F31" s="6">
        <v>848</v>
      </c>
      <c r="G31" s="3">
        <v>130.69999999999999</v>
      </c>
      <c r="H31" s="3" t="s">
        <v>55</v>
      </c>
      <c r="I31" s="7">
        <v>45734</v>
      </c>
      <c r="J31" s="3" t="s">
        <v>823</v>
      </c>
      <c r="K31" s="3"/>
      <c r="L31" s="3"/>
      <c r="M31" s="3"/>
      <c r="N31" s="3"/>
      <c r="O31" s="3"/>
      <c r="P31" s="3"/>
      <c r="Q31" s="6" t="s">
        <v>101</v>
      </c>
      <c r="R31" s="7">
        <v>45749</v>
      </c>
      <c r="S31" s="7">
        <v>45750</v>
      </c>
      <c r="T31" s="7">
        <v>45750</v>
      </c>
      <c r="U31" s="20">
        <v>1976</v>
      </c>
      <c r="V31" s="11">
        <v>809727</v>
      </c>
      <c r="W31" s="6"/>
      <c r="X31" s="6"/>
      <c r="Y31" s="6"/>
      <c r="Z31" s="6" t="s">
        <v>1397</v>
      </c>
      <c r="AA31" s="8" t="s">
        <v>1395</v>
      </c>
      <c r="AB31" s="8"/>
      <c r="AC31" s="6"/>
      <c r="AD31" s="6"/>
      <c r="AE31" s="9"/>
    </row>
    <row r="32" spans="1:31" s="10" customFormat="1" ht="15.75" x14ac:dyDescent="0.25">
      <c r="A32" s="3">
        <v>28</v>
      </c>
      <c r="B32" s="3" t="s">
        <v>32</v>
      </c>
      <c r="C32" s="5" t="s">
        <v>498</v>
      </c>
      <c r="D32" s="4" t="s">
        <v>496</v>
      </c>
      <c r="E32" s="6">
        <v>34</v>
      </c>
      <c r="F32" s="6">
        <v>850</v>
      </c>
      <c r="G32" s="3">
        <v>326.8</v>
      </c>
      <c r="H32" s="3" t="s">
        <v>75</v>
      </c>
      <c r="I32" s="7">
        <v>45734</v>
      </c>
      <c r="J32" s="3" t="s">
        <v>823</v>
      </c>
      <c r="K32" s="3"/>
      <c r="L32" s="3"/>
      <c r="M32" s="3"/>
      <c r="N32" s="3"/>
      <c r="O32" s="3"/>
      <c r="P32" s="3"/>
      <c r="Q32" s="6" t="s">
        <v>101</v>
      </c>
      <c r="R32" s="7"/>
      <c r="S32" s="7"/>
      <c r="T32" s="7"/>
      <c r="U32" s="20"/>
      <c r="V32" s="11"/>
      <c r="W32" s="6"/>
      <c r="X32" s="6"/>
      <c r="Y32" s="6"/>
      <c r="Z32" s="6"/>
      <c r="AA32" s="8"/>
      <c r="AB32" s="8"/>
      <c r="AC32" s="6"/>
      <c r="AD32" s="6"/>
      <c r="AE32" s="9"/>
    </row>
    <row r="33" spans="1:31" s="10" customFormat="1" ht="31.5" x14ac:dyDescent="0.25">
      <c r="A33" s="3">
        <v>29</v>
      </c>
      <c r="B33" s="3" t="s">
        <v>32</v>
      </c>
      <c r="C33" s="5" t="s">
        <v>1104</v>
      </c>
      <c r="D33" s="4" t="s">
        <v>519</v>
      </c>
      <c r="E33" s="6">
        <v>47</v>
      </c>
      <c r="F33" s="6">
        <v>174</v>
      </c>
      <c r="G33" s="3">
        <v>155.19999999999999</v>
      </c>
      <c r="H33" s="3" t="s">
        <v>75</v>
      </c>
      <c r="I33" s="7">
        <v>45735</v>
      </c>
      <c r="J33" s="3"/>
      <c r="K33" s="3" t="s">
        <v>62</v>
      </c>
      <c r="L33" s="3"/>
      <c r="M33" s="3"/>
      <c r="N33" s="3"/>
      <c r="O33" s="3"/>
      <c r="P33" s="3"/>
      <c r="Q33" s="6" t="s">
        <v>101</v>
      </c>
      <c r="R33" s="7">
        <v>45743</v>
      </c>
      <c r="S33" s="7">
        <v>45744</v>
      </c>
      <c r="T33" s="7">
        <v>45744</v>
      </c>
      <c r="U33" s="6">
        <v>1820</v>
      </c>
      <c r="V33" s="11">
        <v>809727</v>
      </c>
      <c r="W33" s="6"/>
      <c r="X33" s="6"/>
      <c r="Y33" s="6"/>
      <c r="Z33" s="6"/>
      <c r="AA33" s="8"/>
      <c r="AB33" s="8"/>
      <c r="AC33" s="6"/>
      <c r="AD33" s="6"/>
      <c r="AE33" s="9"/>
    </row>
    <row r="34" spans="1:31" s="10" customFormat="1" ht="15.75" x14ac:dyDescent="0.25">
      <c r="A34" s="3">
        <v>30</v>
      </c>
      <c r="B34" s="3" t="s">
        <v>32</v>
      </c>
      <c r="C34" s="5" t="s">
        <v>1105</v>
      </c>
      <c r="D34" s="4" t="s">
        <v>519</v>
      </c>
      <c r="E34" s="6">
        <v>47</v>
      </c>
      <c r="F34" s="6">
        <v>172</v>
      </c>
      <c r="G34" s="3">
        <v>152.80000000000001</v>
      </c>
      <c r="H34" s="3" t="s">
        <v>75</v>
      </c>
      <c r="I34" s="7">
        <v>45735</v>
      </c>
      <c r="J34" s="3"/>
      <c r="K34" s="3" t="s">
        <v>62</v>
      </c>
      <c r="L34" s="3"/>
      <c r="M34" s="3"/>
      <c r="N34" s="3"/>
      <c r="O34" s="3"/>
      <c r="P34" s="3"/>
      <c r="Q34" s="6" t="s">
        <v>101</v>
      </c>
      <c r="R34" s="7">
        <v>45743</v>
      </c>
      <c r="S34" s="7">
        <v>45744</v>
      </c>
      <c r="T34" s="7">
        <v>45744</v>
      </c>
      <c r="U34" s="6">
        <v>1821</v>
      </c>
      <c r="V34" s="11">
        <v>809727</v>
      </c>
      <c r="W34" s="6"/>
      <c r="X34" s="6"/>
      <c r="Y34" s="6"/>
      <c r="Z34" s="6"/>
      <c r="AA34" s="8"/>
      <c r="AB34" s="8"/>
      <c r="AC34" s="6"/>
      <c r="AD34" s="6"/>
      <c r="AE34" s="9"/>
    </row>
    <row r="35" spans="1:31" s="10" customFormat="1" ht="31.5" x14ac:dyDescent="0.25">
      <c r="A35" s="3">
        <v>31</v>
      </c>
      <c r="B35" s="3" t="s">
        <v>32</v>
      </c>
      <c r="C35" s="5" t="s">
        <v>1251</v>
      </c>
      <c r="D35" s="4" t="s">
        <v>1252</v>
      </c>
      <c r="E35" s="6">
        <v>14</v>
      </c>
      <c r="F35" s="6" t="s">
        <v>1253</v>
      </c>
      <c r="G35" s="6" t="s">
        <v>1254</v>
      </c>
      <c r="H35" s="3" t="s">
        <v>75</v>
      </c>
      <c r="I35" s="7">
        <v>45743</v>
      </c>
      <c r="J35" s="3"/>
      <c r="K35" s="3" t="s">
        <v>62</v>
      </c>
      <c r="L35" s="3"/>
      <c r="M35" s="3"/>
      <c r="N35" s="3"/>
      <c r="O35" s="3"/>
      <c r="P35" s="3"/>
      <c r="Q35" s="6" t="s">
        <v>101</v>
      </c>
      <c r="R35" s="7">
        <v>45749</v>
      </c>
      <c r="S35" s="7">
        <v>45749</v>
      </c>
      <c r="T35" s="7">
        <v>45749</v>
      </c>
      <c r="U35" s="20">
        <v>1967</v>
      </c>
      <c r="V35" s="11">
        <v>809727</v>
      </c>
      <c r="W35" s="6"/>
      <c r="X35" s="6"/>
      <c r="Y35" s="6"/>
      <c r="Z35" s="6"/>
      <c r="AA35" s="8"/>
      <c r="AB35" s="8"/>
      <c r="AC35" s="6"/>
      <c r="AD35" s="6"/>
      <c r="AE35" s="9"/>
    </row>
    <row r="36" spans="1:31" ht="16.5" x14ac:dyDescent="0.25">
      <c r="A36" s="12"/>
      <c r="B36" s="73" t="s">
        <v>1258</v>
      </c>
      <c r="C36" s="74"/>
      <c r="D36" s="74"/>
      <c r="E36" s="74"/>
      <c r="F36" s="74"/>
      <c r="G36" s="74"/>
      <c r="H36" s="75"/>
      <c r="I36" s="13"/>
      <c r="J36" s="14">
        <f>COUNTIF(J23:J35,"IG")+COUNTIF(J35,"CN")+COUNTIF(J35,"TK")</f>
        <v>3</v>
      </c>
      <c r="K36" s="14">
        <f>COUNTIF(K23:K35,"CMĐ")</f>
        <v>4</v>
      </c>
      <c r="L36" s="14">
        <f>COUNTIF(L23:L35,"XMDT")+COUNTIF(L23:L35,"Mốc")</f>
        <v>3</v>
      </c>
      <c r="M36" s="14">
        <f>COUNTIF(M23:M35,"THÁn")</f>
        <v>1</v>
      </c>
      <c r="N36" s="14">
        <f>COUNTIF(N23:N35,"TÒA")</f>
        <v>1</v>
      </c>
      <c r="O36" s="14">
        <f>COUNTIF(O27:O35,"Cấp GCN")</f>
        <v>0</v>
      </c>
      <c r="P36" s="14">
        <f>COUNTIF(P23:P35,"SHN")</f>
        <v>1</v>
      </c>
      <c r="Q36" s="15"/>
      <c r="R36" s="13"/>
      <c r="S36" s="15"/>
      <c r="T36" s="15"/>
      <c r="U36" s="16"/>
      <c r="V36" s="11"/>
      <c r="W36" s="17"/>
      <c r="X36" s="2"/>
      <c r="AD36" s="14">
        <f>COUNTIF(AD35,"kt")</f>
        <v>0</v>
      </c>
    </row>
    <row r="37" spans="1:31" s="10" customFormat="1" ht="15.75" x14ac:dyDescent="0.25">
      <c r="A37" s="3">
        <v>32</v>
      </c>
      <c r="B37" s="3" t="s">
        <v>32</v>
      </c>
      <c r="C37" s="5" t="s">
        <v>1299</v>
      </c>
      <c r="D37" s="4" t="s">
        <v>1300</v>
      </c>
      <c r="E37" s="6">
        <v>34</v>
      </c>
      <c r="F37" s="6">
        <v>168</v>
      </c>
      <c r="G37" s="6">
        <v>110.4</v>
      </c>
      <c r="H37" s="3" t="s">
        <v>51</v>
      </c>
      <c r="I37" s="7">
        <v>45744</v>
      </c>
      <c r="J37" s="3"/>
      <c r="K37" s="3" t="s">
        <v>62</v>
      </c>
      <c r="L37" s="3"/>
      <c r="M37" s="3"/>
      <c r="N37" s="3"/>
      <c r="O37" s="3"/>
      <c r="P37" s="3"/>
      <c r="Q37" s="6" t="s">
        <v>101</v>
      </c>
      <c r="R37" s="7">
        <v>45748</v>
      </c>
      <c r="S37" s="7">
        <v>45748</v>
      </c>
      <c r="T37" s="7">
        <v>45748</v>
      </c>
      <c r="U37" s="20">
        <v>1916</v>
      </c>
      <c r="V37" s="11">
        <v>961551</v>
      </c>
      <c r="W37" s="6"/>
      <c r="X37" s="6"/>
      <c r="Y37" s="6"/>
      <c r="Z37" s="6"/>
      <c r="AA37" s="8"/>
      <c r="AB37" s="8"/>
      <c r="AC37" s="6"/>
      <c r="AD37" s="6"/>
      <c r="AE37" s="9"/>
    </row>
    <row r="38" spans="1:31" s="10" customFormat="1" ht="15.75" x14ac:dyDescent="0.25">
      <c r="A38" s="3">
        <v>33</v>
      </c>
      <c r="B38" s="3" t="s">
        <v>32</v>
      </c>
      <c r="C38" s="5" t="s">
        <v>1313</v>
      </c>
      <c r="D38" s="4" t="s">
        <v>1314</v>
      </c>
      <c r="E38" s="6">
        <v>34</v>
      </c>
      <c r="F38" s="6">
        <v>348</v>
      </c>
      <c r="G38" s="6">
        <v>234.7</v>
      </c>
      <c r="H38" s="3" t="s">
        <v>51</v>
      </c>
      <c r="I38" s="7">
        <v>45747</v>
      </c>
      <c r="J38" s="3"/>
      <c r="K38" s="3" t="s">
        <v>62</v>
      </c>
      <c r="L38" s="3"/>
      <c r="M38" s="3"/>
      <c r="N38" s="3"/>
      <c r="O38" s="3"/>
      <c r="P38" s="3"/>
      <c r="Q38" s="6" t="s">
        <v>101</v>
      </c>
      <c r="R38" s="7">
        <v>45761</v>
      </c>
      <c r="S38" s="7">
        <v>45761</v>
      </c>
      <c r="T38" s="7">
        <v>45761</v>
      </c>
      <c r="U38" s="6">
        <v>2239</v>
      </c>
      <c r="V38" s="11">
        <v>961551</v>
      </c>
      <c r="W38" s="6"/>
      <c r="X38" s="6"/>
      <c r="Y38" s="6"/>
      <c r="Z38" s="6"/>
      <c r="AA38" s="8"/>
      <c r="AB38" s="8"/>
      <c r="AC38" s="6"/>
      <c r="AD38" s="6"/>
      <c r="AE38" s="9"/>
    </row>
    <row r="39" spans="1:31" s="10" customFormat="1" ht="47.25" x14ac:dyDescent="0.25">
      <c r="A39" s="3">
        <v>34</v>
      </c>
      <c r="B39" s="3" t="s">
        <v>32</v>
      </c>
      <c r="C39" s="5" t="s">
        <v>1251</v>
      </c>
      <c r="D39" s="4" t="s">
        <v>1252</v>
      </c>
      <c r="E39" s="6">
        <v>14</v>
      </c>
      <c r="F39" s="6">
        <v>48</v>
      </c>
      <c r="G39" s="6">
        <v>221.1</v>
      </c>
      <c r="H39" s="3" t="s">
        <v>75</v>
      </c>
      <c r="I39" s="7">
        <v>45747</v>
      </c>
      <c r="J39" s="3"/>
      <c r="K39" s="3"/>
      <c r="L39" s="3" t="s">
        <v>98</v>
      </c>
      <c r="M39" s="3"/>
      <c r="N39" s="3"/>
      <c r="O39" s="3"/>
      <c r="P39" s="3"/>
      <c r="Q39" s="6" t="s">
        <v>101</v>
      </c>
      <c r="R39" s="7"/>
      <c r="S39" s="7"/>
      <c r="T39" s="7"/>
      <c r="U39" s="20"/>
      <c r="V39" s="11"/>
      <c r="W39" s="6"/>
      <c r="X39" s="6"/>
      <c r="Y39" s="6"/>
      <c r="Z39" s="6"/>
      <c r="AA39" s="8"/>
      <c r="AB39" s="8"/>
      <c r="AC39" s="6" t="s">
        <v>1330</v>
      </c>
      <c r="AD39" s="6" t="s">
        <v>1370</v>
      </c>
      <c r="AE39" s="9"/>
    </row>
    <row r="40" spans="1:31" s="10" customFormat="1" ht="47.25" x14ac:dyDescent="0.25">
      <c r="A40" s="3">
        <v>35</v>
      </c>
      <c r="B40" s="18" t="s">
        <v>32</v>
      </c>
      <c r="C40" s="5" t="s">
        <v>1382</v>
      </c>
      <c r="D40" s="4" t="s">
        <v>1383</v>
      </c>
      <c r="E40" s="6">
        <v>33</v>
      </c>
      <c r="F40" s="6">
        <v>31</v>
      </c>
      <c r="G40" s="6">
        <v>328.3</v>
      </c>
      <c r="H40" s="6" t="s">
        <v>51</v>
      </c>
      <c r="I40" s="7">
        <v>45749</v>
      </c>
      <c r="J40" s="3"/>
      <c r="K40" s="3"/>
      <c r="L40" s="3" t="s">
        <v>98</v>
      </c>
      <c r="M40" s="3"/>
      <c r="N40" s="3"/>
      <c r="O40" s="3"/>
      <c r="P40" s="3"/>
      <c r="Q40" s="6" t="s">
        <v>101</v>
      </c>
      <c r="R40" s="7">
        <v>45751</v>
      </c>
      <c r="S40" s="7">
        <v>45755</v>
      </c>
      <c r="T40" s="7">
        <v>45755</v>
      </c>
      <c r="U40" s="20">
        <v>2054</v>
      </c>
      <c r="V40" s="11">
        <v>3281835</v>
      </c>
      <c r="W40" s="6"/>
      <c r="X40" s="6"/>
      <c r="Y40" s="6"/>
      <c r="Z40" s="6"/>
      <c r="AA40" s="8"/>
      <c r="AB40" s="8"/>
      <c r="AC40" s="6" t="s">
        <v>1410</v>
      </c>
      <c r="AD40" s="6"/>
      <c r="AE40" s="9"/>
    </row>
    <row r="41" spans="1:31" s="10" customFormat="1" ht="63" x14ac:dyDescent="0.25">
      <c r="A41" s="3">
        <v>36</v>
      </c>
      <c r="B41" s="18" t="s">
        <v>32</v>
      </c>
      <c r="C41" s="5" t="s">
        <v>1420</v>
      </c>
      <c r="D41" s="4" t="s">
        <v>519</v>
      </c>
      <c r="E41" s="6">
        <v>22</v>
      </c>
      <c r="F41" s="6">
        <v>116</v>
      </c>
      <c r="G41" s="6">
        <v>4002.8</v>
      </c>
      <c r="H41" s="3" t="s">
        <v>51</v>
      </c>
      <c r="I41" s="7">
        <v>45750</v>
      </c>
      <c r="J41" s="3" t="s">
        <v>141</v>
      </c>
      <c r="K41" s="3"/>
      <c r="L41" s="3"/>
      <c r="M41" s="3"/>
      <c r="N41" s="3"/>
      <c r="O41" s="3"/>
      <c r="P41" s="3"/>
      <c r="Q41" s="6" t="s">
        <v>101</v>
      </c>
      <c r="R41" s="7"/>
      <c r="S41" s="7"/>
      <c r="T41" s="7"/>
      <c r="U41" s="20"/>
      <c r="V41" s="11"/>
      <c r="W41" s="6"/>
      <c r="X41" s="6"/>
      <c r="Y41" s="6"/>
      <c r="Z41" s="6"/>
      <c r="AA41" s="8"/>
      <c r="AB41" s="8"/>
      <c r="AC41" s="6"/>
      <c r="AD41" s="6"/>
      <c r="AE41" s="9"/>
    </row>
    <row r="42" spans="1:31" s="10" customFormat="1" ht="15.75" x14ac:dyDescent="0.25">
      <c r="A42" s="3">
        <v>37</v>
      </c>
      <c r="B42" s="3" t="s">
        <v>32</v>
      </c>
      <c r="C42" s="5" t="s">
        <v>844</v>
      </c>
      <c r="D42" s="4" t="s">
        <v>845</v>
      </c>
      <c r="E42" s="6">
        <v>39</v>
      </c>
      <c r="F42" s="6">
        <v>70</v>
      </c>
      <c r="G42" s="3">
        <v>1717</v>
      </c>
      <c r="H42" s="3" t="s">
        <v>75</v>
      </c>
      <c r="I42" s="7">
        <v>45755</v>
      </c>
      <c r="J42" s="3"/>
      <c r="K42" s="3"/>
      <c r="L42" s="3" t="s">
        <v>1</v>
      </c>
      <c r="M42" s="3"/>
      <c r="N42" s="3"/>
      <c r="O42" s="3"/>
      <c r="P42" s="3"/>
      <c r="Q42" s="6" t="s">
        <v>101</v>
      </c>
      <c r="R42" s="7"/>
      <c r="S42" s="7"/>
      <c r="T42" s="7"/>
      <c r="U42" s="20"/>
      <c r="V42" s="11"/>
      <c r="W42" s="6"/>
      <c r="X42" s="6"/>
      <c r="Y42" s="6"/>
      <c r="Z42" s="6"/>
      <c r="AA42" s="8"/>
      <c r="AB42" s="8"/>
      <c r="AC42" s="6"/>
      <c r="AD42" s="6"/>
      <c r="AE42" s="9"/>
    </row>
    <row r="43" spans="1:31" s="10" customFormat="1" ht="63" x14ac:dyDescent="0.25">
      <c r="A43" s="3">
        <v>38</v>
      </c>
      <c r="B43" s="3" t="s">
        <v>32</v>
      </c>
      <c r="C43" s="5" t="s">
        <v>1471</v>
      </c>
      <c r="D43" s="4" t="s">
        <v>315</v>
      </c>
      <c r="E43" s="6">
        <v>39</v>
      </c>
      <c r="F43" s="6">
        <v>120</v>
      </c>
      <c r="G43" s="6">
        <v>127.9</v>
      </c>
      <c r="H43" s="3" t="s">
        <v>51</v>
      </c>
      <c r="I43" s="7">
        <v>45755</v>
      </c>
      <c r="J43" s="3"/>
      <c r="K43" s="3"/>
      <c r="L43" s="3"/>
      <c r="M43" s="3"/>
      <c r="N43" s="3" t="s">
        <v>56</v>
      </c>
      <c r="O43" s="3"/>
      <c r="P43" s="3"/>
      <c r="Q43" s="6" t="s">
        <v>101</v>
      </c>
      <c r="R43" s="7"/>
      <c r="S43" s="7"/>
      <c r="T43" s="7"/>
      <c r="U43" s="20"/>
      <c r="V43" s="11"/>
      <c r="W43" s="6"/>
      <c r="X43" s="6"/>
      <c r="Y43" s="6"/>
      <c r="Z43" s="6"/>
      <c r="AA43" s="8"/>
      <c r="AB43" s="8"/>
      <c r="AC43" s="6" t="s">
        <v>1472</v>
      </c>
      <c r="AD43" s="6"/>
      <c r="AE43" s="9"/>
    </row>
    <row r="44" spans="1:31" ht="16.5" x14ac:dyDescent="0.25">
      <c r="A44" s="12"/>
      <c r="B44" s="73" t="s">
        <v>1478</v>
      </c>
      <c r="C44" s="74"/>
      <c r="D44" s="74"/>
      <c r="E44" s="74"/>
      <c r="F44" s="74"/>
      <c r="G44" s="74"/>
      <c r="H44" s="75"/>
      <c r="I44" s="13"/>
      <c r="J44" s="14">
        <f>COUNTIF(J37:J43,"TT")+COUNTIF(J43,"CN")+COUNTIF(J43,"TK")</f>
        <v>1</v>
      </c>
      <c r="K44" s="14">
        <f>COUNTIF(K37:K43,"CMĐ")</f>
        <v>2</v>
      </c>
      <c r="L44" s="14">
        <f>COUNTIF(L37:L43,"XMDT")+COUNTIF(L37:L43,"Mốc")</f>
        <v>3</v>
      </c>
      <c r="M44" s="14">
        <f>COUNTIF(M31:M43,"THÁn")</f>
        <v>0</v>
      </c>
      <c r="N44" s="14">
        <f>COUNTIF(N31:N43,"TÒA")</f>
        <v>1</v>
      </c>
      <c r="O44" s="14">
        <f>COUNTIF(O35:O43,"Cấp GCN")</f>
        <v>0</v>
      </c>
      <c r="P44" s="14">
        <f>COUNTIF(P31:P43,"SHN")</f>
        <v>0</v>
      </c>
      <c r="Q44" s="15"/>
      <c r="R44" s="13"/>
      <c r="S44" s="15"/>
      <c r="T44" s="15"/>
      <c r="U44" s="16"/>
      <c r="V44" s="11"/>
      <c r="W44" s="17"/>
      <c r="X44" s="2"/>
      <c r="AD44" s="14">
        <f>COUNTIF(AD43,"kt")</f>
        <v>0</v>
      </c>
    </row>
    <row r="45" spans="1:31" s="10" customFormat="1" ht="63" x14ac:dyDescent="0.25">
      <c r="A45" s="3">
        <v>39</v>
      </c>
      <c r="B45" s="3" t="s">
        <v>32</v>
      </c>
      <c r="C45" s="5" t="s">
        <v>1498</v>
      </c>
      <c r="D45" s="4" t="s">
        <v>315</v>
      </c>
      <c r="E45" s="6">
        <v>33</v>
      </c>
      <c r="F45" s="6">
        <v>10</v>
      </c>
      <c r="G45" s="6">
        <v>108.9</v>
      </c>
      <c r="H45" s="3"/>
      <c r="I45" s="7">
        <v>45756</v>
      </c>
      <c r="J45" s="3"/>
      <c r="K45" s="3"/>
      <c r="L45" s="3"/>
      <c r="M45" s="3"/>
      <c r="N45" s="3" t="s">
        <v>56</v>
      </c>
      <c r="O45" s="3"/>
      <c r="P45" s="3"/>
      <c r="Q45" s="6" t="s">
        <v>101</v>
      </c>
      <c r="R45" s="7"/>
      <c r="S45" s="7"/>
      <c r="T45" s="7"/>
      <c r="U45" s="20"/>
      <c r="V45" s="11"/>
      <c r="W45" s="6"/>
      <c r="X45" s="6"/>
      <c r="Y45" s="6"/>
      <c r="Z45" s="6"/>
      <c r="AA45" s="8"/>
      <c r="AB45" s="8"/>
      <c r="AC45" s="6" t="s">
        <v>1499</v>
      </c>
      <c r="AD45" s="6"/>
      <c r="AE45" s="9"/>
    </row>
    <row r="46" spans="1:31" s="10" customFormat="1" ht="31.5" x14ac:dyDescent="0.25">
      <c r="A46" s="3">
        <v>40</v>
      </c>
      <c r="B46" s="3" t="s">
        <v>32</v>
      </c>
      <c r="C46" s="5" t="s">
        <v>1531</v>
      </c>
      <c r="D46" s="4" t="s">
        <v>1532</v>
      </c>
      <c r="E46" s="6">
        <v>29</v>
      </c>
      <c r="F46" s="6">
        <v>732</v>
      </c>
      <c r="G46" s="6">
        <v>191.9</v>
      </c>
      <c r="H46" s="3" t="s">
        <v>55</v>
      </c>
      <c r="I46" s="7">
        <v>45758</v>
      </c>
      <c r="J46" s="3"/>
      <c r="K46" s="3"/>
      <c r="L46" s="3"/>
      <c r="M46" s="3"/>
      <c r="N46" s="3"/>
      <c r="O46" s="3"/>
      <c r="P46" s="3" t="s">
        <v>52</v>
      </c>
      <c r="Q46" s="6" t="s">
        <v>101</v>
      </c>
      <c r="R46" s="7">
        <v>45832</v>
      </c>
      <c r="S46" s="7">
        <v>45833</v>
      </c>
      <c r="T46" s="7">
        <v>45833</v>
      </c>
      <c r="U46" s="20">
        <v>1869</v>
      </c>
      <c r="V46" s="11">
        <v>2258309</v>
      </c>
      <c r="W46" s="6"/>
      <c r="X46" s="6"/>
      <c r="Y46" s="6"/>
      <c r="Z46" s="6"/>
      <c r="AA46" s="8"/>
      <c r="AB46" s="8"/>
      <c r="AC46" s="6" t="s">
        <v>2705</v>
      </c>
      <c r="AD46" s="6"/>
      <c r="AE46" s="9"/>
    </row>
    <row r="47" spans="1:31" ht="16.5" x14ac:dyDescent="0.25">
      <c r="A47" s="12"/>
      <c r="B47" s="73" t="s">
        <v>1543</v>
      </c>
      <c r="C47" s="74"/>
      <c r="D47" s="74"/>
      <c r="E47" s="74"/>
      <c r="F47" s="74"/>
      <c r="G47" s="74"/>
      <c r="H47" s="75"/>
      <c r="I47" s="13"/>
      <c r="J47" s="14">
        <f>COUNTIF(J45:J46,"TT")+COUNTIF(J46,"CN")+COUNTIF(J46,"TK")</f>
        <v>0</v>
      </c>
      <c r="K47" s="14">
        <f>COUNTIF(K40:K46,"CMĐ")</f>
        <v>0</v>
      </c>
      <c r="L47" s="14">
        <f>COUNTIF(L45:L46,"XMDT")+COUNTIF(L45:L46,"Mốc")</f>
        <v>0</v>
      </c>
      <c r="M47" s="14">
        <f>COUNTIF(M34:M46,"THÁn")</f>
        <v>0</v>
      </c>
      <c r="N47" s="14">
        <f>COUNTIF(N45:N46,"TÒA")</f>
        <v>1</v>
      </c>
      <c r="O47" s="14">
        <f>COUNTIF(O38:O46,"Cấp GCN")</f>
        <v>0</v>
      </c>
      <c r="P47" s="14">
        <f>COUNTIF(P34:P46,"SHN")</f>
        <v>1</v>
      </c>
      <c r="Q47" s="15"/>
      <c r="R47" s="13"/>
      <c r="S47" s="15"/>
      <c r="T47" s="15"/>
      <c r="U47" s="16"/>
      <c r="V47" s="11"/>
      <c r="W47" s="17"/>
      <c r="X47" s="2"/>
      <c r="AD47" s="14">
        <f>COUNTIF(AD46,"kt")</f>
        <v>0</v>
      </c>
    </row>
    <row r="48" spans="1:31" s="10" customFormat="1" ht="47.25" x14ac:dyDescent="0.25">
      <c r="A48" s="3">
        <v>41</v>
      </c>
      <c r="B48" s="3" t="s">
        <v>32</v>
      </c>
      <c r="C48" s="5" t="s">
        <v>838</v>
      </c>
      <c r="D48" s="4" t="s">
        <v>839</v>
      </c>
      <c r="E48" s="6">
        <v>31</v>
      </c>
      <c r="F48" s="6">
        <v>434</v>
      </c>
      <c r="G48" s="6">
        <v>37.200000000000003</v>
      </c>
      <c r="H48" s="6" t="s">
        <v>55</v>
      </c>
      <c r="I48" s="7">
        <v>45761</v>
      </c>
      <c r="J48" s="3"/>
      <c r="K48" s="3"/>
      <c r="L48" s="3" t="s">
        <v>98</v>
      </c>
      <c r="M48" s="3"/>
      <c r="N48" s="3"/>
      <c r="O48" s="3"/>
      <c r="P48" s="3"/>
      <c r="Q48" s="15" t="s">
        <v>101</v>
      </c>
      <c r="R48" s="7">
        <v>45764</v>
      </c>
      <c r="S48" s="7">
        <v>45765</v>
      </c>
      <c r="T48" s="7">
        <v>45765</v>
      </c>
      <c r="U48" s="6">
        <v>2386</v>
      </c>
      <c r="V48" s="11">
        <v>2583973</v>
      </c>
      <c r="W48" s="6"/>
      <c r="X48" s="6"/>
      <c r="Y48" s="6"/>
      <c r="Z48" s="6"/>
      <c r="AA48" s="8"/>
      <c r="AB48" s="8"/>
      <c r="AC48" s="6" t="s">
        <v>1561</v>
      </c>
      <c r="AD48" s="6"/>
      <c r="AE48" s="9"/>
    </row>
    <row r="49" spans="1:31" s="10" customFormat="1" ht="31.5" x14ac:dyDescent="0.25">
      <c r="A49" s="3">
        <v>42</v>
      </c>
      <c r="B49" s="3" t="s">
        <v>32</v>
      </c>
      <c r="C49" s="5" t="s">
        <v>1546</v>
      </c>
      <c r="D49" s="4"/>
      <c r="E49" s="6">
        <v>23</v>
      </c>
      <c r="F49" s="6">
        <v>141</v>
      </c>
      <c r="G49" s="6">
        <v>606.20000000000005</v>
      </c>
      <c r="H49" s="3" t="s">
        <v>75</v>
      </c>
      <c r="I49" s="7">
        <v>45761</v>
      </c>
      <c r="J49" s="3"/>
      <c r="K49" s="3"/>
      <c r="L49" s="3"/>
      <c r="M49" s="3"/>
      <c r="N49" s="3"/>
      <c r="O49" s="3"/>
      <c r="P49" s="3" t="s">
        <v>52</v>
      </c>
      <c r="Q49" s="6" t="s">
        <v>82</v>
      </c>
      <c r="R49" s="7">
        <v>45790</v>
      </c>
      <c r="S49" s="7">
        <v>45791</v>
      </c>
      <c r="T49" s="7">
        <v>45791</v>
      </c>
      <c r="U49" s="6">
        <v>600</v>
      </c>
      <c r="V49" s="11">
        <v>2125468</v>
      </c>
      <c r="W49" s="6"/>
      <c r="X49" s="6"/>
      <c r="Y49" s="6"/>
      <c r="Z49" s="6"/>
      <c r="AA49" s="8"/>
      <c r="AB49" s="8"/>
      <c r="AC49" s="6" t="s">
        <v>2178</v>
      </c>
      <c r="AD49" s="6" t="s">
        <v>1593</v>
      </c>
      <c r="AE49" s="9"/>
    </row>
    <row r="50" spans="1:31" s="10" customFormat="1" ht="47.25" x14ac:dyDescent="0.25">
      <c r="A50" s="3">
        <v>43</v>
      </c>
      <c r="B50" s="3" t="s">
        <v>32</v>
      </c>
      <c r="C50" s="5" t="s">
        <v>1591</v>
      </c>
      <c r="D50" s="4" t="s">
        <v>1592</v>
      </c>
      <c r="E50" s="6">
        <v>41</v>
      </c>
      <c r="F50" s="6">
        <v>593</v>
      </c>
      <c r="G50" s="6">
        <v>12111.8</v>
      </c>
      <c r="H50" s="3" t="s">
        <v>75</v>
      </c>
      <c r="I50" s="7">
        <v>45763</v>
      </c>
      <c r="J50" s="3"/>
      <c r="K50" s="3"/>
      <c r="L50" s="3" t="s">
        <v>98</v>
      </c>
      <c r="M50" s="3"/>
      <c r="N50" s="3"/>
      <c r="O50" s="3"/>
      <c r="P50" s="3"/>
      <c r="Q50" s="15" t="s">
        <v>101</v>
      </c>
      <c r="R50" s="7">
        <v>45770</v>
      </c>
      <c r="S50" s="7">
        <v>45796</v>
      </c>
      <c r="T50" s="7">
        <v>45796</v>
      </c>
      <c r="U50" s="20">
        <v>706</v>
      </c>
      <c r="V50" s="11">
        <v>2060577</v>
      </c>
      <c r="W50" s="6"/>
      <c r="X50" s="6"/>
      <c r="Y50" s="6"/>
      <c r="Z50" s="6"/>
      <c r="AA50" s="8"/>
      <c r="AB50" s="8"/>
      <c r="AC50" s="6" t="s">
        <v>1594</v>
      </c>
      <c r="AD50" s="6"/>
      <c r="AE50" s="9"/>
    </row>
    <row r="51" spans="1:31" s="10" customFormat="1" ht="16.5" x14ac:dyDescent="0.25">
      <c r="A51" s="3">
        <v>44</v>
      </c>
      <c r="B51" s="3" t="s">
        <v>32</v>
      </c>
      <c r="C51" s="5" t="s">
        <v>1595</v>
      </c>
      <c r="D51" s="4" t="s">
        <v>1596</v>
      </c>
      <c r="E51" s="6">
        <v>29</v>
      </c>
      <c r="F51" s="6">
        <v>779</v>
      </c>
      <c r="G51" s="6">
        <v>144.80000000000001</v>
      </c>
      <c r="H51" s="3" t="s">
        <v>55</v>
      </c>
      <c r="I51" s="7">
        <v>45763</v>
      </c>
      <c r="J51" s="3"/>
      <c r="K51" s="3"/>
      <c r="L51" s="3"/>
      <c r="M51" s="3"/>
      <c r="N51" s="3"/>
      <c r="O51" s="3" t="s">
        <v>81</v>
      </c>
      <c r="P51" s="3"/>
      <c r="Q51" s="15" t="s">
        <v>101</v>
      </c>
      <c r="R51" s="7">
        <v>45812</v>
      </c>
      <c r="S51" s="7">
        <v>45813</v>
      </c>
      <c r="T51" s="7">
        <v>45813</v>
      </c>
      <c r="U51" s="20">
        <v>1285</v>
      </c>
      <c r="V51" s="11">
        <v>961551</v>
      </c>
      <c r="W51" s="6"/>
      <c r="X51" s="6"/>
      <c r="Y51" s="6"/>
      <c r="Z51" s="6"/>
      <c r="AA51" s="8"/>
      <c r="AB51" s="8"/>
      <c r="AC51" s="6"/>
      <c r="AD51" s="6"/>
      <c r="AE51" s="9"/>
    </row>
    <row r="52" spans="1:31" ht="16.5" x14ac:dyDescent="0.25">
      <c r="A52" s="12"/>
      <c r="B52" s="73" t="s">
        <v>1656</v>
      </c>
      <c r="C52" s="74"/>
      <c r="D52" s="74"/>
      <c r="E52" s="74"/>
      <c r="F52" s="74"/>
      <c r="G52" s="74"/>
      <c r="H52" s="75"/>
      <c r="I52" s="13"/>
      <c r="J52" s="14">
        <f>COUNTIF(J50:J51,"TT")+COUNTIF(J51,"CN")+COUNTIF(J51,"TK")</f>
        <v>0</v>
      </c>
      <c r="K52" s="14">
        <f>COUNTIF(K45:K51,"CMĐ")</f>
        <v>0</v>
      </c>
      <c r="L52" s="14">
        <f>COUNTIF(L48:L51,"XMDT")+COUNTIF(L48:L51,"Mốc")</f>
        <v>2</v>
      </c>
      <c r="M52" s="14">
        <f>COUNTIF(M39:M51,"THÁn")</f>
        <v>0</v>
      </c>
      <c r="N52" s="14">
        <f>COUNTIF(N50:N51,"TÒA")</f>
        <v>0</v>
      </c>
      <c r="O52" s="14">
        <f>COUNTIF(O43:O51,"Cấp GCN")</f>
        <v>1</v>
      </c>
      <c r="P52" s="14">
        <f>COUNTIF(P48:P51,"SHN")</f>
        <v>1</v>
      </c>
      <c r="Q52" s="15"/>
      <c r="R52" s="13"/>
      <c r="S52" s="15"/>
      <c r="T52" s="15"/>
      <c r="U52" s="16"/>
      <c r="V52" s="11"/>
      <c r="W52" s="17"/>
      <c r="X52" s="2"/>
      <c r="AD52" s="14">
        <f>COUNTIF(AD51,"kt")</f>
        <v>0</v>
      </c>
    </row>
    <row r="53" spans="1:31" s="10" customFormat="1" ht="15.75" x14ac:dyDescent="0.25">
      <c r="A53" s="3">
        <v>45</v>
      </c>
      <c r="B53" s="3" t="s">
        <v>32</v>
      </c>
      <c r="C53" s="5" t="s">
        <v>1685</v>
      </c>
      <c r="D53" s="4" t="s">
        <v>1686</v>
      </c>
      <c r="E53" s="6">
        <v>54</v>
      </c>
      <c r="F53" s="6">
        <v>974</v>
      </c>
      <c r="G53" s="6">
        <v>527.6</v>
      </c>
      <c r="H53" s="3" t="s">
        <v>51</v>
      </c>
      <c r="I53" s="7">
        <v>45768</v>
      </c>
      <c r="J53" s="3"/>
      <c r="K53" s="3" t="s">
        <v>62</v>
      </c>
      <c r="L53" s="3"/>
      <c r="M53" s="3"/>
      <c r="N53" s="3"/>
      <c r="O53" s="3"/>
      <c r="P53" s="3"/>
      <c r="Q53" s="6" t="s">
        <v>101</v>
      </c>
      <c r="R53" s="7">
        <v>45782</v>
      </c>
      <c r="S53" s="7">
        <v>45789</v>
      </c>
      <c r="T53" s="7">
        <v>45789</v>
      </c>
      <c r="U53" s="20">
        <v>538</v>
      </c>
      <c r="V53" s="11">
        <v>961551</v>
      </c>
      <c r="W53" s="6"/>
      <c r="X53" s="6"/>
      <c r="Y53" s="6"/>
      <c r="Z53" s="6"/>
      <c r="AA53" s="8"/>
      <c r="AB53" s="8"/>
      <c r="AC53" s="6"/>
      <c r="AD53" s="6"/>
      <c r="AE53" s="9"/>
    </row>
    <row r="54" spans="1:31" s="10" customFormat="1" ht="15.75" x14ac:dyDescent="0.25">
      <c r="A54" s="3">
        <v>46</v>
      </c>
      <c r="B54" s="3" t="s">
        <v>32</v>
      </c>
      <c r="C54" s="5" t="s">
        <v>1052</v>
      </c>
      <c r="D54" s="4" t="s">
        <v>1737</v>
      </c>
      <c r="E54" s="6">
        <v>49</v>
      </c>
      <c r="F54" s="6">
        <v>403</v>
      </c>
      <c r="G54" s="6">
        <v>808.9</v>
      </c>
      <c r="H54" s="3" t="s">
        <v>51</v>
      </c>
      <c r="I54" s="7">
        <v>45772</v>
      </c>
      <c r="J54" s="3" t="s">
        <v>76</v>
      </c>
      <c r="K54" s="3"/>
      <c r="L54" s="3"/>
      <c r="M54" s="3"/>
      <c r="N54" s="3"/>
      <c r="O54" s="3"/>
      <c r="P54" s="3"/>
      <c r="Q54" s="6" t="s">
        <v>101</v>
      </c>
      <c r="R54" s="7">
        <v>45782</v>
      </c>
      <c r="S54" s="7">
        <v>45783</v>
      </c>
      <c r="T54" s="7">
        <v>45783</v>
      </c>
      <c r="U54" s="20">
        <v>365</v>
      </c>
      <c r="V54" s="11">
        <v>1019155</v>
      </c>
      <c r="W54" s="6"/>
      <c r="X54" s="6"/>
      <c r="Y54" s="6"/>
      <c r="Z54" s="6"/>
      <c r="AA54" s="8"/>
      <c r="AB54" s="8"/>
      <c r="AC54" s="6"/>
      <c r="AD54" s="6"/>
      <c r="AE54" s="9"/>
    </row>
    <row r="55" spans="1:31" s="10" customFormat="1" ht="31.5" x14ac:dyDescent="0.25">
      <c r="A55" s="3">
        <v>47</v>
      </c>
      <c r="B55" s="3" t="s">
        <v>32</v>
      </c>
      <c r="C55" s="5" t="s">
        <v>1265</v>
      </c>
      <c r="D55" s="4" t="s">
        <v>1764</v>
      </c>
      <c r="E55" s="6">
        <v>34</v>
      </c>
      <c r="F55" s="6">
        <v>720</v>
      </c>
      <c r="G55" s="6">
        <v>2043.2</v>
      </c>
      <c r="H55" s="3" t="s">
        <v>75</v>
      </c>
      <c r="I55" s="7">
        <v>45773</v>
      </c>
      <c r="J55" s="3" t="s">
        <v>76</v>
      </c>
      <c r="K55" s="3"/>
      <c r="L55" s="3"/>
      <c r="M55" s="3"/>
      <c r="N55" s="3"/>
      <c r="O55" s="3"/>
      <c r="P55" s="3"/>
      <c r="Q55" s="6" t="s">
        <v>101</v>
      </c>
      <c r="R55" s="7">
        <v>45828</v>
      </c>
      <c r="S55" s="7">
        <v>45828</v>
      </c>
      <c r="T55" s="7">
        <v>45828</v>
      </c>
      <c r="U55" s="6">
        <v>1764</v>
      </c>
      <c r="V55" s="11">
        <v>1713674</v>
      </c>
      <c r="W55" s="6"/>
      <c r="X55" s="6"/>
      <c r="Y55" s="6"/>
      <c r="Z55" s="6"/>
      <c r="AA55" s="8"/>
      <c r="AB55" s="8"/>
      <c r="AC55" s="6" t="s">
        <v>2673</v>
      </c>
      <c r="AD55" s="6"/>
      <c r="AE55" s="9"/>
    </row>
    <row r="56" spans="1:31" ht="16.5" x14ac:dyDescent="0.25">
      <c r="A56" s="12"/>
      <c r="B56" s="73" t="s">
        <v>1782</v>
      </c>
      <c r="C56" s="74"/>
      <c r="D56" s="74"/>
      <c r="E56" s="74"/>
      <c r="F56" s="74"/>
      <c r="G56" s="74"/>
      <c r="H56" s="75"/>
      <c r="I56" s="13"/>
      <c r="J56" s="14">
        <f>COUNTIF(J54:J55,"TT")+COUNTIF(J55,"CN")+COUNTIF(J53:J55,"CT")</f>
        <v>2</v>
      </c>
      <c r="K56" s="14">
        <f>COUNTIF(K49:K55,"CMĐ")</f>
        <v>1</v>
      </c>
      <c r="L56" s="14">
        <f>COUNTIF(L52:L55,"XMDT")+COUNTIF(L52:L55,"Mốc")</f>
        <v>0</v>
      </c>
      <c r="M56" s="14">
        <f>COUNTIF(M43:M55,"THÁn")</f>
        <v>0</v>
      </c>
      <c r="N56" s="14">
        <f>COUNTIF(N54:N55,"TÒA")</f>
        <v>0</v>
      </c>
      <c r="O56" s="14">
        <f>COUNTIF(O53:O55,"Cấp GCN")</f>
        <v>0</v>
      </c>
      <c r="P56" s="14">
        <f>COUNTIF(P52:P55,"SHN")</f>
        <v>0</v>
      </c>
      <c r="Q56" s="15"/>
      <c r="R56" s="13"/>
      <c r="S56" s="15"/>
      <c r="T56" s="15"/>
      <c r="U56" s="16"/>
      <c r="V56" s="11"/>
      <c r="W56" s="17"/>
      <c r="X56" s="2"/>
      <c r="AD56" s="14">
        <f>COUNTIF(AD55,"kt")</f>
        <v>0</v>
      </c>
    </row>
    <row r="57" spans="1:31" s="10" customFormat="1" ht="63" x14ac:dyDescent="0.25">
      <c r="A57" s="3">
        <v>48</v>
      </c>
      <c r="B57" s="3" t="s">
        <v>32</v>
      </c>
      <c r="C57" s="5" t="s">
        <v>1803</v>
      </c>
      <c r="D57" s="4"/>
      <c r="E57" s="6">
        <v>34</v>
      </c>
      <c r="F57" s="6">
        <v>79</v>
      </c>
      <c r="G57" s="3">
        <v>1929.5</v>
      </c>
      <c r="H57" s="3" t="s">
        <v>75</v>
      </c>
      <c r="I57" s="7">
        <v>45782</v>
      </c>
      <c r="J57" s="3"/>
      <c r="K57" s="3" t="s">
        <v>62</v>
      </c>
      <c r="L57" s="3"/>
      <c r="M57" s="3"/>
      <c r="N57" s="3"/>
      <c r="O57" s="3"/>
      <c r="P57" s="3"/>
      <c r="Q57" s="6" t="s">
        <v>101</v>
      </c>
      <c r="R57" s="7">
        <v>45782</v>
      </c>
      <c r="S57" s="7">
        <v>45782</v>
      </c>
      <c r="T57" s="7">
        <v>45790</v>
      </c>
      <c r="U57" s="6">
        <v>758</v>
      </c>
      <c r="V57" s="11">
        <v>809727</v>
      </c>
      <c r="W57" s="6"/>
      <c r="X57" s="6"/>
      <c r="Y57" s="6"/>
      <c r="Z57" s="6" t="s">
        <v>1968</v>
      </c>
      <c r="AA57" s="8"/>
      <c r="AB57" s="8"/>
      <c r="AC57" s="6"/>
      <c r="AD57" s="6"/>
      <c r="AE57" s="9" t="s">
        <v>1804</v>
      </c>
    </row>
    <row r="58" spans="1:31" s="10" customFormat="1" ht="15.75" x14ac:dyDescent="0.25">
      <c r="A58" s="3">
        <v>49</v>
      </c>
      <c r="B58" s="3" t="s">
        <v>32</v>
      </c>
      <c r="C58" s="5" t="s">
        <v>1861</v>
      </c>
      <c r="D58" s="4" t="s">
        <v>1862</v>
      </c>
      <c r="E58" s="6">
        <v>49</v>
      </c>
      <c r="F58" s="6">
        <v>450</v>
      </c>
      <c r="G58" s="3">
        <v>913.1</v>
      </c>
      <c r="H58" s="3" t="s">
        <v>51</v>
      </c>
      <c r="I58" s="7">
        <v>45783</v>
      </c>
      <c r="J58" s="3" t="s">
        <v>76</v>
      </c>
      <c r="K58" s="3"/>
      <c r="L58" s="3"/>
      <c r="M58" s="3"/>
      <c r="N58" s="3"/>
      <c r="O58" s="3"/>
      <c r="P58" s="3"/>
      <c r="Q58" s="6" t="s">
        <v>101</v>
      </c>
      <c r="R58" s="7"/>
      <c r="S58" s="7"/>
      <c r="T58" s="7"/>
      <c r="U58" s="20"/>
      <c r="V58" s="11"/>
      <c r="W58" s="6"/>
      <c r="X58" s="6"/>
      <c r="Y58" s="6"/>
      <c r="Z58" s="6"/>
      <c r="AA58" s="8"/>
      <c r="AB58" s="8"/>
      <c r="AC58" s="6"/>
      <c r="AD58" s="6"/>
      <c r="AE58" s="9"/>
    </row>
    <row r="59" spans="1:31" s="10" customFormat="1" ht="15.75" x14ac:dyDescent="0.25">
      <c r="A59" s="3">
        <v>50</v>
      </c>
      <c r="B59" s="3" t="s">
        <v>32</v>
      </c>
      <c r="C59" s="5" t="s">
        <v>844</v>
      </c>
      <c r="D59" s="4" t="s">
        <v>1867</v>
      </c>
      <c r="E59" s="6">
        <v>39</v>
      </c>
      <c r="F59" s="6">
        <v>701</v>
      </c>
      <c r="G59" s="3">
        <v>1630.7</v>
      </c>
      <c r="H59" s="3" t="s">
        <v>75</v>
      </c>
      <c r="I59" s="7">
        <v>45783</v>
      </c>
      <c r="J59" s="3"/>
      <c r="K59" s="3" t="s">
        <v>62</v>
      </c>
      <c r="L59" s="3"/>
      <c r="M59" s="3"/>
      <c r="N59" s="3"/>
      <c r="O59" s="3"/>
      <c r="P59" s="3"/>
      <c r="Q59" s="6" t="s">
        <v>101</v>
      </c>
      <c r="R59" s="7"/>
      <c r="S59" s="7"/>
      <c r="T59" s="7"/>
      <c r="U59" s="20"/>
      <c r="V59" s="11"/>
      <c r="W59" s="6"/>
      <c r="X59" s="6"/>
      <c r="Y59" s="6"/>
      <c r="Z59" s="6"/>
      <c r="AA59" s="8"/>
      <c r="AB59" s="8"/>
      <c r="AC59" s="6"/>
      <c r="AD59" s="6"/>
      <c r="AE59" s="9"/>
    </row>
    <row r="60" spans="1:31" s="10" customFormat="1" ht="31.5" x14ac:dyDescent="0.25">
      <c r="A60" s="3">
        <v>51</v>
      </c>
      <c r="B60" s="3" t="s">
        <v>32</v>
      </c>
      <c r="C60" s="5" t="s">
        <v>1870</v>
      </c>
      <c r="D60" s="4" t="s">
        <v>1871</v>
      </c>
      <c r="E60" s="6">
        <v>46</v>
      </c>
      <c r="F60" s="6">
        <v>472</v>
      </c>
      <c r="G60" s="3">
        <v>1040.4000000000001</v>
      </c>
      <c r="H60" s="3" t="s">
        <v>75</v>
      </c>
      <c r="I60" s="7" t="s">
        <v>2351</v>
      </c>
      <c r="J60" s="3" t="s">
        <v>153</v>
      </c>
      <c r="K60" s="3"/>
      <c r="L60" s="3"/>
      <c r="M60" s="3"/>
      <c r="N60" s="3"/>
      <c r="O60" s="3"/>
      <c r="P60" s="3"/>
      <c r="Q60" s="6" t="s">
        <v>101</v>
      </c>
      <c r="R60" s="7">
        <v>45834</v>
      </c>
      <c r="S60" s="7">
        <v>45834</v>
      </c>
      <c r="T60" s="7">
        <v>45834</v>
      </c>
      <c r="U60" s="20">
        <v>1952</v>
      </c>
      <c r="V60" s="11">
        <v>961551</v>
      </c>
      <c r="W60" s="6"/>
      <c r="X60" s="6"/>
      <c r="Y60" s="6"/>
      <c r="Z60" s="6" t="s">
        <v>2740</v>
      </c>
      <c r="AA60" s="8" t="s">
        <v>2741</v>
      </c>
      <c r="AB60" s="8"/>
      <c r="AC60" s="6"/>
      <c r="AD60" s="6"/>
      <c r="AE60" s="9"/>
    </row>
    <row r="61" spans="1:31" s="10" customFormat="1" ht="78.75" x14ac:dyDescent="0.25">
      <c r="A61" s="3">
        <v>52</v>
      </c>
      <c r="B61" s="3" t="s">
        <v>32</v>
      </c>
      <c r="C61" s="5" t="s">
        <v>1471</v>
      </c>
      <c r="D61" s="4" t="s">
        <v>315</v>
      </c>
      <c r="E61" s="6">
        <v>39</v>
      </c>
      <c r="F61" s="6">
        <v>120</v>
      </c>
      <c r="G61" s="3"/>
      <c r="H61" s="3"/>
      <c r="I61" s="7">
        <v>45784</v>
      </c>
      <c r="J61" s="3"/>
      <c r="K61" s="3"/>
      <c r="L61" s="3"/>
      <c r="M61" s="3"/>
      <c r="N61" s="3" t="s">
        <v>56</v>
      </c>
      <c r="O61" s="3"/>
      <c r="P61" s="3"/>
      <c r="Q61" s="6" t="s">
        <v>101</v>
      </c>
      <c r="R61" s="7"/>
      <c r="S61" s="7"/>
      <c r="T61" s="7"/>
      <c r="U61" s="20"/>
      <c r="V61" s="11"/>
      <c r="W61" s="6"/>
      <c r="X61" s="6"/>
      <c r="Y61" s="6"/>
      <c r="Z61" s="6"/>
      <c r="AA61" s="8"/>
      <c r="AB61" s="8"/>
      <c r="AC61" s="6" t="s">
        <v>1872</v>
      </c>
      <c r="AD61" s="6"/>
      <c r="AE61" s="9"/>
    </row>
    <row r="62" spans="1:31" s="10" customFormat="1" ht="31.5" x14ac:dyDescent="0.25">
      <c r="A62" s="3">
        <v>53</v>
      </c>
      <c r="B62" s="3" t="s">
        <v>32</v>
      </c>
      <c r="C62" s="5" t="s">
        <v>1893</v>
      </c>
      <c r="D62" s="4" t="s">
        <v>1894</v>
      </c>
      <c r="E62" s="6">
        <v>47</v>
      </c>
      <c r="F62" s="6">
        <v>954</v>
      </c>
      <c r="G62" s="3">
        <v>76.2</v>
      </c>
      <c r="H62" s="3" t="s">
        <v>55</v>
      </c>
      <c r="I62" s="7">
        <v>45785</v>
      </c>
      <c r="J62" s="3"/>
      <c r="K62" s="3"/>
      <c r="L62" s="3"/>
      <c r="M62" s="3"/>
      <c r="N62" s="3"/>
      <c r="O62" s="3"/>
      <c r="P62" s="3" t="s">
        <v>52</v>
      </c>
      <c r="Q62" s="6" t="s">
        <v>101</v>
      </c>
      <c r="R62" s="7">
        <v>45811</v>
      </c>
      <c r="S62" s="7">
        <v>45813</v>
      </c>
      <c r="T62" s="7">
        <v>45813</v>
      </c>
      <c r="U62" s="20">
        <v>1262</v>
      </c>
      <c r="V62" s="11">
        <v>1416978</v>
      </c>
      <c r="W62" s="6"/>
      <c r="X62" s="6"/>
      <c r="Y62" s="6"/>
      <c r="Z62" s="6"/>
      <c r="AA62" s="8"/>
      <c r="AB62" s="8"/>
      <c r="AC62" s="6" t="s">
        <v>2372</v>
      </c>
      <c r="AD62" s="6"/>
      <c r="AE62" s="9"/>
    </row>
    <row r="63" spans="1:31" ht="16.5" x14ac:dyDescent="0.25">
      <c r="A63" s="12"/>
      <c r="B63" s="73" t="s">
        <v>1919</v>
      </c>
      <c r="C63" s="74"/>
      <c r="D63" s="74"/>
      <c r="E63" s="74"/>
      <c r="F63" s="74"/>
      <c r="G63" s="74"/>
      <c r="H63" s="75"/>
      <c r="I63" s="13"/>
      <c r="J63" s="14">
        <f>COUNTIF(J57:J62,"CT")+COUNTIF(J57:J62,"CQ")+COUNTIF(J60:J62,"CT")</f>
        <v>2</v>
      </c>
      <c r="K63" s="14">
        <f>COUNTIF(K56:K62,"CMĐ")</f>
        <v>2</v>
      </c>
      <c r="L63" s="14">
        <f>COUNTIF(L59:L62,"XMDT")+COUNTIF(L59:L62,"Mốc")</f>
        <v>0</v>
      </c>
      <c r="M63" s="14">
        <f>COUNTIF(M50:M62,"THÁn")</f>
        <v>0</v>
      </c>
      <c r="N63" s="14">
        <f>COUNTIF(N61:N62,"TÒA")</f>
        <v>1</v>
      </c>
      <c r="O63" s="14">
        <f>COUNTIF(O60:O62,"Cấp GCN")</f>
        <v>0</v>
      </c>
      <c r="P63" s="14">
        <f>COUNTIF(P59:P62,"SHN")</f>
        <v>1</v>
      </c>
      <c r="Q63" s="15"/>
      <c r="R63" s="13"/>
      <c r="S63" s="15"/>
      <c r="T63" s="15"/>
      <c r="U63" s="16"/>
      <c r="V63" s="11"/>
      <c r="W63" s="17"/>
      <c r="X63" s="2"/>
      <c r="AD63" s="14">
        <f>COUNTIF(AD62,"kt")</f>
        <v>0</v>
      </c>
    </row>
    <row r="64" spans="1:31" s="10" customFormat="1" ht="31.5" x14ac:dyDescent="0.25">
      <c r="A64" s="3">
        <v>54</v>
      </c>
      <c r="B64" s="3" t="s">
        <v>32</v>
      </c>
      <c r="C64" s="5" t="s">
        <v>506</v>
      </c>
      <c r="D64" s="4" t="s">
        <v>507</v>
      </c>
      <c r="E64" s="6">
        <v>24</v>
      </c>
      <c r="F64" s="6">
        <v>86</v>
      </c>
      <c r="G64" s="3">
        <v>1334</v>
      </c>
      <c r="H64" s="3" t="s">
        <v>75</v>
      </c>
      <c r="I64" s="7">
        <v>45789</v>
      </c>
      <c r="J64" s="3" t="s">
        <v>153</v>
      </c>
      <c r="K64" s="3"/>
      <c r="L64" s="3"/>
      <c r="M64" s="3"/>
      <c r="N64" s="3"/>
      <c r="O64" s="3"/>
      <c r="P64" s="3"/>
      <c r="Q64" s="6" t="s">
        <v>101</v>
      </c>
      <c r="R64" s="7">
        <v>45807</v>
      </c>
      <c r="S64" s="7">
        <v>45810</v>
      </c>
      <c r="T64" s="7">
        <v>45810</v>
      </c>
      <c r="U64" s="6">
        <v>1159</v>
      </c>
      <c r="V64" s="11">
        <v>1019155</v>
      </c>
      <c r="W64" s="6"/>
      <c r="X64" s="6"/>
      <c r="Y64" s="6"/>
      <c r="Z64" s="8" t="s">
        <v>2675</v>
      </c>
      <c r="AA64" s="8" t="s">
        <v>2676</v>
      </c>
      <c r="AB64" s="8" t="s">
        <v>2674</v>
      </c>
      <c r="AC64" s="6"/>
      <c r="AD64" s="6"/>
      <c r="AE64" s="9"/>
    </row>
    <row r="65" spans="1:31" s="10" customFormat="1" ht="15.75" x14ac:dyDescent="0.25">
      <c r="A65" s="3">
        <v>55</v>
      </c>
      <c r="B65" s="3" t="s">
        <v>32</v>
      </c>
      <c r="C65" s="5" t="s">
        <v>1941</v>
      </c>
      <c r="D65" s="4" t="s">
        <v>1942</v>
      </c>
      <c r="E65" s="6">
        <v>47</v>
      </c>
      <c r="F65" s="6">
        <v>214</v>
      </c>
      <c r="G65" s="3">
        <v>84.9</v>
      </c>
      <c r="H65" s="3" t="s">
        <v>51</v>
      </c>
      <c r="I65" s="7">
        <v>45790</v>
      </c>
      <c r="J65" s="3"/>
      <c r="K65" s="3"/>
      <c r="L65" s="3" t="s">
        <v>1</v>
      </c>
      <c r="M65" s="3"/>
      <c r="N65" s="3"/>
      <c r="O65" s="3"/>
      <c r="P65" s="3"/>
      <c r="Q65" s="6" t="s">
        <v>101</v>
      </c>
      <c r="R65" s="7"/>
      <c r="S65" s="7"/>
      <c r="T65" s="7"/>
      <c r="U65" s="20"/>
      <c r="V65" s="11"/>
      <c r="W65" s="6"/>
      <c r="X65" s="6"/>
      <c r="Y65" s="6"/>
      <c r="Z65" s="6"/>
      <c r="AA65" s="8"/>
      <c r="AB65" s="8"/>
      <c r="AC65" s="6"/>
      <c r="AD65" s="6"/>
      <c r="AE65" s="9"/>
    </row>
    <row r="66" spans="1:31" s="10" customFormat="1" ht="47.25" x14ac:dyDescent="0.25">
      <c r="A66" s="3">
        <v>56</v>
      </c>
      <c r="B66" s="3" t="s">
        <v>32</v>
      </c>
      <c r="C66" s="5" t="s">
        <v>1943</v>
      </c>
      <c r="D66" s="4"/>
      <c r="E66" s="6">
        <v>14</v>
      </c>
      <c r="F66" s="6">
        <v>166</v>
      </c>
      <c r="G66" s="3">
        <v>57.3</v>
      </c>
      <c r="H66" s="3" t="s">
        <v>55</v>
      </c>
      <c r="I66" s="7">
        <v>45789</v>
      </c>
      <c r="J66" s="3"/>
      <c r="K66" s="3"/>
      <c r="L66" s="3" t="s">
        <v>98</v>
      </c>
      <c r="M66" s="3"/>
      <c r="N66" s="3"/>
      <c r="O66" s="3"/>
      <c r="P66" s="3"/>
      <c r="Q66" s="6" t="s">
        <v>101</v>
      </c>
      <c r="R66" s="7">
        <v>45793</v>
      </c>
      <c r="S66" s="7">
        <v>45800</v>
      </c>
      <c r="T66" s="7">
        <v>45800</v>
      </c>
      <c r="U66" s="20">
        <v>874</v>
      </c>
      <c r="V66" s="11">
        <v>2060577</v>
      </c>
      <c r="W66" s="6"/>
      <c r="X66" s="6"/>
      <c r="Y66" s="6"/>
      <c r="Z66" s="6"/>
      <c r="AA66" s="8"/>
      <c r="AB66" s="8"/>
      <c r="AC66" s="6" t="s">
        <v>1944</v>
      </c>
      <c r="AD66" s="6"/>
      <c r="AE66" s="9"/>
    </row>
    <row r="67" spans="1:31" s="10" customFormat="1" ht="31.5" x14ac:dyDescent="0.25">
      <c r="A67" s="3">
        <v>57</v>
      </c>
      <c r="B67" s="3" t="s">
        <v>32</v>
      </c>
      <c r="C67" s="5" t="s">
        <v>1948</v>
      </c>
      <c r="D67" s="4" t="s">
        <v>1950</v>
      </c>
      <c r="E67" s="6">
        <v>29</v>
      </c>
      <c r="F67" s="6">
        <v>715</v>
      </c>
      <c r="G67" s="3">
        <v>88</v>
      </c>
      <c r="H67" s="3" t="s">
        <v>55</v>
      </c>
      <c r="I67" s="7">
        <v>45789</v>
      </c>
      <c r="J67" s="3"/>
      <c r="K67" s="3"/>
      <c r="L67" s="3"/>
      <c r="M67" s="3"/>
      <c r="N67" s="3"/>
      <c r="O67" s="3"/>
      <c r="P67" s="3" t="s">
        <v>52</v>
      </c>
      <c r="Q67" s="6" t="s">
        <v>101</v>
      </c>
      <c r="R67" s="7">
        <v>45806</v>
      </c>
      <c r="S67" s="7">
        <v>45806</v>
      </c>
      <c r="T67" s="7">
        <v>45806</v>
      </c>
      <c r="U67" s="20">
        <v>1079</v>
      </c>
      <c r="V67" s="11">
        <v>2125468</v>
      </c>
      <c r="W67" s="6"/>
      <c r="X67" s="6"/>
      <c r="Y67" s="6"/>
      <c r="Z67" s="6"/>
      <c r="AA67" s="8"/>
      <c r="AB67" s="8"/>
      <c r="AC67" s="6" t="s">
        <v>2326</v>
      </c>
      <c r="AD67" s="6"/>
      <c r="AE67" s="9"/>
    </row>
    <row r="68" spans="1:31" s="10" customFormat="1" ht="94.5" x14ac:dyDescent="0.25">
      <c r="A68" s="3">
        <v>58</v>
      </c>
      <c r="B68" s="3" t="s">
        <v>32</v>
      </c>
      <c r="C68" s="5" t="s">
        <v>1949</v>
      </c>
      <c r="D68" s="4" t="s">
        <v>194</v>
      </c>
      <c r="E68" s="6">
        <v>46</v>
      </c>
      <c r="F68" s="6">
        <v>836</v>
      </c>
      <c r="G68" s="3">
        <v>387.5</v>
      </c>
      <c r="H68" s="3" t="s">
        <v>75</v>
      </c>
      <c r="I68" s="7">
        <v>45786</v>
      </c>
      <c r="J68" s="3"/>
      <c r="K68" s="3"/>
      <c r="L68" s="3"/>
      <c r="M68" s="3"/>
      <c r="N68" s="3"/>
      <c r="O68" s="3"/>
      <c r="P68" s="3" t="s">
        <v>52</v>
      </c>
      <c r="Q68" s="6" t="s">
        <v>101</v>
      </c>
      <c r="R68" s="7">
        <v>45833</v>
      </c>
      <c r="S68" s="7">
        <v>45834</v>
      </c>
      <c r="T68" s="7">
        <v>45834</v>
      </c>
      <c r="U68" s="20" t="s">
        <v>2725</v>
      </c>
      <c r="V68" s="11" t="s">
        <v>2726</v>
      </c>
      <c r="W68" s="6"/>
      <c r="X68" s="6"/>
      <c r="Y68" s="6"/>
      <c r="Z68" s="6"/>
      <c r="AA68" s="8"/>
      <c r="AB68" s="8"/>
      <c r="AC68" s="6"/>
      <c r="AD68" s="6"/>
      <c r="AE68" s="9"/>
    </row>
    <row r="69" spans="1:31" s="10" customFormat="1" ht="15.75" x14ac:dyDescent="0.25">
      <c r="A69" s="3">
        <v>59</v>
      </c>
      <c r="B69" s="3" t="s">
        <v>32</v>
      </c>
      <c r="C69" s="5" t="s">
        <v>176</v>
      </c>
      <c r="D69" s="4" t="s">
        <v>1976</v>
      </c>
      <c r="E69" s="6">
        <v>47</v>
      </c>
      <c r="F69" s="6">
        <v>660</v>
      </c>
      <c r="G69" s="3">
        <v>188.1</v>
      </c>
      <c r="H69" s="3" t="s">
        <v>75</v>
      </c>
      <c r="I69" s="7">
        <v>45791</v>
      </c>
      <c r="J69" s="3" t="s">
        <v>76</v>
      </c>
      <c r="K69" s="3"/>
      <c r="L69" s="3"/>
      <c r="M69" s="3"/>
      <c r="N69" s="3"/>
      <c r="O69" s="3"/>
      <c r="P69" s="3"/>
      <c r="Q69" s="6" t="s">
        <v>101</v>
      </c>
      <c r="R69" s="7">
        <v>45817</v>
      </c>
      <c r="S69" s="7"/>
      <c r="T69" s="7"/>
      <c r="U69" s="20"/>
      <c r="V69" s="11"/>
      <c r="W69" s="6"/>
      <c r="X69" s="6"/>
      <c r="Y69" s="6"/>
      <c r="Z69" s="6"/>
      <c r="AA69" s="8"/>
      <c r="AB69" s="8"/>
      <c r="AC69" s="6"/>
      <c r="AD69" s="6"/>
      <c r="AE69" s="9"/>
    </row>
    <row r="70" spans="1:31" s="10" customFormat="1" ht="31.5" x14ac:dyDescent="0.25">
      <c r="A70" s="3">
        <v>60</v>
      </c>
      <c r="B70" s="3" t="s">
        <v>32</v>
      </c>
      <c r="C70" s="5" t="s">
        <v>2007</v>
      </c>
      <c r="D70" s="4" t="s">
        <v>2008</v>
      </c>
      <c r="E70" s="6">
        <v>13</v>
      </c>
      <c r="F70" s="6">
        <v>50</v>
      </c>
      <c r="G70" s="3">
        <v>48.2</v>
      </c>
      <c r="H70" s="3" t="s">
        <v>55</v>
      </c>
      <c r="I70" s="7">
        <v>45791</v>
      </c>
      <c r="J70" s="3"/>
      <c r="K70" s="3"/>
      <c r="L70" s="3"/>
      <c r="M70" s="3"/>
      <c r="N70" s="3"/>
      <c r="O70" s="3"/>
      <c r="P70" s="3" t="s">
        <v>52</v>
      </c>
      <c r="Q70" s="6" t="s">
        <v>101</v>
      </c>
      <c r="R70" s="7"/>
      <c r="S70" s="7"/>
      <c r="T70" s="7"/>
      <c r="U70" s="20"/>
      <c r="V70" s="11"/>
      <c r="W70" s="6"/>
      <c r="X70" s="6"/>
      <c r="Y70" s="6"/>
      <c r="Z70" s="6"/>
      <c r="AA70" s="8"/>
      <c r="AB70" s="8"/>
      <c r="AC70" s="6"/>
      <c r="AD70" s="6"/>
      <c r="AE70" s="9"/>
    </row>
    <row r="71" spans="1:31" s="10" customFormat="1" ht="31.5" x14ac:dyDescent="0.25">
      <c r="A71" s="3">
        <v>61</v>
      </c>
      <c r="B71" s="3" t="s">
        <v>32</v>
      </c>
      <c r="C71" s="5" t="s">
        <v>1052</v>
      </c>
      <c r="D71" s="4" t="s">
        <v>565</v>
      </c>
      <c r="E71" s="6">
        <v>49</v>
      </c>
      <c r="F71" s="6">
        <v>404</v>
      </c>
      <c r="G71" s="3">
        <v>818.7</v>
      </c>
      <c r="H71" s="3" t="s">
        <v>51</v>
      </c>
      <c r="I71" s="7">
        <v>45791</v>
      </c>
      <c r="J71" s="3" t="s">
        <v>823</v>
      </c>
      <c r="K71" s="3"/>
      <c r="L71" s="3"/>
      <c r="M71" s="3"/>
      <c r="N71" s="3"/>
      <c r="O71" s="3"/>
      <c r="P71" s="3"/>
      <c r="Q71" s="6" t="s">
        <v>101</v>
      </c>
      <c r="R71" s="7">
        <v>45800</v>
      </c>
      <c r="S71" s="7">
        <v>45803</v>
      </c>
      <c r="T71" s="7">
        <v>45803</v>
      </c>
      <c r="U71" s="20">
        <v>916</v>
      </c>
      <c r="V71" s="11">
        <v>1019155</v>
      </c>
      <c r="W71" s="6"/>
      <c r="X71" s="6"/>
      <c r="Y71" s="6"/>
      <c r="Z71" s="6" t="s">
        <v>2277</v>
      </c>
      <c r="AA71" s="8" t="s">
        <v>2280</v>
      </c>
      <c r="AB71" s="8"/>
      <c r="AC71" s="6"/>
      <c r="AD71" s="6"/>
      <c r="AE71" s="9"/>
    </row>
    <row r="72" spans="1:31" s="10" customFormat="1" ht="31.5" x14ac:dyDescent="0.25">
      <c r="A72" s="3">
        <v>62</v>
      </c>
      <c r="B72" s="3" t="s">
        <v>32</v>
      </c>
      <c r="C72" s="5" t="s">
        <v>2024</v>
      </c>
      <c r="D72" s="4"/>
      <c r="E72" s="6">
        <v>47</v>
      </c>
      <c r="F72" s="6">
        <v>541</v>
      </c>
      <c r="G72" s="3">
        <v>925.3</v>
      </c>
      <c r="H72" s="3" t="s">
        <v>51</v>
      </c>
      <c r="I72" s="7">
        <v>45792</v>
      </c>
      <c r="J72" s="3" t="s">
        <v>76</v>
      </c>
      <c r="K72" s="3"/>
      <c r="L72" s="3"/>
      <c r="M72" s="3"/>
      <c r="N72" s="3"/>
      <c r="O72" s="3"/>
      <c r="P72" s="3"/>
      <c r="Q72" s="6" t="s">
        <v>101</v>
      </c>
      <c r="R72" s="7"/>
      <c r="S72" s="7"/>
      <c r="T72" s="7"/>
      <c r="U72" s="20"/>
      <c r="V72" s="11"/>
      <c r="W72" s="6"/>
      <c r="X72" s="6"/>
      <c r="Y72" s="6"/>
      <c r="Z72" s="6"/>
      <c r="AA72" s="8"/>
      <c r="AB72" s="8"/>
      <c r="AC72" s="6"/>
      <c r="AD72" s="6"/>
      <c r="AE72" s="9" t="s">
        <v>2025</v>
      </c>
    </row>
    <row r="73" spans="1:31" s="10" customFormat="1" ht="31.5" x14ac:dyDescent="0.25">
      <c r="A73" s="3">
        <v>63</v>
      </c>
      <c r="B73" s="3" t="s">
        <v>32</v>
      </c>
      <c r="C73" s="5" t="s">
        <v>2046</v>
      </c>
      <c r="D73" s="4" t="s">
        <v>2047</v>
      </c>
      <c r="E73" s="6">
        <v>43</v>
      </c>
      <c r="F73" s="6">
        <v>54</v>
      </c>
      <c r="G73" s="3">
        <v>1732</v>
      </c>
      <c r="H73" s="3" t="s">
        <v>51</v>
      </c>
      <c r="I73" s="7">
        <v>45792</v>
      </c>
      <c r="J73" s="3" t="s">
        <v>823</v>
      </c>
      <c r="K73" s="3"/>
      <c r="L73" s="3"/>
      <c r="M73" s="3"/>
      <c r="N73" s="3"/>
      <c r="O73" s="3"/>
      <c r="P73" s="3"/>
      <c r="Q73" s="6" t="s">
        <v>101</v>
      </c>
      <c r="R73" s="7">
        <v>45811</v>
      </c>
      <c r="S73" s="7">
        <v>45813</v>
      </c>
      <c r="T73" s="7">
        <v>45813</v>
      </c>
      <c r="U73" s="20">
        <v>1299</v>
      </c>
      <c r="V73" s="11">
        <v>1248329</v>
      </c>
      <c r="W73" s="6"/>
      <c r="X73" s="6"/>
      <c r="Y73" s="6"/>
      <c r="Z73" s="6" t="s">
        <v>2426</v>
      </c>
      <c r="AA73" s="8" t="s">
        <v>2395</v>
      </c>
      <c r="AB73" s="8"/>
      <c r="AC73" s="6"/>
      <c r="AD73" s="6"/>
      <c r="AE73" s="9"/>
    </row>
    <row r="74" spans="1:31" s="10" customFormat="1" ht="31.5" x14ac:dyDescent="0.25">
      <c r="A74" s="3">
        <v>64</v>
      </c>
      <c r="B74" s="3" t="s">
        <v>32</v>
      </c>
      <c r="C74" s="5" t="s">
        <v>2095</v>
      </c>
      <c r="D74" s="4"/>
      <c r="E74" s="6">
        <v>34</v>
      </c>
      <c r="F74" s="6">
        <v>810</v>
      </c>
      <c r="G74" s="3">
        <v>479.3</v>
      </c>
      <c r="H74" s="3" t="s">
        <v>51</v>
      </c>
      <c r="I74" s="7">
        <v>45796</v>
      </c>
      <c r="J74" s="3"/>
      <c r="K74" s="3" t="s">
        <v>62</v>
      </c>
      <c r="L74" s="3"/>
      <c r="M74" s="3"/>
      <c r="N74" s="3"/>
      <c r="O74" s="3"/>
      <c r="P74" s="3"/>
      <c r="Q74" s="6" t="s">
        <v>101</v>
      </c>
      <c r="R74" s="7">
        <v>45806</v>
      </c>
      <c r="S74" s="7">
        <v>45806</v>
      </c>
      <c r="T74" s="7">
        <v>45806</v>
      </c>
      <c r="U74" s="20">
        <v>1076</v>
      </c>
      <c r="V74" s="11">
        <v>961551</v>
      </c>
      <c r="W74" s="6"/>
      <c r="X74" s="6"/>
      <c r="Y74" s="6"/>
      <c r="Z74" s="6" t="s">
        <v>2624</v>
      </c>
      <c r="AA74" s="6" t="s">
        <v>2625</v>
      </c>
      <c r="AB74" s="8"/>
      <c r="AC74" s="6"/>
      <c r="AD74" s="6"/>
      <c r="AE74" s="9" t="s">
        <v>1087</v>
      </c>
    </row>
    <row r="75" spans="1:31" s="10" customFormat="1" ht="31.5" x14ac:dyDescent="0.25">
      <c r="A75" s="3">
        <v>65</v>
      </c>
      <c r="B75" s="3" t="s">
        <v>32</v>
      </c>
      <c r="C75" s="5" t="s">
        <v>2095</v>
      </c>
      <c r="D75" s="4" t="s">
        <v>2096</v>
      </c>
      <c r="E75" s="6">
        <v>34</v>
      </c>
      <c r="F75" s="6">
        <v>809</v>
      </c>
      <c r="G75" s="3">
        <v>553.29999999999995</v>
      </c>
      <c r="H75" s="3" t="s">
        <v>51</v>
      </c>
      <c r="I75" s="7">
        <v>45796</v>
      </c>
      <c r="J75" s="3"/>
      <c r="K75" s="3" t="s">
        <v>62</v>
      </c>
      <c r="L75" s="3"/>
      <c r="M75" s="3"/>
      <c r="N75" s="3"/>
      <c r="O75" s="3"/>
      <c r="P75" s="3"/>
      <c r="Q75" s="6" t="s">
        <v>101</v>
      </c>
      <c r="R75" s="7">
        <v>45806</v>
      </c>
      <c r="S75" s="7">
        <v>45806</v>
      </c>
      <c r="T75" s="7">
        <v>45806</v>
      </c>
      <c r="U75" s="20">
        <v>1081</v>
      </c>
      <c r="V75" s="11">
        <v>961551</v>
      </c>
      <c r="W75" s="6"/>
      <c r="X75" s="6"/>
      <c r="Y75" s="6"/>
      <c r="Z75" s="6" t="s">
        <v>2624</v>
      </c>
      <c r="AA75" s="6" t="s">
        <v>2625</v>
      </c>
      <c r="AB75" s="8"/>
      <c r="AC75" s="6"/>
      <c r="AD75" s="6"/>
      <c r="AE75" s="9" t="s">
        <v>1087</v>
      </c>
    </row>
    <row r="76" spans="1:31" s="10" customFormat="1" ht="15.75" x14ac:dyDescent="0.25">
      <c r="A76" s="3">
        <v>66</v>
      </c>
      <c r="B76" s="3" t="s">
        <v>32</v>
      </c>
      <c r="C76" s="5" t="s">
        <v>2097</v>
      </c>
      <c r="D76" s="4" t="s">
        <v>2098</v>
      </c>
      <c r="E76" s="6">
        <v>46</v>
      </c>
      <c r="F76" s="6">
        <v>240</v>
      </c>
      <c r="G76" s="3">
        <v>282.2</v>
      </c>
      <c r="H76" s="3" t="s">
        <v>51</v>
      </c>
      <c r="I76" s="7">
        <v>45796</v>
      </c>
      <c r="J76" s="3"/>
      <c r="K76" s="3" t="s">
        <v>62</v>
      </c>
      <c r="L76" s="3"/>
      <c r="M76" s="3"/>
      <c r="N76" s="3"/>
      <c r="O76" s="3"/>
      <c r="P76" s="3"/>
      <c r="Q76" s="6" t="s">
        <v>101</v>
      </c>
      <c r="R76" s="7">
        <v>45834</v>
      </c>
      <c r="S76" s="7"/>
      <c r="T76" s="7"/>
      <c r="U76" s="20"/>
      <c r="V76" s="11"/>
      <c r="W76" s="6"/>
      <c r="X76" s="6"/>
      <c r="Y76" s="6"/>
      <c r="Z76" s="6"/>
      <c r="AA76" s="8"/>
      <c r="AB76" s="8"/>
      <c r="AC76" s="6"/>
      <c r="AD76" s="6"/>
      <c r="AE76" s="9" t="s">
        <v>1087</v>
      </c>
    </row>
    <row r="77" spans="1:31" ht="16.5" x14ac:dyDescent="0.25">
      <c r="A77" s="12"/>
      <c r="B77" s="73" t="s">
        <v>2099</v>
      </c>
      <c r="C77" s="74"/>
      <c r="D77" s="74"/>
      <c r="E77" s="74"/>
      <c r="F77" s="74"/>
      <c r="G77" s="74"/>
      <c r="H77" s="75"/>
      <c r="I77" s="13"/>
      <c r="J77" s="14">
        <f>COUNTIF(J64:J76,"CQ")+COUNTIF(J64:J76,"IG")+COUNTIF(J64:J76,"CT")</f>
        <v>5</v>
      </c>
      <c r="K77" s="14">
        <f>COUNTIF(K70:K76,"CMĐ")</f>
        <v>3</v>
      </c>
      <c r="L77" s="14">
        <f>COUNTIF(L64:L76,"XMDT")+COUNTIF(L64:L76,"Mốc")</f>
        <v>2</v>
      </c>
      <c r="M77" s="14">
        <f>COUNTIF(M64:M76,"THÁn")</f>
        <v>0</v>
      </c>
      <c r="N77" s="14">
        <f>COUNTIF(N75:N76,"TÒA")</f>
        <v>0</v>
      </c>
      <c r="O77" s="14">
        <f>COUNTIF(O74:O76,"Cấp GCN")</f>
        <v>0</v>
      </c>
      <c r="P77" s="14">
        <f>COUNTIF(P64:P76,"SHN")</f>
        <v>3</v>
      </c>
      <c r="Q77" s="15"/>
      <c r="R77" s="13"/>
      <c r="S77" s="15"/>
      <c r="T77" s="15"/>
      <c r="U77" s="16"/>
      <c r="V77" s="11"/>
      <c r="W77" s="17"/>
      <c r="X77" s="2"/>
      <c r="AD77" s="14">
        <f>COUNTIF(AD76,"kt")</f>
        <v>0</v>
      </c>
    </row>
    <row r="78" spans="1:31" s="10" customFormat="1" ht="33.75" customHeight="1" x14ac:dyDescent="0.25">
      <c r="A78" s="3">
        <v>67</v>
      </c>
      <c r="B78" s="3" t="s">
        <v>32</v>
      </c>
      <c r="C78" s="5" t="s">
        <v>2102</v>
      </c>
      <c r="D78" s="4" t="s">
        <v>567</v>
      </c>
      <c r="E78" s="6">
        <v>29</v>
      </c>
      <c r="F78" s="6">
        <v>632</v>
      </c>
      <c r="G78" s="3"/>
      <c r="H78" s="3" t="s">
        <v>55</v>
      </c>
      <c r="I78" s="7">
        <v>45783</v>
      </c>
      <c r="J78" s="3"/>
      <c r="K78" s="3"/>
      <c r="L78" s="3"/>
      <c r="M78" s="3"/>
      <c r="N78" s="3"/>
      <c r="O78" s="3"/>
      <c r="P78" s="3" t="s">
        <v>52</v>
      </c>
      <c r="Q78" s="6" t="s">
        <v>101</v>
      </c>
      <c r="R78" s="7">
        <v>45797</v>
      </c>
      <c r="S78" s="7">
        <v>45798</v>
      </c>
      <c r="T78" s="7">
        <v>45798</v>
      </c>
      <c r="U78" s="20">
        <v>779</v>
      </c>
      <c r="V78" s="11">
        <v>1416978</v>
      </c>
      <c r="W78" s="6"/>
      <c r="X78" s="6"/>
      <c r="Y78" s="6"/>
      <c r="Z78" s="6"/>
      <c r="AA78" s="8"/>
      <c r="AB78" s="8"/>
      <c r="AC78" s="6"/>
      <c r="AD78" s="6"/>
      <c r="AE78" s="9"/>
    </row>
    <row r="79" spans="1:31" s="10" customFormat="1" ht="31.5" x14ac:dyDescent="0.25">
      <c r="A79" s="3">
        <v>68</v>
      </c>
      <c r="B79" s="3" t="s">
        <v>32</v>
      </c>
      <c r="C79" s="5" t="s">
        <v>2108</v>
      </c>
      <c r="D79" s="4"/>
      <c r="E79" s="6">
        <v>26</v>
      </c>
      <c r="F79" s="6">
        <v>81</v>
      </c>
      <c r="G79" s="3">
        <v>64.900000000000006</v>
      </c>
      <c r="H79" s="3" t="s">
        <v>55</v>
      </c>
      <c r="I79" s="7">
        <v>45797</v>
      </c>
      <c r="J79" s="3"/>
      <c r="K79" s="3"/>
      <c r="L79" s="3"/>
      <c r="M79" s="3"/>
      <c r="N79" s="3"/>
      <c r="O79" s="3"/>
      <c r="P79" s="3" t="s">
        <v>52</v>
      </c>
      <c r="Q79" s="6" t="s">
        <v>101</v>
      </c>
      <c r="R79" s="7">
        <v>45813</v>
      </c>
      <c r="S79" s="7">
        <v>45813</v>
      </c>
      <c r="T79" s="7">
        <v>45813</v>
      </c>
      <c r="U79" s="20">
        <v>1279</v>
      </c>
      <c r="V79" s="11">
        <v>2125468</v>
      </c>
      <c r="W79" s="6"/>
      <c r="X79" s="6"/>
      <c r="Y79" s="6"/>
      <c r="Z79" s="6"/>
      <c r="AA79" s="8"/>
      <c r="AB79" s="8"/>
      <c r="AC79" s="6" t="s">
        <v>2373</v>
      </c>
      <c r="AD79" s="6"/>
      <c r="AE79" s="9" t="s">
        <v>1086</v>
      </c>
    </row>
    <row r="80" spans="1:31" s="10" customFormat="1" ht="31.5" x14ac:dyDescent="0.25">
      <c r="A80" s="3">
        <v>69</v>
      </c>
      <c r="B80" s="3" t="s">
        <v>32</v>
      </c>
      <c r="C80" s="5" t="s">
        <v>1803</v>
      </c>
      <c r="D80" s="4"/>
      <c r="E80" s="6">
        <v>34</v>
      </c>
      <c r="F80" s="6">
        <v>79</v>
      </c>
      <c r="G80" s="3">
        <v>1929.5</v>
      </c>
      <c r="H80" s="3" t="s">
        <v>75</v>
      </c>
      <c r="I80" s="7">
        <v>45798</v>
      </c>
      <c r="J80" s="3" t="s">
        <v>153</v>
      </c>
      <c r="K80" s="3"/>
      <c r="L80" s="3"/>
      <c r="M80" s="3"/>
      <c r="N80" s="3"/>
      <c r="O80" s="3"/>
      <c r="P80" s="3"/>
      <c r="Q80" s="6" t="s">
        <v>101</v>
      </c>
      <c r="R80" s="7">
        <v>45800</v>
      </c>
      <c r="S80" s="7">
        <v>45800</v>
      </c>
      <c r="T80" s="7">
        <v>45800</v>
      </c>
      <c r="U80" s="20">
        <v>907</v>
      </c>
      <c r="V80" s="11">
        <v>2125468</v>
      </c>
      <c r="W80" s="6"/>
      <c r="X80" s="6"/>
      <c r="Y80" s="6"/>
      <c r="Z80" s="6" t="s">
        <v>2210</v>
      </c>
      <c r="AA80" s="8" t="s">
        <v>2211</v>
      </c>
      <c r="AB80" s="8"/>
      <c r="AC80" s="6"/>
      <c r="AD80" s="6"/>
      <c r="AE80" s="9" t="s">
        <v>1804</v>
      </c>
    </row>
    <row r="81" spans="1:31" s="10" customFormat="1" ht="63" x14ac:dyDescent="0.25">
      <c r="A81" s="3">
        <v>70</v>
      </c>
      <c r="B81" s="3" t="s">
        <v>32</v>
      </c>
      <c r="C81" s="5" t="s">
        <v>1471</v>
      </c>
      <c r="D81" s="4" t="s">
        <v>315</v>
      </c>
      <c r="E81" s="6">
        <v>39</v>
      </c>
      <c r="F81" s="6">
        <v>120</v>
      </c>
      <c r="G81" s="6">
        <v>127.9</v>
      </c>
      <c r="H81" s="3" t="s">
        <v>51</v>
      </c>
      <c r="I81" s="7">
        <v>45798</v>
      </c>
      <c r="J81" s="3"/>
      <c r="K81" s="3"/>
      <c r="L81" s="3"/>
      <c r="M81" s="3"/>
      <c r="N81" s="3" t="s">
        <v>56</v>
      </c>
      <c r="O81" s="3"/>
      <c r="P81" s="3"/>
      <c r="Q81" s="6" t="s">
        <v>101</v>
      </c>
      <c r="R81" s="7"/>
      <c r="S81" s="7"/>
      <c r="T81" s="7"/>
      <c r="U81" s="20"/>
      <c r="V81" s="11"/>
      <c r="W81" s="6"/>
      <c r="X81" s="6"/>
      <c r="Y81" s="6"/>
      <c r="Z81" s="6"/>
      <c r="AA81" s="8"/>
      <c r="AB81" s="8" t="s">
        <v>2146</v>
      </c>
      <c r="AC81" s="6"/>
      <c r="AD81" s="6"/>
      <c r="AE81" s="9"/>
    </row>
    <row r="82" spans="1:31" ht="16.5" x14ac:dyDescent="0.25">
      <c r="A82" s="12"/>
      <c r="B82" s="73" t="s">
        <v>2208</v>
      </c>
      <c r="C82" s="74"/>
      <c r="D82" s="74"/>
      <c r="E82" s="74"/>
      <c r="F82" s="74"/>
      <c r="G82" s="74"/>
      <c r="H82" s="75"/>
      <c r="I82" s="13"/>
      <c r="J82" s="14">
        <f>COUNTIF(J78:J81,"CQ")+COUNTIF(J78:J81,"IG")+COUNTIF(J78:J81,"CT")</f>
        <v>1</v>
      </c>
      <c r="K82" s="14">
        <f>COUNTIF(K78:K81,"CMĐ")</f>
        <v>0</v>
      </c>
      <c r="L82" s="14">
        <f>COUNTIF(L69:L81,"XMDT")+COUNTIF(L69:L81,"Mốc")</f>
        <v>0</v>
      </c>
      <c r="M82" s="14">
        <f>COUNTIF(M69:M81,"THÁn")</f>
        <v>0</v>
      </c>
      <c r="N82" s="14">
        <f>COUNTIF(N80:N81,"TÒA")</f>
        <v>1</v>
      </c>
      <c r="O82" s="14">
        <f>COUNTIF(O79:O81,"Cấp GCN")</f>
        <v>0</v>
      </c>
      <c r="P82" s="14">
        <f>COUNTIF(P78:P81,"SHN")</f>
        <v>2</v>
      </c>
      <c r="Q82" s="15"/>
      <c r="R82" s="13"/>
      <c r="S82" s="15"/>
      <c r="T82" s="15"/>
      <c r="U82" s="16"/>
      <c r="V82" s="11"/>
      <c r="W82" s="17"/>
      <c r="X82" s="2"/>
      <c r="AD82" s="14">
        <f>COUNTIF(AD81,"kt")</f>
        <v>0</v>
      </c>
    </row>
    <row r="83" spans="1:31" s="10" customFormat="1" ht="47.25" x14ac:dyDescent="0.25">
      <c r="A83" s="3">
        <v>71</v>
      </c>
      <c r="B83" s="3" t="s">
        <v>32</v>
      </c>
      <c r="C83" s="5" t="s">
        <v>2219</v>
      </c>
      <c r="D83" s="4" t="s">
        <v>2220</v>
      </c>
      <c r="E83" s="6">
        <v>29</v>
      </c>
      <c r="F83" s="6">
        <v>410</v>
      </c>
      <c r="G83" s="3">
        <v>88</v>
      </c>
      <c r="H83" s="3" t="s">
        <v>55</v>
      </c>
      <c r="I83" s="7" t="s">
        <v>2226</v>
      </c>
      <c r="J83" s="3"/>
      <c r="K83" s="3"/>
      <c r="L83" s="3" t="s">
        <v>98</v>
      </c>
      <c r="M83" s="3"/>
      <c r="N83" s="3"/>
      <c r="O83" s="3"/>
      <c r="P83" s="3"/>
      <c r="Q83" s="6" t="s">
        <v>101</v>
      </c>
      <c r="R83" s="7">
        <v>45810</v>
      </c>
      <c r="S83" s="7">
        <v>45811</v>
      </c>
      <c r="T83" s="7">
        <v>45811</v>
      </c>
      <c r="U83" s="20">
        <v>1197</v>
      </c>
      <c r="V83" s="11">
        <v>2235043</v>
      </c>
      <c r="W83" s="6"/>
      <c r="X83" s="6"/>
      <c r="Y83" s="6"/>
      <c r="Z83" s="6"/>
      <c r="AA83" s="8"/>
      <c r="AB83" s="6" t="s">
        <v>2218</v>
      </c>
      <c r="AC83" s="6"/>
      <c r="AD83" s="6"/>
      <c r="AE83" s="9"/>
    </row>
    <row r="84" spans="1:31" s="10" customFormat="1" ht="15.75" x14ac:dyDescent="0.25">
      <c r="A84" s="3">
        <v>72</v>
      </c>
      <c r="B84" s="3" t="s">
        <v>32</v>
      </c>
      <c r="C84" s="5" t="s">
        <v>858</v>
      </c>
      <c r="D84" s="4" t="s">
        <v>2230</v>
      </c>
      <c r="E84" s="6">
        <v>43</v>
      </c>
      <c r="F84" s="6">
        <v>346</v>
      </c>
      <c r="G84" s="3">
        <v>198.6</v>
      </c>
      <c r="H84" s="3" t="s">
        <v>51</v>
      </c>
      <c r="I84" s="7" t="s">
        <v>2226</v>
      </c>
      <c r="J84" s="3"/>
      <c r="K84" s="3" t="s">
        <v>62</v>
      </c>
      <c r="L84" s="3"/>
      <c r="M84" s="3"/>
      <c r="N84" s="3"/>
      <c r="O84" s="3"/>
      <c r="P84" s="3"/>
      <c r="Q84" s="6" t="s">
        <v>101</v>
      </c>
      <c r="R84" s="7"/>
      <c r="S84" s="7"/>
      <c r="T84" s="7"/>
      <c r="U84" s="20"/>
      <c r="V84" s="11"/>
      <c r="W84" s="6"/>
      <c r="X84" s="6"/>
      <c r="Y84" s="6"/>
      <c r="Z84" s="6"/>
      <c r="AA84" s="8"/>
      <c r="AB84" s="8"/>
      <c r="AC84" s="6"/>
      <c r="AD84" s="6"/>
      <c r="AE84" s="9"/>
    </row>
    <row r="85" spans="1:31" s="10" customFormat="1" ht="31.5" x14ac:dyDescent="0.25">
      <c r="A85" s="3">
        <v>73</v>
      </c>
      <c r="B85" s="3" t="s">
        <v>32</v>
      </c>
      <c r="C85" s="5" t="s">
        <v>2235</v>
      </c>
      <c r="D85" s="4" t="s">
        <v>2236</v>
      </c>
      <c r="E85" s="6">
        <v>13</v>
      </c>
      <c r="F85" s="6" t="s">
        <v>2237</v>
      </c>
      <c r="G85" s="6" t="s">
        <v>2238</v>
      </c>
      <c r="H85" s="6" t="s">
        <v>55</v>
      </c>
      <c r="I85" s="7">
        <v>45803</v>
      </c>
      <c r="J85" s="3"/>
      <c r="K85" s="3"/>
      <c r="L85" s="3"/>
      <c r="M85" s="3"/>
      <c r="N85" s="3"/>
      <c r="O85" s="3"/>
      <c r="P85" s="3" t="s">
        <v>52</v>
      </c>
      <c r="Q85" s="6" t="s">
        <v>101</v>
      </c>
      <c r="R85" s="7">
        <v>45834</v>
      </c>
      <c r="S85" s="7"/>
      <c r="T85" s="7"/>
      <c r="U85" s="20"/>
      <c r="V85" s="11"/>
      <c r="W85" s="6"/>
      <c r="X85" s="6"/>
      <c r="Y85" s="6"/>
      <c r="Z85" s="6"/>
      <c r="AA85" s="8"/>
      <c r="AB85" s="8"/>
      <c r="AC85" s="6"/>
      <c r="AD85" s="6"/>
      <c r="AE85" s="9"/>
    </row>
    <row r="86" spans="1:31" s="10" customFormat="1" ht="15.75" x14ac:dyDescent="0.25">
      <c r="A86" s="3">
        <v>74</v>
      </c>
      <c r="B86" s="3" t="s">
        <v>32</v>
      </c>
      <c r="C86" s="5" t="s">
        <v>275</v>
      </c>
      <c r="D86" s="4" t="s">
        <v>2245</v>
      </c>
      <c r="E86" s="6">
        <v>43</v>
      </c>
      <c r="F86" s="6">
        <v>355</v>
      </c>
      <c r="G86" s="3">
        <v>346.5</v>
      </c>
      <c r="H86" s="3" t="s">
        <v>55</v>
      </c>
      <c r="I86" s="7">
        <v>45804</v>
      </c>
      <c r="J86" s="3" t="s">
        <v>76</v>
      </c>
      <c r="K86" s="3"/>
      <c r="L86" s="3"/>
      <c r="M86" s="3"/>
      <c r="N86" s="3"/>
      <c r="O86" s="3"/>
      <c r="P86" s="3"/>
      <c r="Q86" s="6" t="s">
        <v>101</v>
      </c>
      <c r="R86" s="7">
        <v>45832</v>
      </c>
      <c r="S86" s="7"/>
      <c r="T86" s="7"/>
      <c r="U86" s="20"/>
      <c r="V86" s="11"/>
      <c r="W86" s="6"/>
      <c r="X86" s="6"/>
      <c r="Y86" s="6"/>
      <c r="Z86" s="6"/>
      <c r="AA86" s="8"/>
      <c r="AB86" s="8"/>
      <c r="AC86" s="6"/>
      <c r="AD86" s="6"/>
      <c r="AE86" s="9"/>
    </row>
    <row r="87" spans="1:31" s="10" customFormat="1" ht="31.5" x14ac:dyDescent="0.25">
      <c r="A87" s="3">
        <v>75</v>
      </c>
      <c r="B87" s="3" t="s">
        <v>32</v>
      </c>
      <c r="C87" s="5" t="s">
        <v>2275</v>
      </c>
      <c r="D87" s="4"/>
      <c r="E87" s="6">
        <v>31</v>
      </c>
      <c r="F87" s="6">
        <v>430</v>
      </c>
      <c r="G87" s="3">
        <v>37.4</v>
      </c>
      <c r="H87" s="3" t="s">
        <v>55</v>
      </c>
      <c r="I87" s="7">
        <v>45805</v>
      </c>
      <c r="J87" s="3"/>
      <c r="K87" s="3"/>
      <c r="L87" s="3"/>
      <c r="M87" s="3"/>
      <c r="N87" s="3"/>
      <c r="O87" s="3"/>
      <c r="P87" s="3" t="s">
        <v>52</v>
      </c>
      <c r="Q87" s="6" t="s">
        <v>101</v>
      </c>
      <c r="R87" s="7">
        <v>45827</v>
      </c>
      <c r="S87" s="7">
        <v>45827</v>
      </c>
      <c r="T87" s="7">
        <v>45827</v>
      </c>
      <c r="U87" s="6">
        <v>1693</v>
      </c>
      <c r="V87" s="11">
        <v>2125468</v>
      </c>
      <c r="W87" s="6"/>
      <c r="X87" s="6"/>
      <c r="Y87" s="6"/>
      <c r="Z87" s="6"/>
      <c r="AA87" s="8"/>
      <c r="AB87" s="8"/>
      <c r="AC87" s="6" t="s">
        <v>2648</v>
      </c>
      <c r="AD87" s="6"/>
      <c r="AE87" s="9" t="s">
        <v>2276</v>
      </c>
    </row>
    <row r="88" spans="1:31" s="10" customFormat="1" ht="15.75" x14ac:dyDescent="0.25">
      <c r="A88" s="3">
        <v>76</v>
      </c>
      <c r="B88" s="3" t="s">
        <v>32</v>
      </c>
      <c r="C88" s="5" t="s">
        <v>2322</v>
      </c>
      <c r="D88" s="4" t="s">
        <v>2323</v>
      </c>
      <c r="E88" s="6">
        <v>43</v>
      </c>
      <c r="F88" s="6">
        <v>185</v>
      </c>
      <c r="G88" s="3">
        <v>6065.4</v>
      </c>
      <c r="H88" s="3" t="s">
        <v>51</v>
      </c>
      <c r="I88" s="7">
        <v>45810</v>
      </c>
      <c r="J88" s="3"/>
      <c r="K88" s="3" t="s">
        <v>62</v>
      </c>
      <c r="L88" s="3"/>
      <c r="M88" s="3"/>
      <c r="N88" s="3"/>
      <c r="O88" s="3"/>
      <c r="P88" s="3"/>
      <c r="Q88" s="6" t="s">
        <v>101</v>
      </c>
      <c r="R88" s="7">
        <v>45827</v>
      </c>
      <c r="S88" s="7">
        <v>45827</v>
      </c>
      <c r="T88" s="7">
        <v>45827</v>
      </c>
      <c r="U88" s="6">
        <v>1691</v>
      </c>
      <c r="V88" s="11">
        <v>961551</v>
      </c>
      <c r="W88" s="6"/>
      <c r="X88" s="6"/>
      <c r="Y88" s="6"/>
      <c r="Z88" s="6"/>
      <c r="AA88" s="8"/>
      <c r="AB88" s="8"/>
      <c r="AC88" s="6"/>
      <c r="AD88" s="6"/>
      <c r="AE88" s="9"/>
    </row>
    <row r="89" spans="1:31" ht="16.5" x14ac:dyDescent="0.25">
      <c r="A89" s="12"/>
      <c r="B89" s="73" t="s">
        <v>2324</v>
      </c>
      <c r="C89" s="74"/>
      <c r="D89" s="74"/>
      <c r="E89" s="74"/>
      <c r="F89" s="74"/>
      <c r="G89" s="74"/>
      <c r="H89" s="75"/>
      <c r="I89" s="13"/>
      <c r="J89" s="14">
        <f>COUNTIF(J85:J88,"CQ")+COUNTIF(J85:J88,"IG")+COUNTIF(J85:J88,"CT")</f>
        <v>1</v>
      </c>
      <c r="K89" s="14">
        <f>COUNTIF(K83:K88,"CMĐ")</f>
        <v>2</v>
      </c>
      <c r="L89" s="14">
        <f>COUNTIF(L76:L88,"XMDT")+COUNTIF(L76:L88,"Mốc")</f>
        <v>1</v>
      </c>
      <c r="M89" s="14">
        <f>COUNTIF(M76:M88,"THÁn")</f>
        <v>0</v>
      </c>
      <c r="N89" s="14">
        <f>COUNTIF(N87:N88,"TÒA")</f>
        <v>0</v>
      </c>
      <c r="O89" s="14">
        <f>COUNTIF(O86:O88,"Cấp GCN")</f>
        <v>0</v>
      </c>
      <c r="P89" s="14">
        <f>COUNTIF(P85:P88,"SHN")</f>
        <v>2</v>
      </c>
      <c r="Q89" s="15"/>
      <c r="R89" s="13"/>
      <c r="S89" s="15"/>
      <c r="T89" s="15"/>
      <c r="U89" s="16"/>
      <c r="V89" s="11"/>
      <c r="W89" s="17"/>
      <c r="X89" s="2"/>
      <c r="AD89" s="14">
        <f>COUNTIF(AD88,"kt")</f>
        <v>0</v>
      </c>
    </row>
    <row r="90" spans="1:31" s="10" customFormat="1" ht="15.75" x14ac:dyDescent="0.25">
      <c r="A90" s="3">
        <v>77</v>
      </c>
      <c r="B90" s="3" t="s">
        <v>32</v>
      </c>
      <c r="C90" s="5" t="s">
        <v>2327</v>
      </c>
      <c r="D90" s="4" t="s">
        <v>2328</v>
      </c>
      <c r="E90" s="6">
        <v>29</v>
      </c>
      <c r="F90" s="6">
        <v>329</v>
      </c>
      <c r="G90" s="3">
        <v>497.5</v>
      </c>
      <c r="H90" s="3" t="s">
        <v>51</v>
      </c>
      <c r="I90" s="7">
        <v>45811</v>
      </c>
      <c r="J90" s="3"/>
      <c r="K90" s="3" t="s">
        <v>62</v>
      </c>
      <c r="L90" s="3"/>
      <c r="M90" s="3"/>
      <c r="N90" s="3"/>
      <c r="O90" s="3"/>
      <c r="P90" s="3"/>
      <c r="Q90" s="6" t="s">
        <v>101</v>
      </c>
      <c r="R90" s="7">
        <v>45827</v>
      </c>
      <c r="S90" s="7">
        <v>45828</v>
      </c>
      <c r="T90" s="7">
        <v>45828</v>
      </c>
      <c r="U90" s="6">
        <v>1711</v>
      </c>
      <c r="V90" s="11">
        <v>961551</v>
      </c>
      <c r="W90" s="6"/>
      <c r="X90" s="6"/>
      <c r="Y90" s="6"/>
      <c r="Z90" s="6"/>
      <c r="AA90" s="8"/>
      <c r="AB90" s="8"/>
      <c r="AC90" s="6"/>
      <c r="AD90" s="6"/>
      <c r="AE90" s="9"/>
    </row>
    <row r="91" spans="1:31" s="10" customFormat="1" ht="15.75" x14ac:dyDescent="0.25">
      <c r="A91" s="3">
        <v>78</v>
      </c>
      <c r="B91" s="3" t="s">
        <v>32</v>
      </c>
      <c r="C91" s="5" t="s">
        <v>2339</v>
      </c>
      <c r="D91" s="4" t="s">
        <v>2340</v>
      </c>
      <c r="E91" s="6">
        <v>41</v>
      </c>
      <c r="F91" s="6">
        <v>627</v>
      </c>
      <c r="G91" s="3">
        <v>296.39999999999998</v>
      </c>
      <c r="H91" s="3" t="s">
        <v>51</v>
      </c>
      <c r="I91" s="7">
        <v>45811</v>
      </c>
      <c r="J91" s="3"/>
      <c r="K91" s="3" t="s">
        <v>62</v>
      </c>
      <c r="L91" s="3"/>
      <c r="M91" s="3"/>
      <c r="N91" s="3"/>
      <c r="O91" s="3"/>
      <c r="P91" s="3"/>
      <c r="Q91" s="6" t="s">
        <v>101</v>
      </c>
      <c r="R91" s="7">
        <v>45827</v>
      </c>
      <c r="S91" s="7">
        <v>45828</v>
      </c>
      <c r="T91" s="7">
        <v>45828</v>
      </c>
      <c r="U91" s="6">
        <v>1713</v>
      </c>
      <c r="V91" s="11">
        <v>961551</v>
      </c>
      <c r="W91" s="6"/>
      <c r="X91" s="6"/>
      <c r="Y91" s="6"/>
      <c r="Z91" s="6"/>
      <c r="AA91" s="8"/>
      <c r="AB91" s="8"/>
      <c r="AC91" s="6"/>
      <c r="AD91" s="6"/>
      <c r="AE91" s="9"/>
    </row>
    <row r="92" spans="1:31" s="10" customFormat="1" ht="15.75" x14ac:dyDescent="0.25">
      <c r="A92" s="3">
        <v>79</v>
      </c>
      <c r="B92" s="3" t="s">
        <v>32</v>
      </c>
      <c r="C92" s="5" t="s">
        <v>1098</v>
      </c>
      <c r="D92" s="4" t="s">
        <v>2343</v>
      </c>
      <c r="E92" s="6">
        <v>47</v>
      </c>
      <c r="F92" s="6">
        <v>185</v>
      </c>
      <c r="G92" s="3"/>
      <c r="H92" s="3"/>
      <c r="I92" s="7">
        <v>45811</v>
      </c>
      <c r="J92" s="3"/>
      <c r="K92" s="3"/>
      <c r="L92" s="3"/>
      <c r="M92" s="3"/>
      <c r="N92" s="3"/>
      <c r="O92" s="3" t="s">
        <v>81</v>
      </c>
      <c r="P92" s="3"/>
      <c r="Q92" s="6" t="s">
        <v>101</v>
      </c>
      <c r="R92" s="7"/>
      <c r="S92" s="7"/>
      <c r="T92" s="7"/>
      <c r="U92" s="20"/>
      <c r="V92" s="11"/>
      <c r="W92" s="6"/>
      <c r="X92" s="6"/>
      <c r="Y92" s="6"/>
      <c r="Z92" s="6"/>
      <c r="AA92" s="8"/>
      <c r="AB92" s="8"/>
      <c r="AC92" s="6"/>
      <c r="AD92" s="6"/>
      <c r="AE92" s="9"/>
    </row>
    <row r="93" spans="1:31" ht="16.5" x14ac:dyDescent="0.25">
      <c r="A93" s="12"/>
      <c r="B93" s="73" t="s">
        <v>2377</v>
      </c>
      <c r="C93" s="74"/>
      <c r="D93" s="74"/>
      <c r="E93" s="74"/>
      <c r="F93" s="74"/>
      <c r="G93" s="74"/>
      <c r="H93" s="75"/>
      <c r="I93" s="13"/>
      <c r="J93" s="14">
        <f>COUNTIF(J89:J92,"CQ")+COUNTIF(J89:J92,"IG")+COUNTIF(J89:J92,"CT")</f>
        <v>0</v>
      </c>
      <c r="K93" s="14">
        <f>COUNTIF(K90:K92,"CMĐ")</f>
        <v>2</v>
      </c>
      <c r="L93" s="14">
        <f>COUNTIF(L80:L92,"XMDT")+COUNTIF(L80:L92,"Mốc")</f>
        <v>1</v>
      </c>
      <c r="M93" s="14">
        <f>COUNTIF(M80:M92,"THÁn")</f>
        <v>0</v>
      </c>
      <c r="N93" s="14">
        <f>COUNTIF(N91:N92,"TÒA")</f>
        <v>0</v>
      </c>
      <c r="O93" s="14">
        <f>COUNTIF(O90:O92,"Cấp GCN")</f>
        <v>1</v>
      </c>
      <c r="P93" s="14">
        <f>COUNTIF(P89:P92,"SHN")</f>
        <v>0</v>
      </c>
      <c r="Q93" s="15"/>
      <c r="R93" s="13"/>
      <c r="S93" s="15"/>
      <c r="T93" s="15"/>
      <c r="U93" s="16"/>
      <c r="V93" s="11"/>
      <c r="W93" s="17"/>
      <c r="X93" s="2"/>
      <c r="AD93" s="14">
        <f>COUNTIF(AD92,"kt")</f>
        <v>0</v>
      </c>
    </row>
    <row r="94" spans="1:31" s="10" customFormat="1" ht="31.5" x14ac:dyDescent="0.25">
      <c r="A94" s="3">
        <v>80</v>
      </c>
      <c r="B94" s="3" t="s">
        <v>32</v>
      </c>
      <c r="C94" s="5" t="s">
        <v>188</v>
      </c>
      <c r="D94" s="4"/>
      <c r="E94" s="6">
        <v>34</v>
      </c>
      <c r="F94" s="6">
        <v>843</v>
      </c>
      <c r="G94" s="3">
        <v>1093.9000000000001</v>
      </c>
      <c r="H94" s="3" t="s">
        <v>51</v>
      </c>
      <c r="I94" s="7"/>
      <c r="J94" s="3"/>
      <c r="K94" s="3"/>
      <c r="L94" s="3"/>
      <c r="M94" s="3"/>
      <c r="N94" s="3"/>
      <c r="O94" s="3"/>
      <c r="P94" s="3"/>
      <c r="Q94" s="6" t="s">
        <v>190</v>
      </c>
      <c r="R94" s="7"/>
      <c r="S94" s="7"/>
      <c r="T94" s="7"/>
      <c r="U94" s="20"/>
      <c r="V94" s="11"/>
      <c r="W94" s="6"/>
      <c r="X94" s="6"/>
      <c r="Y94" s="6"/>
      <c r="Z94" s="6" t="s">
        <v>2379</v>
      </c>
      <c r="AA94" s="8" t="s">
        <v>2383</v>
      </c>
      <c r="AB94" s="8"/>
      <c r="AC94" s="6"/>
      <c r="AD94" s="6"/>
      <c r="AE94" s="9"/>
    </row>
    <row r="95" spans="1:31" s="10" customFormat="1" ht="31.5" x14ac:dyDescent="0.25">
      <c r="A95" s="3">
        <v>81</v>
      </c>
      <c r="B95" s="3" t="s">
        <v>32</v>
      </c>
      <c r="C95" s="5" t="s">
        <v>2393</v>
      </c>
      <c r="D95" s="4" t="s">
        <v>2394</v>
      </c>
      <c r="E95" s="6">
        <v>34</v>
      </c>
      <c r="F95" s="6">
        <v>540</v>
      </c>
      <c r="G95" s="3">
        <v>385.1</v>
      </c>
      <c r="H95" s="3" t="s">
        <v>51</v>
      </c>
      <c r="I95" s="7"/>
      <c r="J95" s="3"/>
      <c r="K95" s="3"/>
      <c r="L95" s="3"/>
      <c r="M95" s="3"/>
      <c r="N95" s="3"/>
      <c r="O95" s="3"/>
      <c r="P95" s="3"/>
      <c r="Q95" s="6" t="s">
        <v>190</v>
      </c>
      <c r="R95" s="7"/>
      <c r="S95" s="7"/>
      <c r="T95" s="7"/>
      <c r="U95" s="20"/>
      <c r="V95" s="11"/>
      <c r="W95" s="6"/>
      <c r="X95" s="6"/>
      <c r="Y95" s="6"/>
      <c r="Z95" s="6" t="s">
        <v>2391</v>
      </c>
      <c r="AA95" s="8" t="s">
        <v>2395</v>
      </c>
      <c r="AB95" s="8"/>
      <c r="AC95" s="6"/>
      <c r="AD95" s="6"/>
      <c r="AE95" s="9"/>
    </row>
    <row r="96" spans="1:31" s="10" customFormat="1" ht="63" x14ac:dyDescent="0.25">
      <c r="A96" s="3">
        <v>82</v>
      </c>
      <c r="B96" s="3" t="s">
        <v>32</v>
      </c>
      <c r="C96" s="5" t="s">
        <v>2397</v>
      </c>
      <c r="D96" s="4" t="s">
        <v>519</v>
      </c>
      <c r="E96" s="6">
        <v>22</v>
      </c>
      <c r="F96" s="6">
        <v>116</v>
      </c>
      <c r="G96" s="3">
        <v>4002.8</v>
      </c>
      <c r="H96" s="3" t="s">
        <v>51</v>
      </c>
      <c r="I96" s="7">
        <v>45813</v>
      </c>
      <c r="J96" s="3"/>
      <c r="K96" s="3"/>
      <c r="L96" s="3" t="s">
        <v>1</v>
      </c>
      <c r="M96" s="3"/>
      <c r="N96" s="3"/>
      <c r="O96" s="3"/>
      <c r="P96" s="3"/>
      <c r="Q96" s="6" t="s">
        <v>101</v>
      </c>
      <c r="R96" s="7"/>
      <c r="S96" s="7"/>
      <c r="T96" s="7"/>
      <c r="U96" s="20"/>
      <c r="V96" s="11"/>
      <c r="W96" s="6"/>
      <c r="X96" s="6"/>
      <c r="Y96" s="6"/>
      <c r="Z96" s="6"/>
      <c r="AA96" s="8"/>
      <c r="AB96" s="8"/>
      <c r="AC96" s="6"/>
      <c r="AD96" s="6"/>
      <c r="AE96" s="9"/>
    </row>
    <row r="97" spans="1:31" s="10" customFormat="1" ht="78.75" x14ac:dyDescent="0.25">
      <c r="A97" s="3">
        <v>83</v>
      </c>
      <c r="B97" s="3" t="s">
        <v>32</v>
      </c>
      <c r="C97" s="5" t="s">
        <v>2438</v>
      </c>
      <c r="D97" s="4" t="s">
        <v>315</v>
      </c>
      <c r="E97" s="6">
        <v>34</v>
      </c>
      <c r="F97" s="6">
        <v>258</v>
      </c>
      <c r="G97" s="3">
        <v>520.5</v>
      </c>
      <c r="H97" s="3" t="s">
        <v>75</v>
      </c>
      <c r="I97" s="7">
        <v>45817</v>
      </c>
      <c r="J97" s="3"/>
      <c r="K97" s="3"/>
      <c r="L97" s="3"/>
      <c r="M97" s="3"/>
      <c r="N97" s="3" t="s">
        <v>56</v>
      </c>
      <c r="O97" s="3"/>
      <c r="P97" s="3"/>
      <c r="Q97" s="6" t="s">
        <v>101</v>
      </c>
      <c r="R97" s="7"/>
      <c r="S97" s="7"/>
      <c r="T97" s="7"/>
      <c r="U97" s="20"/>
      <c r="V97" s="11"/>
      <c r="W97" s="6"/>
      <c r="X97" s="6"/>
      <c r="Y97" s="6"/>
      <c r="Z97" s="6"/>
      <c r="AA97" s="8"/>
      <c r="AB97" s="8"/>
      <c r="AC97" s="6" t="s">
        <v>2439</v>
      </c>
      <c r="AD97" s="6"/>
      <c r="AE97" s="9"/>
    </row>
    <row r="98" spans="1:31" s="10" customFormat="1" ht="15.75" x14ac:dyDescent="0.25">
      <c r="A98" s="3">
        <v>84</v>
      </c>
      <c r="B98" s="3" t="s">
        <v>32</v>
      </c>
      <c r="C98" s="5" t="s">
        <v>1546</v>
      </c>
      <c r="D98" s="4"/>
      <c r="E98" s="6">
        <v>23</v>
      </c>
      <c r="F98" s="6">
        <v>141</v>
      </c>
      <c r="G98" s="6">
        <v>606.20000000000005</v>
      </c>
      <c r="H98" s="3" t="s">
        <v>75</v>
      </c>
      <c r="I98" s="7">
        <v>45818</v>
      </c>
      <c r="J98" s="3" t="s">
        <v>823</v>
      </c>
      <c r="K98" s="3"/>
      <c r="L98" s="3"/>
      <c r="M98" s="3"/>
      <c r="N98" s="3"/>
      <c r="O98" s="3"/>
      <c r="P98" s="3"/>
      <c r="Q98" s="6" t="s">
        <v>101</v>
      </c>
      <c r="R98" s="7"/>
      <c r="S98" s="7"/>
      <c r="T98" s="7"/>
      <c r="U98" s="20"/>
      <c r="V98" s="11"/>
      <c r="W98" s="6"/>
      <c r="X98" s="6"/>
      <c r="Y98" s="6"/>
      <c r="Z98" s="6"/>
      <c r="AA98" s="8"/>
      <c r="AB98" s="8"/>
      <c r="AC98" s="6"/>
      <c r="AD98" s="6"/>
      <c r="AE98" s="9" t="s">
        <v>2440</v>
      </c>
    </row>
    <row r="99" spans="1:31" s="10" customFormat="1" ht="15.75" x14ac:dyDescent="0.25">
      <c r="A99" s="3">
        <v>85</v>
      </c>
      <c r="B99" s="3" t="s">
        <v>32</v>
      </c>
      <c r="C99" s="5" t="s">
        <v>1269</v>
      </c>
      <c r="D99" s="4" t="s">
        <v>1288</v>
      </c>
      <c r="E99" s="6">
        <v>50</v>
      </c>
      <c r="F99" s="6">
        <v>249</v>
      </c>
      <c r="G99" s="3">
        <v>502.6</v>
      </c>
      <c r="H99" s="3" t="s">
        <v>51</v>
      </c>
      <c r="I99" s="7">
        <v>45820</v>
      </c>
      <c r="J99" s="3"/>
      <c r="K99" s="3" t="s">
        <v>62</v>
      </c>
      <c r="L99" s="3"/>
      <c r="M99" s="3"/>
      <c r="N99" s="3"/>
      <c r="O99" s="3"/>
      <c r="P99" s="3"/>
      <c r="Q99" s="6" t="s">
        <v>101</v>
      </c>
      <c r="R99" s="7"/>
      <c r="S99" s="7"/>
      <c r="T99" s="7"/>
      <c r="U99" s="20"/>
      <c r="V99" s="11"/>
      <c r="W99" s="6"/>
      <c r="X99" s="6"/>
      <c r="Y99" s="6"/>
      <c r="Z99" s="6"/>
      <c r="AA99" s="8"/>
      <c r="AB99" s="8"/>
      <c r="AC99" s="6"/>
      <c r="AD99" s="6"/>
      <c r="AE99" s="9"/>
    </row>
    <row r="100" spans="1:31" s="10" customFormat="1" ht="94.5" x14ac:dyDescent="0.25">
      <c r="A100" s="3">
        <v>86</v>
      </c>
      <c r="B100" s="3" t="s">
        <v>32</v>
      </c>
      <c r="C100" s="5" t="s">
        <v>1471</v>
      </c>
      <c r="D100" s="4" t="s">
        <v>315</v>
      </c>
      <c r="E100" s="6">
        <v>39</v>
      </c>
      <c r="F100" s="6">
        <v>120</v>
      </c>
      <c r="G100" s="3"/>
      <c r="H100" s="3"/>
      <c r="I100" s="7">
        <v>45820</v>
      </c>
      <c r="J100" s="3"/>
      <c r="K100" s="3"/>
      <c r="L100" s="3"/>
      <c r="M100" s="3"/>
      <c r="N100" s="3" t="s">
        <v>56</v>
      </c>
      <c r="O100" s="3"/>
      <c r="P100" s="3"/>
      <c r="Q100" s="6" t="s">
        <v>101</v>
      </c>
      <c r="R100" s="7"/>
      <c r="S100" s="7"/>
      <c r="T100" s="7"/>
      <c r="U100" s="20"/>
      <c r="V100" s="11"/>
      <c r="W100" s="6"/>
      <c r="X100" s="6"/>
      <c r="Y100" s="6"/>
      <c r="Z100" s="6"/>
      <c r="AA100" s="8"/>
      <c r="AB100" s="8"/>
      <c r="AC100" s="6" t="s">
        <v>2489</v>
      </c>
      <c r="AD100" s="6"/>
      <c r="AE100" s="9"/>
    </row>
    <row r="101" spans="1:31" ht="16.5" x14ac:dyDescent="0.25">
      <c r="A101" s="12"/>
      <c r="B101" s="73" t="s">
        <v>2523</v>
      </c>
      <c r="C101" s="74"/>
      <c r="D101" s="74"/>
      <c r="E101" s="74"/>
      <c r="F101" s="74"/>
      <c r="G101" s="74"/>
      <c r="H101" s="75"/>
      <c r="I101" s="13"/>
      <c r="J101" s="14">
        <f>COUNTIF(J94:J100,"CQ")+COUNTIF(J97:J100,"IG")+COUNTIF(J97:J100,"CT")</f>
        <v>1</v>
      </c>
      <c r="K101" s="14">
        <f>COUNTIF(K98:K100,"CMĐ")</f>
        <v>1</v>
      </c>
      <c r="L101" s="14">
        <f>COUNTIF(L94:L100,"XMDT")+COUNTIF(L94:L100,"Mốc")</f>
        <v>1</v>
      </c>
      <c r="M101" s="14">
        <f>COUNTIF(M88:M100,"THÁn")</f>
        <v>0</v>
      </c>
      <c r="N101" s="14">
        <f>COUNTIF(N94:N100,"TÒA")</f>
        <v>2</v>
      </c>
      <c r="O101" s="14">
        <f>COUNTIF(O98:O100,"Cấp GCN")</f>
        <v>0</v>
      </c>
      <c r="P101" s="14">
        <f>COUNTIF(P97:P100,"SHN")</f>
        <v>0</v>
      </c>
      <c r="Q101" s="15"/>
      <c r="R101" s="13"/>
      <c r="S101" s="15"/>
      <c r="T101" s="15"/>
      <c r="U101" s="16"/>
      <c r="V101" s="11"/>
      <c r="W101" s="17"/>
      <c r="X101" s="2"/>
      <c r="AD101" s="14">
        <f>COUNTIF(AD100,"kt")</f>
        <v>0</v>
      </c>
    </row>
    <row r="102" spans="1:31" s="10" customFormat="1" ht="15.75" x14ac:dyDescent="0.25">
      <c r="A102" s="3">
        <v>87</v>
      </c>
      <c r="B102" s="3" t="s">
        <v>32</v>
      </c>
      <c r="C102" s="5" t="s">
        <v>2535</v>
      </c>
      <c r="D102" s="4" t="s">
        <v>2536</v>
      </c>
      <c r="E102" s="6">
        <v>32</v>
      </c>
      <c r="F102" s="6">
        <v>300</v>
      </c>
      <c r="G102" s="3">
        <v>137.9</v>
      </c>
      <c r="H102" s="3" t="s">
        <v>55</v>
      </c>
      <c r="I102" s="7">
        <v>45824</v>
      </c>
      <c r="J102" s="3"/>
      <c r="K102" s="3"/>
      <c r="L102" s="3"/>
      <c r="M102" s="3"/>
      <c r="N102" s="3"/>
      <c r="O102" s="3"/>
      <c r="P102" s="3" t="s">
        <v>52</v>
      </c>
      <c r="Q102" s="6" t="s">
        <v>2537</v>
      </c>
      <c r="R102" s="7"/>
      <c r="S102" s="7"/>
      <c r="T102" s="7"/>
      <c r="U102" s="20"/>
      <c r="V102" s="11"/>
      <c r="W102" s="6"/>
      <c r="X102" s="6"/>
      <c r="Y102" s="6"/>
      <c r="Z102" s="6"/>
      <c r="AA102" s="8"/>
      <c r="AB102" s="8"/>
      <c r="AC102" s="6"/>
      <c r="AD102" s="6"/>
      <c r="AE102" s="9"/>
    </row>
    <row r="103" spans="1:31" s="10" customFormat="1" ht="15.75" x14ac:dyDescent="0.25">
      <c r="A103" s="3">
        <v>88</v>
      </c>
      <c r="B103" s="3" t="s">
        <v>32</v>
      </c>
      <c r="C103" s="5" t="s">
        <v>2535</v>
      </c>
      <c r="D103" s="4" t="s">
        <v>2536</v>
      </c>
      <c r="E103" s="6">
        <v>32</v>
      </c>
      <c r="F103" s="6">
        <v>308</v>
      </c>
      <c r="G103" s="3">
        <v>138</v>
      </c>
      <c r="H103" s="3" t="s">
        <v>55</v>
      </c>
      <c r="I103" s="7">
        <v>45824</v>
      </c>
      <c r="J103" s="3"/>
      <c r="K103" s="3"/>
      <c r="L103" s="3"/>
      <c r="M103" s="3"/>
      <c r="N103" s="3"/>
      <c r="O103" s="3"/>
      <c r="P103" s="3" t="s">
        <v>52</v>
      </c>
      <c r="Q103" s="6" t="s">
        <v>2537</v>
      </c>
      <c r="R103" s="7"/>
      <c r="S103" s="7"/>
      <c r="T103" s="7"/>
      <c r="U103" s="20"/>
      <c r="V103" s="11"/>
      <c r="W103" s="6"/>
      <c r="X103" s="6"/>
      <c r="Y103" s="6"/>
      <c r="Z103" s="6"/>
      <c r="AA103" s="8"/>
      <c r="AB103" s="8"/>
      <c r="AC103" s="6"/>
      <c r="AD103" s="6"/>
      <c r="AE103" s="9"/>
    </row>
    <row r="104" spans="1:31" s="10" customFormat="1" ht="15.75" x14ac:dyDescent="0.25">
      <c r="A104" s="3">
        <v>89</v>
      </c>
      <c r="B104" s="3" t="s">
        <v>32</v>
      </c>
      <c r="C104" s="5" t="s">
        <v>2535</v>
      </c>
      <c r="D104" s="4" t="s">
        <v>2536</v>
      </c>
      <c r="E104" s="6">
        <v>32</v>
      </c>
      <c r="F104" s="6">
        <v>302</v>
      </c>
      <c r="G104" s="3">
        <v>137.9</v>
      </c>
      <c r="H104" s="3" t="s">
        <v>55</v>
      </c>
      <c r="I104" s="7">
        <v>45824</v>
      </c>
      <c r="J104" s="3"/>
      <c r="K104" s="3"/>
      <c r="L104" s="3"/>
      <c r="M104" s="3"/>
      <c r="N104" s="3"/>
      <c r="O104" s="3"/>
      <c r="P104" s="3" t="s">
        <v>52</v>
      </c>
      <c r="Q104" s="6" t="s">
        <v>2537</v>
      </c>
      <c r="R104" s="7"/>
      <c r="S104" s="7"/>
      <c r="T104" s="7"/>
      <c r="U104" s="20"/>
      <c r="V104" s="11"/>
      <c r="W104" s="6"/>
      <c r="X104" s="6"/>
      <c r="Y104" s="6"/>
      <c r="Z104" s="6"/>
      <c r="AA104" s="8"/>
      <c r="AB104" s="8"/>
      <c r="AC104" s="6"/>
      <c r="AD104" s="6"/>
      <c r="AE104" s="9"/>
    </row>
    <row r="105" spans="1:31" s="10" customFormat="1" ht="31.5" x14ac:dyDescent="0.25">
      <c r="A105" s="3">
        <v>90</v>
      </c>
      <c r="B105" s="3" t="s">
        <v>32</v>
      </c>
      <c r="C105" s="5" t="s">
        <v>2570</v>
      </c>
      <c r="D105" s="4"/>
      <c r="E105" s="6">
        <v>45</v>
      </c>
      <c r="F105" s="6">
        <v>78</v>
      </c>
      <c r="G105" s="3">
        <v>1750.6</v>
      </c>
      <c r="H105" s="3" t="s">
        <v>51</v>
      </c>
      <c r="I105" s="7"/>
      <c r="J105" s="3"/>
      <c r="K105" s="3"/>
      <c r="L105" s="3"/>
      <c r="M105" s="3"/>
      <c r="N105" s="3"/>
      <c r="O105" s="3"/>
      <c r="P105" s="3"/>
      <c r="Q105" s="6" t="s">
        <v>2571</v>
      </c>
      <c r="R105" s="7">
        <v>44894</v>
      </c>
      <c r="S105" s="7"/>
      <c r="T105" s="7"/>
      <c r="U105" s="20"/>
      <c r="V105" s="11"/>
      <c r="W105" s="6"/>
      <c r="X105" s="6"/>
      <c r="Y105" s="6"/>
      <c r="Z105" s="6" t="s">
        <v>2567</v>
      </c>
      <c r="AA105" s="8" t="s">
        <v>2572</v>
      </c>
      <c r="AB105" s="8"/>
      <c r="AC105" s="6" t="s">
        <v>2573</v>
      </c>
      <c r="AD105" s="6"/>
      <c r="AE105" s="9"/>
    </row>
    <row r="106" spans="1:31" s="10" customFormat="1" ht="31.5" x14ac:dyDescent="0.25">
      <c r="A106" s="3">
        <v>91</v>
      </c>
      <c r="B106" s="3" t="s">
        <v>32</v>
      </c>
      <c r="C106" s="5" t="s">
        <v>2575</v>
      </c>
      <c r="D106" s="4"/>
      <c r="E106" s="6">
        <v>30</v>
      </c>
      <c r="F106" s="6">
        <v>17</v>
      </c>
      <c r="G106" s="3">
        <v>223.3</v>
      </c>
      <c r="H106" s="3" t="s">
        <v>51</v>
      </c>
      <c r="I106" s="7"/>
      <c r="J106" s="3"/>
      <c r="K106" s="3"/>
      <c r="L106" s="3"/>
      <c r="M106" s="3"/>
      <c r="N106" s="3"/>
      <c r="O106" s="3"/>
      <c r="P106" s="3"/>
      <c r="Q106" s="6" t="s">
        <v>190</v>
      </c>
      <c r="R106" s="7">
        <v>45807</v>
      </c>
      <c r="S106" s="7"/>
      <c r="T106" s="7"/>
      <c r="U106" s="20"/>
      <c r="V106" s="11"/>
      <c r="W106" s="6"/>
      <c r="X106" s="6"/>
      <c r="Y106" s="6"/>
      <c r="Z106" s="6" t="s">
        <v>2567</v>
      </c>
      <c r="AA106" s="8" t="s">
        <v>2572</v>
      </c>
      <c r="AB106" s="8"/>
      <c r="AC106" s="6"/>
      <c r="AD106" s="6"/>
      <c r="AE106" s="9"/>
    </row>
    <row r="107" spans="1:31" s="10" customFormat="1" ht="47.25" x14ac:dyDescent="0.25">
      <c r="A107" s="3">
        <v>92</v>
      </c>
      <c r="B107" s="3" t="s">
        <v>32</v>
      </c>
      <c r="C107" s="5" t="s">
        <v>2637</v>
      </c>
      <c r="D107" s="4" t="s">
        <v>2638</v>
      </c>
      <c r="E107" s="6">
        <v>24</v>
      </c>
      <c r="F107" s="6">
        <v>236</v>
      </c>
      <c r="G107" s="3">
        <v>48.8</v>
      </c>
      <c r="H107" s="3" t="s">
        <v>55</v>
      </c>
      <c r="I107" s="7">
        <v>45828</v>
      </c>
      <c r="J107" s="3"/>
      <c r="K107" s="3"/>
      <c r="L107" s="3" t="s">
        <v>1</v>
      </c>
      <c r="M107" s="3"/>
      <c r="N107" s="3"/>
      <c r="O107" s="3"/>
      <c r="P107" s="3"/>
      <c r="Q107" s="6" t="s">
        <v>101</v>
      </c>
      <c r="R107" s="7"/>
      <c r="S107" s="7"/>
      <c r="T107" s="7"/>
      <c r="U107" s="20"/>
      <c r="V107" s="11"/>
      <c r="W107" s="6"/>
      <c r="X107" s="6"/>
      <c r="Y107" s="6"/>
      <c r="Z107" s="6"/>
      <c r="AA107" s="8"/>
      <c r="AB107" s="8"/>
      <c r="AC107" s="6"/>
      <c r="AD107" s="6"/>
      <c r="AE107" s="9"/>
    </row>
    <row r="108" spans="1:31" s="10" customFormat="1" ht="15.75" x14ac:dyDescent="0.25">
      <c r="A108" s="3">
        <v>93</v>
      </c>
      <c r="B108" s="3" t="s">
        <v>32</v>
      </c>
      <c r="C108" s="5" t="s">
        <v>2639</v>
      </c>
      <c r="D108" s="4" t="s">
        <v>2640</v>
      </c>
      <c r="E108" s="6">
        <v>41</v>
      </c>
      <c r="F108" s="6">
        <v>578</v>
      </c>
      <c r="G108" s="3">
        <v>527.5</v>
      </c>
      <c r="H108" s="3" t="s">
        <v>51</v>
      </c>
      <c r="I108" s="7">
        <v>45828</v>
      </c>
      <c r="J108" s="3"/>
      <c r="K108" s="3" t="s">
        <v>62</v>
      </c>
      <c r="L108" s="3"/>
      <c r="M108" s="3"/>
      <c r="N108" s="3"/>
      <c r="O108" s="3"/>
      <c r="P108" s="3"/>
      <c r="Q108" s="6" t="s">
        <v>101</v>
      </c>
      <c r="R108" s="7"/>
      <c r="S108" s="7"/>
      <c r="T108" s="7"/>
      <c r="U108" s="20"/>
      <c r="V108" s="11"/>
      <c r="W108" s="6"/>
      <c r="X108" s="6"/>
      <c r="Y108" s="6"/>
      <c r="Z108" s="6"/>
      <c r="AA108" s="8"/>
      <c r="AB108" s="8"/>
      <c r="AC108" s="6"/>
      <c r="AD108" s="6"/>
      <c r="AE108" s="9"/>
    </row>
    <row r="109" spans="1:31" ht="16.5" x14ac:dyDescent="0.25">
      <c r="A109" s="12"/>
      <c r="B109" s="73" t="s">
        <v>2655</v>
      </c>
      <c r="C109" s="74"/>
      <c r="D109" s="74"/>
      <c r="E109" s="74"/>
      <c r="F109" s="74"/>
      <c r="G109" s="74"/>
      <c r="H109" s="75"/>
      <c r="I109" s="13"/>
      <c r="J109" s="14">
        <f>COUNTIF(J102:J108,"CQ")+COUNTIF(J105:J108,"IG")+COUNTIF(J105:J108,"CT")</f>
        <v>0</v>
      </c>
      <c r="K109" s="14">
        <f>COUNTIF(K106:K108,"CMĐ")</f>
        <v>1</v>
      </c>
      <c r="L109" s="14">
        <f>COUNTIF(L102:L108,"XMDT")+COUNTIF(L102:L108,"Mốc")</f>
        <v>1</v>
      </c>
      <c r="M109" s="14">
        <f>COUNTIF(M96:M108,"THÁn")</f>
        <v>0</v>
      </c>
      <c r="N109" s="14">
        <f>COUNTIF(N102:N108,"TÒA")</f>
        <v>0</v>
      </c>
      <c r="O109" s="14">
        <f>COUNTIF(O106:O108,"Cấp GCN")</f>
        <v>0</v>
      </c>
      <c r="P109" s="14">
        <f>COUNTIF(P102:P108,"SHN")</f>
        <v>3</v>
      </c>
      <c r="Q109" s="15"/>
      <c r="R109" s="13"/>
      <c r="S109" s="15"/>
      <c r="T109" s="15"/>
      <c r="U109" s="16"/>
      <c r="V109" s="11"/>
      <c r="W109" s="17"/>
      <c r="X109" s="2"/>
      <c r="AD109" s="14">
        <f>COUNTIF(AD108,"kt")</f>
        <v>0</v>
      </c>
    </row>
    <row r="110" spans="1:31" s="10" customFormat="1" ht="15.75" x14ac:dyDescent="0.25">
      <c r="A110" s="3">
        <v>94</v>
      </c>
      <c r="B110" s="3" t="s">
        <v>32</v>
      </c>
      <c r="C110" s="5" t="s">
        <v>2663</v>
      </c>
      <c r="D110" s="4" t="s">
        <v>2664</v>
      </c>
      <c r="E110" s="6">
        <v>48</v>
      </c>
      <c r="F110" s="6">
        <v>201</v>
      </c>
      <c r="G110" s="3">
        <v>90</v>
      </c>
      <c r="H110" s="3" t="s">
        <v>55</v>
      </c>
      <c r="I110" s="7">
        <v>45832</v>
      </c>
      <c r="J110" s="3"/>
      <c r="K110" s="3"/>
      <c r="L110" s="3"/>
      <c r="M110" s="3"/>
      <c r="N110" s="3"/>
      <c r="O110" s="3"/>
      <c r="P110" s="3" t="s">
        <v>52</v>
      </c>
      <c r="Q110" s="6" t="s">
        <v>101</v>
      </c>
      <c r="R110" s="7"/>
      <c r="S110" s="7"/>
      <c r="T110" s="7"/>
      <c r="U110" s="20"/>
      <c r="V110" s="11"/>
      <c r="W110" s="6"/>
      <c r="X110" s="6"/>
      <c r="Y110" s="6"/>
      <c r="Z110" s="6"/>
      <c r="AA110" s="8"/>
      <c r="AB110" s="8"/>
      <c r="AC110" s="6"/>
      <c r="AD110" s="6"/>
      <c r="AE110" s="9"/>
    </row>
    <row r="111" spans="1:31" s="10" customFormat="1" ht="15.75" x14ac:dyDescent="0.25">
      <c r="A111" s="3">
        <v>95</v>
      </c>
      <c r="B111" s="3" t="s">
        <v>32</v>
      </c>
      <c r="C111" s="5"/>
      <c r="D111" s="4"/>
      <c r="E111" s="6"/>
      <c r="F111" s="6"/>
      <c r="G111" s="3"/>
      <c r="H111" s="3"/>
      <c r="I111" s="7"/>
      <c r="J111" s="3"/>
      <c r="K111" s="3"/>
      <c r="L111" s="3"/>
      <c r="M111" s="3"/>
      <c r="N111" s="3"/>
      <c r="O111" s="3"/>
      <c r="P111" s="3"/>
      <c r="Q111" s="6"/>
      <c r="R111" s="7"/>
      <c r="S111" s="7"/>
      <c r="T111" s="7"/>
      <c r="U111" s="20"/>
      <c r="V111" s="11"/>
      <c r="W111" s="6"/>
      <c r="X111" s="6"/>
      <c r="Y111" s="6"/>
      <c r="Z111" s="6"/>
      <c r="AA111" s="8"/>
      <c r="AB111" s="8"/>
      <c r="AC111" s="6"/>
      <c r="AD111" s="6"/>
      <c r="AE111" s="9"/>
    </row>
    <row r="112" spans="1:31" s="10" customFormat="1" ht="15.75" x14ac:dyDescent="0.25">
      <c r="A112" s="3">
        <v>96</v>
      </c>
      <c r="B112" s="3" t="s">
        <v>32</v>
      </c>
      <c r="C112" s="5"/>
      <c r="D112" s="4"/>
      <c r="E112" s="6"/>
      <c r="F112" s="6"/>
      <c r="G112" s="3"/>
      <c r="H112" s="3"/>
      <c r="I112" s="7"/>
      <c r="J112" s="3"/>
      <c r="K112" s="3"/>
      <c r="L112" s="3"/>
      <c r="M112" s="3"/>
      <c r="N112" s="3"/>
      <c r="O112" s="3"/>
      <c r="P112" s="3"/>
      <c r="Q112" s="6"/>
      <c r="R112" s="7"/>
      <c r="S112" s="7"/>
      <c r="T112" s="7"/>
      <c r="U112" s="20"/>
      <c r="V112" s="11"/>
      <c r="W112" s="6"/>
      <c r="X112" s="6"/>
      <c r="Y112" s="6"/>
      <c r="Z112" s="6"/>
      <c r="AA112" s="8"/>
      <c r="AB112" s="8"/>
      <c r="AC112" s="6"/>
      <c r="AD112" s="6"/>
      <c r="AE112" s="9"/>
    </row>
    <row r="113" spans="1:31" s="10" customFormat="1" ht="15.75" x14ac:dyDescent="0.25">
      <c r="A113" s="3">
        <v>97</v>
      </c>
      <c r="B113" s="3" t="s">
        <v>32</v>
      </c>
      <c r="C113" s="5"/>
      <c r="D113" s="4"/>
      <c r="E113" s="6"/>
      <c r="F113" s="6"/>
      <c r="G113" s="3"/>
      <c r="H113" s="3"/>
      <c r="I113" s="7"/>
      <c r="J113" s="3"/>
      <c r="K113" s="3"/>
      <c r="L113" s="3"/>
      <c r="M113" s="3"/>
      <c r="N113" s="3"/>
      <c r="O113" s="3"/>
      <c r="P113" s="3"/>
      <c r="Q113" s="6"/>
      <c r="R113" s="7"/>
      <c r="S113" s="7"/>
      <c r="T113" s="7"/>
      <c r="U113" s="20"/>
      <c r="V113" s="11"/>
      <c r="W113" s="6"/>
      <c r="X113" s="6"/>
      <c r="Y113" s="6"/>
      <c r="Z113" s="6"/>
      <c r="AA113" s="8"/>
      <c r="AB113" s="8"/>
      <c r="AC113" s="6"/>
      <c r="AD113" s="6"/>
      <c r="AE113" s="9"/>
    </row>
    <row r="114" spans="1:31" s="10" customFormat="1" ht="15.75" x14ac:dyDescent="0.25">
      <c r="A114" s="3">
        <v>98</v>
      </c>
      <c r="B114" s="3" t="s">
        <v>32</v>
      </c>
      <c r="C114" s="5"/>
      <c r="D114" s="4"/>
      <c r="E114" s="6"/>
      <c r="F114" s="6"/>
      <c r="G114" s="3"/>
      <c r="H114" s="3"/>
      <c r="I114" s="7"/>
      <c r="J114" s="3"/>
      <c r="K114" s="3"/>
      <c r="L114" s="3"/>
      <c r="M114" s="3"/>
      <c r="N114" s="3"/>
      <c r="O114" s="3"/>
      <c r="P114" s="3"/>
      <c r="Q114" s="6"/>
      <c r="R114" s="7"/>
      <c r="S114" s="7"/>
      <c r="T114" s="7"/>
      <c r="U114" s="20"/>
      <c r="V114" s="11"/>
      <c r="W114" s="6"/>
      <c r="X114" s="6"/>
      <c r="Y114" s="6"/>
      <c r="Z114" s="6"/>
      <c r="AA114" s="8"/>
      <c r="AB114" s="8"/>
      <c r="AC114" s="6"/>
      <c r="AD114" s="6"/>
      <c r="AE114" s="9"/>
    </row>
    <row r="115" spans="1:31" s="10" customFormat="1" ht="15.75" x14ac:dyDescent="0.25">
      <c r="A115" s="3">
        <v>99</v>
      </c>
      <c r="B115" s="3" t="s">
        <v>32</v>
      </c>
      <c r="C115" s="5"/>
      <c r="D115" s="4"/>
      <c r="E115" s="6"/>
      <c r="F115" s="6"/>
      <c r="G115" s="3"/>
      <c r="H115" s="3"/>
      <c r="I115" s="7"/>
      <c r="J115" s="3"/>
      <c r="K115" s="3"/>
      <c r="L115" s="3"/>
      <c r="M115" s="3"/>
      <c r="N115" s="3"/>
      <c r="O115" s="3"/>
      <c r="P115" s="3"/>
      <c r="Q115" s="6"/>
      <c r="R115" s="7"/>
      <c r="S115" s="7"/>
      <c r="T115" s="7"/>
      <c r="U115" s="20"/>
      <c r="V115" s="11"/>
      <c r="W115" s="6"/>
      <c r="X115" s="6"/>
      <c r="Y115" s="6"/>
      <c r="Z115" s="6"/>
      <c r="AA115" s="8"/>
      <c r="AB115" s="8"/>
      <c r="AC115" s="6"/>
      <c r="AD115" s="6"/>
      <c r="AE115" s="9"/>
    </row>
    <row r="116" spans="1:31" s="10" customFormat="1" ht="15.75" x14ac:dyDescent="0.25">
      <c r="A116" s="3">
        <v>100</v>
      </c>
      <c r="B116" s="3" t="s">
        <v>32</v>
      </c>
      <c r="C116" s="5"/>
      <c r="D116" s="4"/>
      <c r="E116" s="6"/>
      <c r="F116" s="6"/>
      <c r="G116" s="3"/>
      <c r="H116" s="3"/>
      <c r="I116" s="7"/>
      <c r="J116" s="3"/>
      <c r="K116" s="3"/>
      <c r="L116" s="3"/>
      <c r="M116" s="3"/>
      <c r="N116" s="3"/>
      <c r="O116" s="3"/>
      <c r="P116" s="3"/>
      <c r="Q116" s="6"/>
      <c r="R116" s="7"/>
      <c r="S116" s="7"/>
      <c r="T116" s="7"/>
      <c r="U116" s="20"/>
      <c r="V116" s="11"/>
      <c r="W116" s="6"/>
      <c r="X116" s="6"/>
      <c r="Y116" s="6"/>
      <c r="Z116" s="6"/>
      <c r="AA116" s="8"/>
      <c r="AB116" s="8"/>
      <c r="AC116" s="6"/>
      <c r="AD116" s="6"/>
      <c r="AE116" s="9"/>
    </row>
    <row r="117" spans="1:31" s="10" customFormat="1" ht="15.75" x14ac:dyDescent="0.25">
      <c r="A117" s="3">
        <v>101</v>
      </c>
      <c r="B117" s="3" t="s">
        <v>32</v>
      </c>
      <c r="C117" s="5"/>
      <c r="D117" s="4"/>
      <c r="E117" s="6"/>
      <c r="F117" s="6"/>
      <c r="G117" s="3"/>
      <c r="H117" s="3"/>
      <c r="I117" s="7"/>
      <c r="J117" s="3"/>
      <c r="K117" s="3"/>
      <c r="L117" s="3"/>
      <c r="M117" s="3"/>
      <c r="N117" s="3"/>
      <c r="O117" s="3"/>
      <c r="P117" s="3"/>
      <c r="Q117" s="6"/>
      <c r="R117" s="7"/>
      <c r="S117" s="7"/>
      <c r="T117" s="7"/>
      <c r="U117" s="20"/>
      <c r="V117" s="11"/>
      <c r="W117" s="6"/>
      <c r="X117" s="6"/>
      <c r="Y117" s="6"/>
      <c r="Z117" s="6"/>
      <c r="AA117" s="8"/>
      <c r="AB117" s="8"/>
      <c r="AC117" s="6"/>
      <c r="AD117" s="6"/>
      <c r="AE117" s="9"/>
    </row>
    <row r="118" spans="1:31" s="10" customFormat="1" ht="15.75" x14ac:dyDescent="0.25">
      <c r="A118" s="3">
        <v>102</v>
      </c>
      <c r="B118" s="3" t="s">
        <v>32</v>
      </c>
      <c r="C118" s="5"/>
      <c r="D118" s="4"/>
      <c r="E118" s="6"/>
      <c r="F118" s="6"/>
      <c r="G118" s="3"/>
      <c r="H118" s="3"/>
      <c r="I118" s="7"/>
      <c r="J118" s="3"/>
      <c r="K118" s="3"/>
      <c r="L118" s="3"/>
      <c r="M118" s="3"/>
      <c r="N118" s="3"/>
      <c r="O118" s="3"/>
      <c r="P118" s="3"/>
      <c r="Q118" s="6"/>
      <c r="R118" s="7"/>
      <c r="S118" s="7"/>
      <c r="T118" s="7"/>
      <c r="U118" s="20"/>
      <c r="V118" s="11"/>
      <c r="W118" s="6"/>
      <c r="X118" s="6"/>
      <c r="Y118" s="6"/>
      <c r="Z118" s="6"/>
      <c r="AA118" s="8"/>
      <c r="AB118" s="8"/>
      <c r="AC118" s="6"/>
      <c r="AD118" s="6"/>
      <c r="AE118" s="9"/>
    </row>
    <row r="119" spans="1:31" s="10" customFormat="1" ht="15.75" x14ac:dyDescent="0.25">
      <c r="A119" s="3">
        <v>103</v>
      </c>
      <c r="B119" s="3" t="s">
        <v>32</v>
      </c>
      <c r="C119" s="5"/>
      <c r="D119" s="4"/>
      <c r="E119" s="6"/>
      <c r="F119" s="6"/>
      <c r="G119" s="3"/>
      <c r="H119" s="3"/>
      <c r="I119" s="7"/>
      <c r="J119" s="3"/>
      <c r="K119" s="3"/>
      <c r="L119" s="3"/>
      <c r="M119" s="3"/>
      <c r="N119" s="3"/>
      <c r="O119" s="3"/>
      <c r="P119" s="3"/>
      <c r="Q119" s="6"/>
      <c r="R119" s="7"/>
      <c r="S119" s="7"/>
      <c r="T119" s="7"/>
      <c r="U119" s="20"/>
      <c r="V119" s="11"/>
      <c r="W119" s="6"/>
      <c r="X119" s="6"/>
      <c r="Y119" s="6"/>
      <c r="Z119" s="6"/>
      <c r="AA119" s="8"/>
      <c r="AB119" s="8"/>
      <c r="AC119" s="6"/>
      <c r="AD119" s="6"/>
      <c r="AE119" s="9"/>
    </row>
    <row r="120" spans="1:31" s="10" customFormat="1" ht="15.75" x14ac:dyDescent="0.25">
      <c r="A120" s="3">
        <v>104</v>
      </c>
      <c r="B120" s="3" t="s">
        <v>32</v>
      </c>
      <c r="C120" s="5"/>
      <c r="D120" s="4"/>
      <c r="E120" s="6"/>
      <c r="F120" s="6"/>
      <c r="G120" s="3"/>
      <c r="H120" s="3"/>
      <c r="I120" s="7"/>
      <c r="J120" s="3"/>
      <c r="K120" s="3"/>
      <c r="L120" s="3"/>
      <c r="M120" s="3"/>
      <c r="N120" s="3"/>
      <c r="O120" s="3"/>
      <c r="P120" s="3"/>
      <c r="Q120" s="6"/>
      <c r="R120" s="7"/>
      <c r="S120" s="7"/>
      <c r="T120" s="7"/>
      <c r="U120" s="20"/>
      <c r="V120" s="11"/>
      <c r="W120" s="6"/>
      <c r="X120" s="6"/>
      <c r="Y120" s="6"/>
      <c r="Z120" s="6"/>
      <c r="AA120" s="8"/>
      <c r="AB120" s="8"/>
      <c r="AC120" s="6"/>
      <c r="AD120" s="6"/>
      <c r="AE120" s="9"/>
    </row>
    <row r="121" spans="1:31" s="10" customFormat="1" ht="15.75" x14ac:dyDescent="0.25">
      <c r="A121" s="3">
        <v>105</v>
      </c>
      <c r="B121" s="3" t="s">
        <v>32</v>
      </c>
      <c r="C121" s="5"/>
      <c r="D121" s="4"/>
      <c r="E121" s="6"/>
      <c r="F121" s="6"/>
      <c r="G121" s="3"/>
      <c r="H121" s="3"/>
      <c r="I121" s="7"/>
      <c r="J121" s="3"/>
      <c r="K121" s="3"/>
      <c r="L121" s="3"/>
      <c r="M121" s="3"/>
      <c r="N121" s="3"/>
      <c r="O121" s="3"/>
      <c r="P121" s="3"/>
      <c r="Q121" s="6"/>
      <c r="R121" s="7"/>
      <c r="S121" s="7"/>
      <c r="T121" s="7"/>
      <c r="U121" s="20"/>
      <c r="V121" s="11"/>
      <c r="W121" s="6"/>
      <c r="X121" s="6"/>
      <c r="Y121" s="6"/>
      <c r="Z121" s="6"/>
      <c r="AA121" s="8"/>
      <c r="AB121" s="8"/>
      <c r="AC121" s="6"/>
      <c r="AD121" s="6"/>
      <c r="AE121" s="9"/>
    </row>
    <row r="122" spans="1:31" s="10" customFormat="1" ht="15.75" x14ac:dyDescent="0.25">
      <c r="A122" s="3">
        <v>106</v>
      </c>
      <c r="B122" s="3" t="s">
        <v>32</v>
      </c>
      <c r="C122" s="5"/>
      <c r="D122" s="4"/>
      <c r="E122" s="6"/>
      <c r="F122" s="6"/>
      <c r="G122" s="3"/>
      <c r="H122" s="3"/>
      <c r="I122" s="7"/>
      <c r="J122" s="3"/>
      <c r="K122" s="3"/>
      <c r="L122" s="3"/>
      <c r="M122" s="3"/>
      <c r="N122" s="3"/>
      <c r="O122" s="3"/>
      <c r="P122" s="3"/>
      <c r="Q122" s="6"/>
      <c r="R122" s="7"/>
      <c r="S122" s="7"/>
      <c r="T122" s="7"/>
      <c r="U122" s="20"/>
      <c r="V122" s="11"/>
      <c r="W122" s="6"/>
      <c r="X122" s="6"/>
      <c r="Y122" s="6"/>
      <c r="Z122" s="6"/>
      <c r="AA122" s="8"/>
      <c r="AB122" s="8"/>
      <c r="AC122" s="6"/>
      <c r="AD122" s="6"/>
      <c r="AE122" s="9"/>
    </row>
    <row r="123" spans="1:31" s="10" customFormat="1" ht="15.75" x14ac:dyDescent="0.25">
      <c r="A123" s="3">
        <v>107</v>
      </c>
      <c r="B123" s="3" t="s">
        <v>32</v>
      </c>
      <c r="C123" s="5"/>
      <c r="D123" s="4"/>
      <c r="E123" s="6"/>
      <c r="F123" s="6"/>
      <c r="G123" s="3"/>
      <c r="H123" s="3"/>
      <c r="I123" s="7"/>
      <c r="J123" s="3"/>
      <c r="K123" s="3"/>
      <c r="L123" s="3"/>
      <c r="M123" s="3"/>
      <c r="N123" s="3"/>
      <c r="O123" s="3"/>
      <c r="P123" s="3"/>
      <c r="Q123" s="6"/>
      <c r="R123" s="7"/>
      <c r="S123" s="7"/>
      <c r="T123" s="7"/>
      <c r="U123" s="20"/>
      <c r="V123" s="11"/>
      <c r="W123" s="6"/>
      <c r="X123" s="6"/>
      <c r="Y123" s="6"/>
      <c r="Z123" s="6"/>
      <c r="AA123" s="8"/>
      <c r="AB123" s="8"/>
      <c r="AC123" s="6"/>
      <c r="AD123" s="6"/>
      <c r="AE123" s="9"/>
    </row>
    <row r="124" spans="1:31" s="10" customFormat="1" ht="15.75" x14ac:dyDescent="0.25">
      <c r="A124" s="3">
        <v>108</v>
      </c>
      <c r="B124" s="3" t="s">
        <v>32</v>
      </c>
      <c r="C124" s="5"/>
      <c r="D124" s="4"/>
      <c r="E124" s="6"/>
      <c r="F124" s="6"/>
      <c r="G124" s="3"/>
      <c r="H124" s="3"/>
      <c r="I124" s="7"/>
      <c r="J124" s="3"/>
      <c r="K124" s="3"/>
      <c r="L124" s="3"/>
      <c r="M124" s="3"/>
      <c r="N124" s="3"/>
      <c r="O124" s="3"/>
      <c r="P124" s="3"/>
      <c r="Q124" s="6"/>
      <c r="R124" s="7"/>
      <c r="S124" s="7"/>
      <c r="T124" s="7"/>
      <c r="U124" s="20"/>
      <c r="V124" s="11"/>
      <c r="W124" s="6"/>
      <c r="X124" s="6"/>
      <c r="Y124" s="6"/>
      <c r="Z124" s="6"/>
      <c r="AA124" s="8"/>
      <c r="AB124" s="8"/>
      <c r="AC124" s="6"/>
      <c r="AD124" s="6"/>
      <c r="AE124" s="9"/>
    </row>
    <row r="125" spans="1:31" s="10" customFormat="1" ht="15.75" x14ac:dyDescent="0.25">
      <c r="A125" s="3">
        <v>109</v>
      </c>
      <c r="B125" s="3" t="s">
        <v>32</v>
      </c>
      <c r="C125" s="5"/>
      <c r="D125" s="4"/>
      <c r="E125" s="6"/>
      <c r="F125" s="6"/>
      <c r="G125" s="3"/>
      <c r="H125" s="3"/>
      <c r="I125" s="7"/>
      <c r="J125" s="3"/>
      <c r="K125" s="3"/>
      <c r="L125" s="3"/>
      <c r="M125" s="3"/>
      <c r="N125" s="3"/>
      <c r="O125" s="3"/>
      <c r="P125" s="3"/>
      <c r="Q125" s="6" t="s">
        <v>101</v>
      </c>
      <c r="R125" s="7"/>
      <c r="S125" s="7"/>
      <c r="T125" s="7"/>
      <c r="U125" s="20"/>
      <c r="V125" s="11"/>
      <c r="W125" s="6"/>
      <c r="X125" s="6"/>
      <c r="Y125" s="6"/>
      <c r="Z125" s="6"/>
      <c r="AA125" s="8"/>
      <c r="AB125" s="8"/>
      <c r="AC125" s="6"/>
      <c r="AD125" s="6"/>
      <c r="AE125" s="9"/>
    </row>
    <row r="126" spans="1:31" ht="16.5" x14ac:dyDescent="0.25">
      <c r="A126" s="12"/>
      <c r="B126" s="73" t="s">
        <v>37</v>
      </c>
      <c r="C126" s="74"/>
      <c r="D126" s="74"/>
      <c r="E126" s="74"/>
      <c r="F126" s="74"/>
      <c r="G126" s="74"/>
      <c r="H126" s="75"/>
      <c r="I126" s="13"/>
      <c r="J126" s="14">
        <f ca="1">COUNTIF(J3:J125,"CQ")+COUNTIF(J125,"CN")+COUNTIF(J125,"TK")</f>
        <v>0</v>
      </c>
      <c r="K126" s="14">
        <f>COUNTIF(K3:K125,"CMĐ")</f>
        <v>20</v>
      </c>
      <c r="L126" s="14">
        <f>COUNTIF(L125,"XMDT")+COUNTIF(L125,"Mốc")</f>
        <v>0</v>
      </c>
      <c r="M126" s="14">
        <f>COUNTIF(M125,"THÁn")</f>
        <v>0</v>
      </c>
      <c r="N126" s="14">
        <f>COUNTIF(N125,"TÒA")</f>
        <v>0</v>
      </c>
      <c r="O126" s="14">
        <f>COUNTIF(O3:O125,"Cấp GCN")</f>
        <v>2</v>
      </c>
      <c r="P126" s="14">
        <f>COUNTIF(P3:P125,"SHN")</f>
        <v>21</v>
      </c>
      <c r="Q126" s="15"/>
      <c r="R126" s="13"/>
      <c r="S126" s="15"/>
      <c r="T126" s="15"/>
      <c r="U126" s="16"/>
      <c r="V126" s="11"/>
      <c r="W126" s="17"/>
      <c r="X126" s="2"/>
      <c r="AD126" s="14">
        <f>COUNTIF(AD125,"kt")</f>
        <v>0</v>
      </c>
    </row>
  </sheetData>
  <mergeCells count="16">
    <mergeCell ref="A1:AC1"/>
    <mergeCell ref="B126:H126"/>
    <mergeCell ref="B12:H12"/>
    <mergeCell ref="B22:H22"/>
    <mergeCell ref="B36:H36"/>
    <mergeCell ref="B44:H44"/>
    <mergeCell ref="B47:H47"/>
    <mergeCell ref="B52:H52"/>
    <mergeCell ref="B56:H56"/>
    <mergeCell ref="B63:H63"/>
    <mergeCell ref="B77:H77"/>
    <mergeCell ref="B82:H82"/>
    <mergeCell ref="B89:H89"/>
    <mergeCell ref="B93:H93"/>
    <mergeCell ref="B101:H101"/>
    <mergeCell ref="B109:H109"/>
  </mergeCells>
  <phoneticPr fontId="4" type="noConversion"/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E137"/>
  <sheetViews>
    <sheetView zoomScale="90" zoomScaleNormal="90" workbookViewId="0">
      <pane ySplit="2" topLeftCell="A10" activePane="bottomLeft" state="frozen"/>
      <selection pane="bottomLeft" activeCell="C12" sqref="C12:G12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9" width="12" customWidth="1"/>
    <col min="10" max="10" width="8.42578125" customWidth="1"/>
    <col min="11" max="11" width="7.28515625" customWidth="1"/>
    <col min="12" max="12" width="8.28515625" customWidth="1"/>
    <col min="13" max="13" width="7.5703125" customWidth="1"/>
    <col min="14" max="14" width="5.5703125" customWidth="1"/>
    <col min="15" max="16" width="9.42578125" customWidth="1"/>
    <col min="17" max="17" width="14.5703125" customWidth="1"/>
    <col min="18" max="20" width="12.140625" customWidth="1"/>
    <col min="21" max="21" width="10.7109375" customWidth="1"/>
    <col min="22" max="22" width="13.28515625" customWidth="1"/>
    <col min="23" max="24" width="9" customWidth="1"/>
    <col min="25" max="25" width="10.28515625" customWidth="1"/>
    <col min="26" max="26" width="15.140625" customWidth="1"/>
    <col min="27" max="27" width="16.85546875" customWidth="1"/>
    <col min="28" max="28" width="20.7109375" customWidth="1"/>
    <col min="29" max="30" width="18.5703125" customWidth="1"/>
    <col min="31" max="31" width="9.140625" style="2"/>
  </cols>
  <sheetData>
    <row r="1" spans="1:31" ht="25.5" customHeight="1" x14ac:dyDescent="0.35">
      <c r="A1" s="76" t="s">
        <v>45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2"/>
    </row>
    <row r="2" spans="1:31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4</v>
      </c>
      <c r="K2" s="1" t="s">
        <v>3</v>
      </c>
      <c r="L2" s="1" t="s">
        <v>1</v>
      </c>
      <c r="M2" s="1" t="s">
        <v>19</v>
      </c>
      <c r="N2" s="1" t="s">
        <v>11</v>
      </c>
      <c r="O2" s="1" t="s">
        <v>12</v>
      </c>
      <c r="P2" s="1" t="s">
        <v>52</v>
      </c>
      <c r="Q2" s="1" t="s">
        <v>2</v>
      </c>
      <c r="R2" s="1" t="s">
        <v>20</v>
      </c>
      <c r="S2" s="1" t="s">
        <v>29</v>
      </c>
      <c r="T2" s="1" t="s">
        <v>30</v>
      </c>
      <c r="U2" s="1" t="s">
        <v>31</v>
      </c>
      <c r="V2" s="1" t="s">
        <v>22</v>
      </c>
      <c r="W2" s="1" t="s">
        <v>21</v>
      </c>
      <c r="X2" s="1" t="s">
        <v>23</v>
      </c>
      <c r="Y2" s="1" t="s">
        <v>24</v>
      </c>
      <c r="Z2" s="1" t="s">
        <v>14</v>
      </c>
      <c r="AA2" s="1" t="s">
        <v>13</v>
      </c>
      <c r="AB2" s="1" t="s">
        <v>18</v>
      </c>
      <c r="AC2" s="1" t="s">
        <v>8</v>
      </c>
      <c r="AD2" s="1" t="s">
        <v>35</v>
      </c>
    </row>
    <row r="3" spans="1:31" s="10" customFormat="1" ht="31.5" x14ac:dyDescent="0.25">
      <c r="A3" s="3">
        <v>1</v>
      </c>
      <c r="B3" s="3" t="s">
        <v>33</v>
      </c>
      <c r="C3" s="5" t="s">
        <v>142</v>
      </c>
      <c r="D3" s="4" t="s">
        <v>143</v>
      </c>
      <c r="E3" s="6">
        <v>14</v>
      </c>
      <c r="F3" s="6">
        <v>346</v>
      </c>
      <c r="G3" s="6">
        <v>90</v>
      </c>
      <c r="H3" s="3" t="s">
        <v>55</v>
      </c>
      <c r="I3" s="7" t="s">
        <v>94</v>
      </c>
      <c r="J3" s="3"/>
      <c r="K3" s="3"/>
      <c r="L3" s="3"/>
      <c r="M3" s="3"/>
      <c r="N3" s="3"/>
      <c r="O3" s="3"/>
      <c r="P3" s="3" t="s">
        <v>52</v>
      </c>
      <c r="Q3" s="6" t="s">
        <v>133</v>
      </c>
      <c r="R3" s="7">
        <v>45671</v>
      </c>
      <c r="S3" s="7"/>
      <c r="T3" s="7"/>
      <c r="U3" s="8"/>
      <c r="V3" s="6"/>
      <c r="W3" s="6"/>
      <c r="X3" s="6"/>
      <c r="Y3" s="8"/>
      <c r="Z3" s="8"/>
      <c r="AA3" s="8"/>
      <c r="AB3" s="6"/>
      <c r="AC3" s="8"/>
      <c r="AD3" s="6"/>
      <c r="AE3" s="9"/>
    </row>
    <row r="4" spans="1:31" s="10" customFormat="1" ht="31.5" x14ac:dyDescent="0.25">
      <c r="A4" s="3">
        <v>2</v>
      </c>
      <c r="B4" s="3" t="s">
        <v>33</v>
      </c>
      <c r="C4" s="5" t="s">
        <v>142</v>
      </c>
      <c r="D4" s="4" t="s">
        <v>143</v>
      </c>
      <c r="E4" s="6">
        <v>14</v>
      </c>
      <c r="F4" s="6">
        <v>407</v>
      </c>
      <c r="G4" s="6">
        <v>81</v>
      </c>
      <c r="H4" s="3" t="s">
        <v>55</v>
      </c>
      <c r="I4" s="7" t="s">
        <v>94</v>
      </c>
      <c r="J4" s="3"/>
      <c r="K4" s="3"/>
      <c r="L4" s="3"/>
      <c r="M4" s="3"/>
      <c r="N4" s="3"/>
      <c r="O4" s="3"/>
      <c r="P4" s="3" t="s">
        <v>52</v>
      </c>
      <c r="Q4" s="6" t="s">
        <v>133</v>
      </c>
      <c r="R4" s="7">
        <v>45671</v>
      </c>
      <c r="S4" s="7"/>
      <c r="T4" s="7"/>
      <c r="U4" s="6"/>
      <c r="V4" s="11"/>
      <c r="W4" s="6"/>
      <c r="X4" s="6"/>
      <c r="Y4" s="6"/>
      <c r="Z4" s="6"/>
      <c r="AA4" s="8"/>
      <c r="AB4" s="8"/>
      <c r="AC4" s="6"/>
      <c r="AD4" s="6"/>
      <c r="AE4" s="9"/>
    </row>
    <row r="5" spans="1:31" s="10" customFormat="1" ht="47.25" x14ac:dyDescent="0.25">
      <c r="A5" s="3">
        <v>3</v>
      </c>
      <c r="B5" s="3" t="s">
        <v>33</v>
      </c>
      <c r="C5" s="5" t="s">
        <v>154</v>
      </c>
      <c r="D5" s="4" t="s">
        <v>155</v>
      </c>
      <c r="E5" s="6">
        <v>29</v>
      </c>
      <c r="F5" s="6">
        <v>206</v>
      </c>
      <c r="G5" s="3">
        <v>1517.1</v>
      </c>
      <c r="H5" s="7" t="s">
        <v>75</v>
      </c>
      <c r="I5" s="7" t="s">
        <v>156</v>
      </c>
      <c r="J5" s="3" t="s">
        <v>76</v>
      </c>
      <c r="K5" s="3"/>
      <c r="L5" s="3"/>
      <c r="M5" s="3"/>
      <c r="N5" s="3"/>
      <c r="O5" s="3"/>
      <c r="P5" s="3"/>
      <c r="Q5" s="6" t="s">
        <v>133</v>
      </c>
      <c r="R5" s="7"/>
      <c r="S5" s="6"/>
      <c r="T5" s="6"/>
      <c r="U5" s="6"/>
      <c r="V5" s="6"/>
      <c r="W5" s="6"/>
      <c r="X5" s="6"/>
      <c r="Y5" s="6"/>
      <c r="Z5" s="6"/>
      <c r="AA5" s="8"/>
      <c r="AB5" s="8" t="s">
        <v>486</v>
      </c>
      <c r="AC5" s="6" t="s">
        <v>482</v>
      </c>
      <c r="AD5" s="6"/>
      <c r="AE5" s="9"/>
    </row>
    <row r="6" spans="1:31" s="10" customFormat="1" ht="47.25" x14ac:dyDescent="0.25">
      <c r="A6" s="3">
        <v>4</v>
      </c>
      <c r="B6" s="3" t="s">
        <v>33</v>
      </c>
      <c r="C6" s="5" t="s">
        <v>157</v>
      </c>
      <c r="D6" s="4" t="s">
        <v>158</v>
      </c>
      <c r="E6" s="6">
        <v>23</v>
      </c>
      <c r="F6" s="6" t="s">
        <v>159</v>
      </c>
      <c r="G6" s="6" t="s">
        <v>160</v>
      </c>
      <c r="H6" s="3" t="s">
        <v>51</v>
      </c>
      <c r="I6" s="7" t="s">
        <v>129</v>
      </c>
      <c r="J6" s="3"/>
      <c r="K6" s="3" t="s">
        <v>62</v>
      </c>
      <c r="L6" s="3"/>
      <c r="M6" s="3"/>
      <c r="N6" s="3"/>
      <c r="O6" s="3"/>
      <c r="P6" s="3"/>
      <c r="Q6" s="6" t="s">
        <v>133</v>
      </c>
      <c r="R6" s="7"/>
      <c r="S6" s="7"/>
      <c r="T6" s="7"/>
      <c r="U6" s="6"/>
      <c r="V6" s="11"/>
      <c r="W6" s="6"/>
      <c r="X6" s="6"/>
      <c r="Y6" s="6"/>
      <c r="Z6" s="6"/>
      <c r="AA6" s="8"/>
      <c r="AB6" s="8" t="s">
        <v>486</v>
      </c>
      <c r="AC6" s="6" t="s">
        <v>482</v>
      </c>
      <c r="AD6" s="6"/>
      <c r="AE6" s="9"/>
    </row>
    <row r="7" spans="1:31" s="10" customFormat="1" ht="31.5" x14ac:dyDescent="0.25">
      <c r="A7" s="3">
        <v>5</v>
      </c>
      <c r="B7" s="3" t="s">
        <v>33</v>
      </c>
      <c r="C7" s="5" t="s">
        <v>161</v>
      </c>
      <c r="D7" s="4" t="s">
        <v>162</v>
      </c>
      <c r="E7" s="6">
        <v>36</v>
      </c>
      <c r="F7" s="6">
        <v>2</v>
      </c>
      <c r="G7" s="6">
        <v>147.19999999999999</v>
      </c>
      <c r="H7" s="3" t="s">
        <v>51</v>
      </c>
      <c r="I7" s="7" t="s">
        <v>163</v>
      </c>
      <c r="J7" s="3"/>
      <c r="K7" s="3" t="s">
        <v>62</v>
      </c>
      <c r="L7" s="3"/>
      <c r="M7" s="3"/>
      <c r="N7" s="3"/>
      <c r="O7" s="3"/>
      <c r="P7" s="3"/>
      <c r="Q7" s="6" t="s">
        <v>133</v>
      </c>
      <c r="R7" s="7"/>
      <c r="S7" s="7"/>
      <c r="T7" s="7"/>
      <c r="U7" s="6"/>
      <c r="V7" s="11"/>
      <c r="W7" s="6"/>
      <c r="X7" s="6"/>
      <c r="Y7" s="6"/>
      <c r="Z7" s="6"/>
      <c r="AA7" s="8"/>
      <c r="AB7" s="8"/>
      <c r="AC7" s="6"/>
      <c r="AD7" s="6"/>
      <c r="AE7" s="9"/>
    </row>
    <row r="8" spans="1:31" s="10" customFormat="1" ht="63" x14ac:dyDescent="0.25">
      <c r="A8" s="3">
        <v>6</v>
      </c>
      <c r="B8" s="3" t="s">
        <v>33</v>
      </c>
      <c r="C8" s="19" t="s">
        <v>164</v>
      </c>
      <c r="D8" s="4" t="s">
        <v>165</v>
      </c>
      <c r="E8" s="3">
        <v>50</v>
      </c>
      <c r="F8" s="3">
        <v>35</v>
      </c>
      <c r="G8" s="3">
        <v>90</v>
      </c>
      <c r="H8" s="3" t="s">
        <v>55</v>
      </c>
      <c r="I8" s="19" t="s">
        <v>166</v>
      </c>
      <c r="J8" s="3"/>
      <c r="K8" s="3"/>
      <c r="L8" s="3"/>
      <c r="M8" s="3"/>
      <c r="N8" s="3"/>
      <c r="O8" s="3"/>
      <c r="P8" s="3" t="s">
        <v>52</v>
      </c>
      <c r="Q8" s="6" t="s">
        <v>133</v>
      </c>
      <c r="R8" s="7" t="s">
        <v>413</v>
      </c>
      <c r="S8" s="7"/>
      <c r="T8" s="7"/>
      <c r="U8" s="6"/>
      <c r="V8" s="11"/>
      <c r="W8" s="6"/>
      <c r="X8" s="6"/>
      <c r="Y8" s="6"/>
      <c r="Z8" s="6" t="s">
        <v>414</v>
      </c>
      <c r="AA8" s="8" t="s">
        <v>415</v>
      </c>
      <c r="AB8" s="8"/>
      <c r="AC8" s="6"/>
      <c r="AD8" s="6"/>
      <c r="AE8" s="9"/>
    </row>
    <row r="9" spans="1:31" s="10" customFormat="1" ht="51" customHeight="1" x14ac:dyDescent="0.25">
      <c r="A9" s="3">
        <v>7</v>
      </c>
      <c r="B9" s="3" t="s">
        <v>33</v>
      </c>
      <c r="C9" s="5" t="s">
        <v>228</v>
      </c>
      <c r="D9" s="4" t="s">
        <v>229</v>
      </c>
      <c r="E9" s="6">
        <v>9</v>
      </c>
      <c r="F9" s="6">
        <v>367</v>
      </c>
      <c r="G9" s="6">
        <v>18.7</v>
      </c>
      <c r="H9" s="6" t="s">
        <v>75</v>
      </c>
      <c r="I9" s="7">
        <v>45665</v>
      </c>
      <c r="J9" s="3"/>
      <c r="K9" s="3"/>
      <c r="L9" s="3" t="s">
        <v>1</v>
      </c>
      <c r="M9" s="3"/>
      <c r="N9" s="3"/>
      <c r="O9" s="3"/>
      <c r="P9" s="3"/>
      <c r="Q9" s="6" t="s">
        <v>133</v>
      </c>
      <c r="R9" s="7"/>
      <c r="S9" s="7"/>
      <c r="T9" s="7"/>
      <c r="U9" s="6"/>
      <c r="V9" s="11"/>
      <c r="W9" s="6"/>
      <c r="X9" s="6"/>
      <c r="Y9" s="6"/>
      <c r="Z9" s="6"/>
      <c r="AA9" s="8"/>
      <c r="AB9" s="8"/>
      <c r="AC9" s="6" t="s">
        <v>406</v>
      </c>
      <c r="AD9" s="6"/>
      <c r="AE9" s="9"/>
    </row>
    <row r="10" spans="1:31" s="10" customFormat="1" ht="47.25" x14ac:dyDescent="0.25">
      <c r="A10" s="3">
        <v>8</v>
      </c>
      <c r="B10" s="3" t="s">
        <v>33</v>
      </c>
      <c r="C10" s="5" t="s">
        <v>234</v>
      </c>
      <c r="D10" s="4" t="s">
        <v>235</v>
      </c>
      <c r="E10" s="6">
        <v>19</v>
      </c>
      <c r="F10" s="6">
        <v>161</v>
      </c>
      <c r="G10" s="6">
        <v>1019.3</v>
      </c>
      <c r="H10" s="3" t="s">
        <v>75</v>
      </c>
      <c r="I10" s="7">
        <v>45666</v>
      </c>
      <c r="J10" s="3" t="s">
        <v>76</v>
      </c>
      <c r="K10" s="3"/>
      <c r="L10" s="3"/>
      <c r="M10" s="3"/>
      <c r="N10" s="3"/>
      <c r="O10" s="3"/>
      <c r="P10" s="3"/>
      <c r="Q10" s="6" t="s">
        <v>133</v>
      </c>
      <c r="R10" s="7"/>
      <c r="S10" s="7"/>
      <c r="T10" s="7"/>
      <c r="U10" s="6"/>
      <c r="V10" s="11"/>
      <c r="W10" s="6"/>
      <c r="X10" s="6"/>
      <c r="Y10" s="6"/>
      <c r="Z10" s="6"/>
      <c r="AA10" s="8"/>
      <c r="AB10" s="8"/>
      <c r="AC10" s="6" t="s">
        <v>454</v>
      </c>
      <c r="AD10" s="6"/>
      <c r="AE10" s="9"/>
    </row>
    <row r="11" spans="1:31" s="10" customFormat="1" ht="31.5" x14ac:dyDescent="0.25">
      <c r="A11" s="3">
        <v>9</v>
      </c>
      <c r="B11" s="3" t="s">
        <v>33</v>
      </c>
      <c r="C11" s="5" t="s">
        <v>245</v>
      </c>
      <c r="D11" s="4" t="s">
        <v>246</v>
      </c>
      <c r="E11" s="6" t="s">
        <v>248</v>
      </c>
      <c r="F11" s="6" t="s">
        <v>249</v>
      </c>
      <c r="G11" s="6" t="s">
        <v>250</v>
      </c>
      <c r="H11" s="6" t="s">
        <v>55</v>
      </c>
      <c r="I11" s="7">
        <v>45667</v>
      </c>
      <c r="J11" s="3"/>
      <c r="K11" s="3"/>
      <c r="L11" s="3" t="s">
        <v>1</v>
      </c>
      <c r="M11" s="3"/>
      <c r="N11" s="3"/>
      <c r="O11" s="3"/>
      <c r="P11" s="3"/>
      <c r="Q11" s="6" t="s">
        <v>133</v>
      </c>
      <c r="R11" s="7">
        <v>45758</v>
      </c>
      <c r="S11" s="7">
        <v>45793</v>
      </c>
      <c r="T11" s="7">
        <v>45793</v>
      </c>
      <c r="U11" s="6">
        <v>660</v>
      </c>
      <c r="V11" s="11">
        <v>961551</v>
      </c>
      <c r="W11" s="6"/>
      <c r="X11" s="6"/>
      <c r="Y11" s="6"/>
      <c r="Z11" s="6"/>
      <c r="AA11" s="8" t="s">
        <v>2374</v>
      </c>
      <c r="AB11" s="8" t="s">
        <v>2114</v>
      </c>
      <c r="AC11" s="6" t="s">
        <v>616</v>
      </c>
      <c r="AD11" s="6"/>
      <c r="AE11" s="9"/>
    </row>
    <row r="12" spans="1:31" s="10" customFormat="1" ht="31.5" x14ac:dyDescent="0.25">
      <c r="A12" s="3">
        <v>10</v>
      </c>
      <c r="B12" s="3" t="s">
        <v>33</v>
      </c>
      <c r="C12" s="5" t="s">
        <v>247</v>
      </c>
      <c r="D12" s="4" t="s">
        <v>246</v>
      </c>
      <c r="E12" s="6">
        <v>9</v>
      </c>
      <c r="F12" s="6">
        <v>365</v>
      </c>
      <c r="G12" s="6">
        <v>102.4</v>
      </c>
      <c r="H12" s="6" t="s">
        <v>55</v>
      </c>
      <c r="I12" s="7" t="s">
        <v>2144</v>
      </c>
      <c r="J12" s="3"/>
      <c r="K12" s="3"/>
      <c r="L12" s="3" t="s">
        <v>1</v>
      </c>
      <c r="M12" s="3"/>
      <c r="N12" s="3"/>
      <c r="O12" s="3"/>
      <c r="P12" s="3"/>
      <c r="Q12" s="6" t="s">
        <v>133</v>
      </c>
      <c r="R12" s="7"/>
      <c r="S12" s="7"/>
      <c r="T12" s="7"/>
      <c r="U12" s="6"/>
      <c r="V12" s="11"/>
      <c r="W12" s="6"/>
      <c r="X12" s="6"/>
      <c r="Y12" s="6"/>
      <c r="Z12" s="6"/>
      <c r="AA12" s="8"/>
      <c r="AB12" s="8" t="s">
        <v>798</v>
      </c>
      <c r="AC12" s="6" t="s">
        <v>616</v>
      </c>
      <c r="AD12" s="6"/>
      <c r="AE12" s="9"/>
    </row>
    <row r="13" spans="1:31" s="10" customFormat="1" ht="31.5" x14ac:dyDescent="0.25">
      <c r="A13" s="3">
        <v>11</v>
      </c>
      <c r="B13" s="3" t="s">
        <v>33</v>
      </c>
      <c r="C13" s="5" t="s">
        <v>253</v>
      </c>
      <c r="D13" s="4" t="s">
        <v>254</v>
      </c>
      <c r="E13" s="6">
        <v>19</v>
      </c>
      <c r="F13" s="6">
        <v>20</v>
      </c>
      <c r="G13" s="6">
        <v>3496.2</v>
      </c>
      <c r="H13" s="3" t="s">
        <v>51</v>
      </c>
      <c r="I13" s="7" t="s">
        <v>475</v>
      </c>
      <c r="J13" s="3"/>
      <c r="K13" s="3"/>
      <c r="L13" s="3" t="s">
        <v>1</v>
      </c>
      <c r="M13" s="3"/>
      <c r="N13" s="3"/>
      <c r="O13" s="3"/>
      <c r="P13" s="3"/>
      <c r="Q13" s="6" t="s">
        <v>133</v>
      </c>
      <c r="R13" s="7">
        <v>45758</v>
      </c>
      <c r="S13" s="7">
        <v>45761</v>
      </c>
      <c r="T13" s="7">
        <v>45761</v>
      </c>
      <c r="U13" s="6">
        <v>2207</v>
      </c>
      <c r="V13" s="11">
        <v>2631612</v>
      </c>
      <c r="W13" s="6"/>
      <c r="X13" s="6"/>
      <c r="Y13" s="6"/>
      <c r="Z13" s="6"/>
      <c r="AA13" s="8"/>
      <c r="AB13" s="8"/>
      <c r="AC13" s="6" t="s">
        <v>405</v>
      </c>
      <c r="AD13" s="6"/>
      <c r="AE13" s="9"/>
    </row>
    <row r="14" spans="1:31" s="10" customFormat="1" ht="31.5" x14ac:dyDescent="0.25">
      <c r="A14" s="3">
        <v>12</v>
      </c>
      <c r="B14" s="3" t="s">
        <v>33</v>
      </c>
      <c r="C14" s="5" t="s">
        <v>267</v>
      </c>
      <c r="D14" s="4" t="s">
        <v>268</v>
      </c>
      <c r="E14" s="6">
        <v>18</v>
      </c>
      <c r="F14" s="6">
        <v>278</v>
      </c>
      <c r="G14" s="6">
        <v>2771.8</v>
      </c>
      <c r="H14" s="3" t="s">
        <v>75</v>
      </c>
      <c r="I14" s="7">
        <v>45670</v>
      </c>
      <c r="J14" s="3"/>
      <c r="K14" s="3"/>
      <c r="L14" s="3" t="s">
        <v>98</v>
      </c>
      <c r="M14" s="3"/>
      <c r="N14" s="3"/>
      <c r="O14" s="3"/>
      <c r="P14" s="3"/>
      <c r="Q14" s="6" t="s">
        <v>133</v>
      </c>
      <c r="R14" s="7"/>
      <c r="S14" s="7"/>
      <c r="T14" s="7"/>
      <c r="U14" s="6"/>
      <c r="V14" s="11"/>
      <c r="W14" s="6"/>
      <c r="X14" s="6"/>
      <c r="Y14" s="6"/>
      <c r="Z14" s="6"/>
      <c r="AA14" s="8"/>
      <c r="AB14" s="8" t="s">
        <v>298</v>
      </c>
      <c r="AC14" s="6" t="s">
        <v>269</v>
      </c>
      <c r="AD14" s="6"/>
      <c r="AE14" s="9"/>
    </row>
    <row r="15" spans="1:31" s="10" customFormat="1" ht="31.5" x14ac:dyDescent="0.25">
      <c r="A15" s="3">
        <v>13</v>
      </c>
      <c r="B15" s="3" t="s">
        <v>33</v>
      </c>
      <c r="C15" s="5" t="s">
        <v>273</v>
      </c>
      <c r="D15" s="4" t="s">
        <v>274</v>
      </c>
      <c r="E15" s="6">
        <v>51</v>
      </c>
      <c r="F15" s="6">
        <v>46</v>
      </c>
      <c r="G15" s="6">
        <v>68</v>
      </c>
      <c r="H15" s="3" t="s">
        <v>51</v>
      </c>
      <c r="I15" s="7">
        <v>45670</v>
      </c>
      <c r="J15" s="3"/>
      <c r="K15" s="3"/>
      <c r="L15" s="3"/>
      <c r="M15" s="3"/>
      <c r="N15" s="3"/>
      <c r="O15" s="3"/>
      <c r="P15" s="3" t="s">
        <v>52</v>
      </c>
      <c r="Q15" s="6" t="s">
        <v>133</v>
      </c>
      <c r="R15" s="7">
        <v>45692</v>
      </c>
      <c r="S15" s="7">
        <v>45692</v>
      </c>
      <c r="T15" s="7">
        <v>45692</v>
      </c>
      <c r="U15" s="23">
        <v>580</v>
      </c>
      <c r="V15" s="11">
        <v>1416978</v>
      </c>
      <c r="W15" s="6"/>
      <c r="X15" s="6"/>
      <c r="Y15" s="6"/>
      <c r="Z15" s="6"/>
      <c r="AA15" s="8"/>
      <c r="AB15" s="8"/>
      <c r="AC15" s="6" t="s">
        <v>384</v>
      </c>
      <c r="AD15" s="6"/>
      <c r="AE15" s="9"/>
    </row>
    <row r="16" spans="1:31" s="10" customFormat="1" ht="31.5" x14ac:dyDescent="0.25">
      <c r="A16" s="3">
        <v>14</v>
      </c>
      <c r="B16" s="3" t="s">
        <v>33</v>
      </c>
      <c r="C16" s="5" t="s">
        <v>275</v>
      </c>
      <c r="D16" s="4" t="s">
        <v>276</v>
      </c>
      <c r="E16" s="6">
        <v>20</v>
      </c>
      <c r="F16" s="6">
        <v>394</v>
      </c>
      <c r="G16" s="6">
        <v>1480.2</v>
      </c>
      <c r="H16" s="3" t="s">
        <v>75</v>
      </c>
      <c r="I16" s="7">
        <v>45670</v>
      </c>
      <c r="J16" s="3"/>
      <c r="K16" s="3" t="s">
        <v>62</v>
      </c>
      <c r="L16" s="3"/>
      <c r="M16" s="3"/>
      <c r="N16" s="3"/>
      <c r="O16" s="3"/>
      <c r="P16" s="3"/>
      <c r="Q16" s="6" t="s">
        <v>133</v>
      </c>
      <c r="R16" s="7">
        <v>45743</v>
      </c>
      <c r="S16" s="7">
        <v>45744</v>
      </c>
      <c r="T16" s="7">
        <v>45744</v>
      </c>
      <c r="U16" s="6">
        <v>1814</v>
      </c>
      <c r="V16" s="11">
        <v>809727</v>
      </c>
      <c r="W16" s="6"/>
      <c r="X16" s="6"/>
      <c r="Y16" s="6"/>
      <c r="Z16" s="6"/>
      <c r="AA16" s="8"/>
      <c r="AB16" s="8" t="s">
        <v>1888</v>
      </c>
      <c r="AC16" s="6"/>
      <c r="AD16" s="6"/>
      <c r="AE16" s="9"/>
    </row>
    <row r="17" spans="1:31" s="10" customFormat="1" ht="47.25" x14ac:dyDescent="0.25">
      <c r="A17" s="3">
        <v>15</v>
      </c>
      <c r="B17" s="3" t="s">
        <v>33</v>
      </c>
      <c r="C17" s="5" t="s">
        <v>277</v>
      </c>
      <c r="D17" s="4" t="s">
        <v>278</v>
      </c>
      <c r="E17" s="6">
        <v>14</v>
      </c>
      <c r="F17" s="6">
        <v>67</v>
      </c>
      <c r="G17" s="6">
        <v>82.4</v>
      </c>
      <c r="H17" s="3" t="s">
        <v>279</v>
      </c>
      <c r="I17" s="7" t="s">
        <v>672</v>
      </c>
      <c r="J17" s="3"/>
      <c r="K17" s="3"/>
      <c r="L17" s="3" t="s">
        <v>1</v>
      </c>
      <c r="M17" s="3"/>
      <c r="N17" s="3"/>
      <c r="O17" s="3"/>
      <c r="P17" s="3"/>
      <c r="Q17" s="6" t="s">
        <v>133</v>
      </c>
      <c r="R17" s="7"/>
      <c r="S17" s="7"/>
      <c r="T17" s="7"/>
      <c r="U17" s="6"/>
      <c r="V17" s="11"/>
      <c r="W17" s="6"/>
      <c r="X17" s="6"/>
      <c r="Y17" s="6"/>
      <c r="Z17" s="6"/>
      <c r="AA17" s="8"/>
      <c r="AB17" s="8"/>
      <c r="AC17" s="6" t="s">
        <v>344</v>
      </c>
      <c r="AD17" s="6"/>
      <c r="AE17" s="9"/>
    </row>
    <row r="18" spans="1:31" s="10" customFormat="1" ht="47.25" x14ac:dyDescent="0.25">
      <c r="A18" s="3">
        <v>16</v>
      </c>
      <c r="B18" s="3" t="s">
        <v>33</v>
      </c>
      <c r="C18" s="5" t="s">
        <v>483</v>
      </c>
      <c r="D18" s="4" t="s">
        <v>335</v>
      </c>
      <c r="E18" s="6">
        <v>21</v>
      </c>
      <c r="F18" s="6">
        <v>155</v>
      </c>
      <c r="G18" s="6">
        <v>1992.3</v>
      </c>
      <c r="H18" s="3" t="s">
        <v>75</v>
      </c>
      <c r="I18" s="7">
        <v>45679</v>
      </c>
      <c r="J18" s="3"/>
      <c r="K18" s="3" t="s">
        <v>62</v>
      </c>
      <c r="L18" s="3"/>
      <c r="M18" s="3"/>
      <c r="N18" s="3"/>
      <c r="O18" s="3"/>
      <c r="P18" s="3"/>
      <c r="Q18" s="6" t="s">
        <v>133</v>
      </c>
      <c r="R18" s="7">
        <v>45693</v>
      </c>
      <c r="S18" s="7">
        <v>45700</v>
      </c>
      <c r="T18" s="7">
        <v>45700</v>
      </c>
      <c r="U18" s="6">
        <v>730</v>
      </c>
      <c r="V18" s="11">
        <v>1713674</v>
      </c>
      <c r="W18" s="6"/>
      <c r="X18" s="6"/>
      <c r="Y18" s="6"/>
      <c r="Z18" s="6" t="s">
        <v>2167</v>
      </c>
      <c r="AA18" s="8" t="s">
        <v>1642</v>
      </c>
      <c r="AB18" s="8" t="s">
        <v>2168</v>
      </c>
      <c r="AC18" s="6" t="s">
        <v>1347</v>
      </c>
      <c r="AD18" s="6"/>
      <c r="AE18" s="9"/>
    </row>
    <row r="19" spans="1:31" ht="16.5" x14ac:dyDescent="0.25">
      <c r="A19" s="12"/>
      <c r="B19" s="73" t="s">
        <v>365</v>
      </c>
      <c r="C19" s="74"/>
      <c r="D19" s="74"/>
      <c r="E19" s="74"/>
      <c r="F19" s="74"/>
      <c r="G19" s="74"/>
      <c r="H19" s="75"/>
      <c r="I19" s="13"/>
      <c r="J19" s="14">
        <f>COUNTIF(J3:J18,"CQ")+COUNTIF(J3:J18,"CT")+COUNTIF(J3:J18,"TK")</f>
        <v>2</v>
      </c>
      <c r="K19" s="14">
        <f>COUNTIF(K3:K18,"CMĐ")</f>
        <v>4</v>
      </c>
      <c r="L19" s="14">
        <f>COUNTIF(L3:L18,"XMDT")+COUNTIF(L3:L18,"Mốc")</f>
        <v>6</v>
      </c>
      <c r="M19" s="14">
        <f>COUNTIF(M18,"THÁn")</f>
        <v>0</v>
      </c>
      <c r="N19" s="14">
        <f>COUNTIF(N18,"TÒA")</f>
        <v>0</v>
      </c>
      <c r="O19" s="14">
        <f>COUNTIF(O3:O18,"Cấp GCN")</f>
        <v>0</v>
      </c>
      <c r="P19" s="14">
        <f>COUNTIF(P3:P18,"SHN")</f>
        <v>4</v>
      </c>
      <c r="Q19" s="15"/>
      <c r="R19" s="13"/>
      <c r="S19" s="15"/>
      <c r="T19" s="15"/>
      <c r="U19" s="16"/>
      <c r="V19" s="11"/>
      <c r="W19" s="17"/>
      <c r="X19" s="2"/>
      <c r="AD19" s="14">
        <f>COUNTIF(AD18,"kt")</f>
        <v>0</v>
      </c>
    </row>
    <row r="20" spans="1:31" s="10" customFormat="1" ht="15.75" x14ac:dyDescent="0.25">
      <c r="A20" s="3">
        <v>17</v>
      </c>
      <c r="B20" s="3" t="s">
        <v>33</v>
      </c>
      <c r="C20" s="5" t="s">
        <v>385</v>
      </c>
      <c r="D20" s="4" t="s">
        <v>278</v>
      </c>
      <c r="E20" s="6">
        <v>20</v>
      </c>
      <c r="F20" s="6">
        <v>156</v>
      </c>
      <c r="G20" s="6">
        <v>695.3</v>
      </c>
      <c r="H20" s="3" t="s">
        <v>75</v>
      </c>
      <c r="I20" s="7">
        <v>45693</v>
      </c>
      <c r="J20" s="3"/>
      <c r="K20" s="3" t="s">
        <v>366</v>
      </c>
      <c r="L20" s="3" t="s">
        <v>98</v>
      </c>
      <c r="M20" s="3"/>
      <c r="N20" s="3"/>
      <c r="O20" s="3"/>
      <c r="P20" s="3"/>
      <c r="Q20" s="6" t="s">
        <v>133</v>
      </c>
      <c r="R20" s="7">
        <v>45707</v>
      </c>
      <c r="S20" s="7">
        <v>45708</v>
      </c>
      <c r="T20" s="7">
        <v>45708</v>
      </c>
      <c r="U20" s="6">
        <v>920</v>
      </c>
      <c r="V20" s="11">
        <v>2932904</v>
      </c>
      <c r="W20" s="6"/>
      <c r="X20" s="6"/>
      <c r="Y20" s="6"/>
      <c r="Z20" s="6"/>
      <c r="AA20" s="8"/>
      <c r="AB20" s="8"/>
      <c r="AC20" s="6"/>
      <c r="AD20" s="6"/>
      <c r="AE20" s="9"/>
    </row>
    <row r="21" spans="1:31" s="10" customFormat="1" ht="31.5" x14ac:dyDescent="0.25">
      <c r="A21" s="3">
        <v>18</v>
      </c>
      <c r="B21" s="3" t="s">
        <v>33</v>
      </c>
      <c r="C21" s="5" t="s">
        <v>400</v>
      </c>
      <c r="D21" s="4" t="s">
        <v>340</v>
      </c>
      <c r="E21" s="6">
        <v>30</v>
      </c>
      <c r="F21" s="6">
        <v>193</v>
      </c>
      <c r="G21" s="6">
        <v>750</v>
      </c>
      <c r="H21" s="3" t="s">
        <v>55</v>
      </c>
      <c r="I21" s="7">
        <v>45694</v>
      </c>
      <c r="J21" s="3"/>
      <c r="K21" s="3"/>
      <c r="L21" s="3"/>
      <c r="M21" s="3"/>
      <c r="N21" s="3"/>
      <c r="O21" s="3"/>
      <c r="P21" s="3" t="s">
        <v>52</v>
      </c>
      <c r="Q21" s="6" t="s">
        <v>133</v>
      </c>
      <c r="R21" s="7">
        <v>45748</v>
      </c>
      <c r="S21" s="7">
        <v>45748</v>
      </c>
      <c r="T21" s="7">
        <v>45748</v>
      </c>
      <c r="U21" s="6">
        <v>1913</v>
      </c>
      <c r="V21" s="11">
        <v>2184508</v>
      </c>
      <c r="W21" s="6"/>
      <c r="X21" s="6"/>
      <c r="Y21" s="6"/>
      <c r="Z21" s="6"/>
      <c r="AA21" s="8"/>
      <c r="AB21" s="6" t="s">
        <v>1384</v>
      </c>
      <c r="AC21" s="6" t="s">
        <v>947</v>
      </c>
      <c r="AD21" s="6"/>
      <c r="AE21" s="9"/>
    </row>
    <row r="22" spans="1:31" s="10" customFormat="1" ht="31.5" x14ac:dyDescent="0.25">
      <c r="A22" s="3">
        <v>19</v>
      </c>
      <c r="B22" s="3" t="s">
        <v>33</v>
      </c>
      <c r="C22" s="5" t="s">
        <v>407</v>
      </c>
      <c r="D22" s="4" t="s">
        <v>408</v>
      </c>
      <c r="E22" s="6">
        <v>5</v>
      </c>
      <c r="F22" s="6">
        <v>264</v>
      </c>
      <c r="G22" s="6">
        <v>55.6</v>
      </c>
      <c r="H22" s="3" t="s">
        <v>75</v>
      </c>
      <c r="I22" s="7">
        <v>45694</v>
      </c>
      <c r="J22" s="3"/>
      <c r="K22" s="3"/>
      <c r="L22" s="3" t="s">
        <v>1</v>
      </c>
      <c r="M22" s="3"/>
      <c r="N22" s="3"/>
      <c r="O22" s="3"/>
      <c r="P22" s="3"/>
      <c r="Q22" s="6" t="s">
        <v>133</v>
      </c>
      <c r="R22" s="7"/>
      <c r="S22" s="7"/>
      <c r="T22" s="7"/>
      <c r="U22" s="6"/>
      <c r="V22" s="11"/>
      <c r="W22" s="6"/>
      <c r="X22" s="6"/>
      <c r="Y22" s="6"/>
      <c r="Z22" s="6"/>
      <c r="AA22" s="8"/>
      <c r="AB22" s="8"/>
      <c r="AC22" s="6" t="s">
        <v>1090</v>
      </c>
      <c r="AD22" s="6"/>
      <c r="AE22" s="9" t="s">
        <v>409</v>
      </c>
    </row>
    <row r="23" spans="1:31" s="10" customFormat="1" ht="31.5" x14ac:dyDescent="0.25">
      <c r="A23" s="3">
        <v>20</v>
      </c>
      <c r="B23" s="3" t="s">
        <v>33</v>
      </c>
      <c r="C23" s="5" t="s">
        <v>245</v>
      </c>
      <c r="D23" s="4" t="s">
        <v>246</v>
      </c>
      <c r="E23" s="6">
        <v>9</v>
      </c>
      <c r="F23" s="6" t="s">
        <v>2115</v>
      </c>
      <c r="G23" s="6" t="s">
        <v>2116</v>
      </c>
      <c r="H23" s="6" t="s">
        <v>55</v>
      </c>
      <c r="I23" s="7" t="s">
        <v>2117</v>
      </c>
      <c r="J23" s="3"/>
      <c r="K23" s="3"/>
      <c r="L23" s="3" t="s">
        <v>1</v>
      </c>
      <c r="M23" s="3"/>
      <c r="N23" s="3"/>
      <c r="O23" s="3"/>
      <c r="P23" s="3"/>
      <c r="Q23" s="6" t="s">
        <v>133</v>
      </c>
      <c r="R23" s="7"/>
      <c r="S23" s="7"/>
      <c r="T23" s="7"/>
      <c r="U23" s="6"/>
      <c r="V23" s="11"/>
      <c r="W23" s="6"/>
      <c r="X23" s="6"/>
      <c r="Y23" s="6"/>
      <c r="Z23" s="6"/>
      <c r="AA23" s="8"/>
      <c r="AB23" s="8" t="s">
        <v>798</v>
      </c>
      <c r="AC23" s="6" t="s">
        <v>616</v>
      </c>
      <c r="AD23" s="6"/>
      <c r="AE23" s="9"/>
    </row>
    <row r="24" spans="1:31" s="10" customFormat="1" ht="15.75" x14ac:dyDescent="0.25">
      <c r="A24" s="3">
        <v>21</v>
      </c>
      <c r="B24" s="3" t="s">
        <v>33</v>
      </c>
      <c r="C24" s="5" t="s">
        <v>450</v>
      </c>
      <c r="D24" s="4" t="s">
        <v>451</v>
      </c>
      <c r="E24" s="6">
        <v>15</v>
      </c>
      <c r="F24" s="6">
        <v>88</v>
      </c>
      <c r="G24" s="6">
        <v>473.3</v>
      </c>
      <c r="H24" s="3" t="s">
        <v>75</v>
      </c>
      <c r="I24" s="7">
        <v>45698</v>
      </c>
      <c r="J24" s="3"/>
      <c r="K24" s="3" t="s">
        <v>62</v>
      </c>
      <c r="L24" s="3"/>
      <c r="M24" s="3"/>
      <c r="N24" s="3"/>
      <c r="O24" s="3"/>
      <c r="P24" s="3"/>
      <c r="Q24" s="6" t="s">
        <v>133</v>
      </c>
      <c r="R24" s="7">
        <v>45743</v>
      </c>
      <c r="S24" s="7">
        <v>45744</v>
      </c>
      <c r="T24" s="7">
        <v>45744</v>
      </c>
      <c r="U24" s="6">
        <v>1839</v>
      </c>
      <c r="V24" s="11">
        <v>809727</v>
      </c>
      <c r="W24" s="6"/>
      <c r="X24" s="6"/>
      <c r="Y24" s="6"/>
      <c r="Z24" s="6"/>
      <c r="AA24" s="8"/>
      <c r="AB24" s="8"/>
      <c r="AC24" s="6"/>
      <c r="AD24" s="6"/>
      <c r="AE24" s="9"/>
    </row>
    <row r="25" spans="1:31" s="10" customFormat="1" ht="47.25" x14ac:dyDescent="0.25">
      <c r="A25" s="3">
        <v>22</v>
      </c>
      <c r="B25" s="3" t="s">
        <v>33</v>
      </c>
      <c r="C25" s="5" t="s">
        <v>234</v>
      </c>
      <c r="D25" s="4" t="s">
        <v>235</v>
      </c>
      <c r="E25" s="6">
        <v>19</v>
      </c>
      <c r="F25" s="6">
        <v>161</v>
      </c>
      <c r="G25" s="6">
        <v>1019.3</v>
      </c>
      <c r="H25" s="3" t="s">
        <v>75</v>
      </c>
      <c r="I25" s="7">
        <v>45699</v>
      </c>
      <c r="J25" s="3"/>
      <c r="K25" s="3"/>
      <c r="L25" s="3" t="s">
        <v>1</v>
      </c>
      <c r="M25" s="3"/>
      <c r="N25" s="3"/>
      <c r="O25" s="3"/>
      <c r="P25" s="3"/>
      <c r="Q25" s="6" t="s">
        <v>133</v>
      </c>
      <c r="R25" s="7">
        <v>45708</v>
      </c>
      <c r="S25" s="7">
        <v>45709</v>
      </c>
      <c r="T25" s="7">
        <v>45709</v>
      </c>
      <c r="U25" s="6">
        <v>952</v>
      </c>
      <c r="V25" s="11">
        <v>1713674</v>
      </c>
      <c r="W25" s="6"/>
      <c r="X25" s="6"/>
      <c r="Y25" s="6"/>
      <c r="Z25" s="6"/>
      <c r="AA25" s="8"/>
      <c r="AB25" s="8" t="s">
        <v>977</v>
      </c>
      <c r="AC25" s="6" t="s">
        <v>727</v>
      </c>
      <c r="AD25" s="6"/>
      <c r="AE25" s="9"/>
    </row>
    <row r="26" spans="1:31" s="10" customFormat="1" ht="31.5" x14ac:dyDescent="0.25">
      <c r="A26" s="3">
        <v>23</v>
      </c>
      <c r="B26" s="3" t="s">
        <v>33</v>
      </c>
      <c r="C26" s="5" t="s">
        <v>154</v>
      </c>
      <c r="D26" s="4" t="s">
        <v>155</v>
      </c>
      <c r="E26" s="6">
        <v>29</v>
      </c>
      <c r="F26" s="6">
        <v>206</v>
      </c>
      <c r="G26" s="3">
        <v>1517.1</v>
      </c>
      <c r="H26" s="7" t="s">
        <v>75</v>
      </c>
      <c r="I26" s="7">
        <v>45700</v>
      </c>
      <c r="J26" s="3" t="s">
        <v>76</v>
      </c>
      <c r="K26" s="3"/>
      <c r="L26" s="3"/>
      <c r="M26" s="3"/>
      <c r="N26" s="3"/>
      <c r="O26" s="3"/>
      <c r="P26" s="3"/>
      <c r="Q26" s="6" t="s">
        <v>133</v>
      </c>
      <c r="R26" s="7">
        <v>45714</v>
      </c>
      <c r="S26" s="7">
        <v>45715</v>
      </c>
      <c r="T26" s="7">
        <v>45715</v>
      </c>
      <c r="U26" s="6">
        <v>1087</v>
      </c>
      <c r="V26" s="11">
        <v>1248329</v>
      </c>
      <c r="W26" s="6"/>
      <c r="X26" s="6"/>
      <c r="Y26" s="6"/>
      <c r="Z26" s="6" t="s">
        <v>753</v>
      </c>
      <c r="AA26" s="8" t="s">
        <v>755</v>
      </c>
      <c r="AB26" s="8"/>
      <c r="AC26" s="6"/>
      <c r="AD26" s="6"/>
      <c r="AE26" s="9"/>
    </row>
    <row r="27" spans="1:31" s="10" customFormat="1" ht="47.25" x14ac:dyDescent="0.25">
      <c r="A27" s="3">
        <v>24</v>
      </c>
      <c r="B27" s="3" t="s">
        <v>33</v>
      </c>
      <c r="C27" s="5" t="s">
        <v>518</v>
      </c>
      <c r="D27" s="4" t="s">
        <v>519</v>
      </c>
      <c r="E27" s="6">
        <v>28</v>
      </c>
      <c r="F27" s="6">
        <v>44</v>
      </c>
      <c r="G27" s="3">
        <v>1797.6</v>
      </c>
      <c r="H27" s="7" t="s">
        <v>51</v>
      </c>
      <c r="I27" s="7">
        <v>45701</v>
      </c>
      <c r="J27" s="3"/>
      <c r="K27" s="3" t="s">
        <v>62</v>
      </c>
      <c r="L27" s="3"/>
      <c r="M27" s="3"/>
      <c r="N27" s="3"/>
      <c r="O27" s="3"/>
      <c r="P27" s="3"/>
      <c r="Q27" s="6" t="s">
        <v>133</v>
      </c>
      <c r="R27" s="7">
        <v>45721</v>
      </c>
      <c r="S27" s="7">
        <v>45723</v>
      </c>
      <c r="T27" s="7">
        <v>45723</v>
      </c>
      <c r="U27" s="6">
        <v>1282</v>
      </c>
      <c r="V27" s="11">
        <v>961551</v>
      </c>
      <c r="W27" s="6"/>
      <c r="X27" s="6"/>
      <c r="Y27" s="6"/>
      <c r="Z27" s="6" t="s">
        <v>1523</v>
      </c>
      <c r="AA27" s="8" t="s">
        <v>1542</v>
      </c>
      <c r="AB27" s="8" t="s">
        <v>1528</v>
      </c>
      <c r="AC27" s="6"/>
      <c r="AD27" s="6"/>
      <c r="AE27" s="9"/>
    </row>
    <row r="28" spans="1:31" s="10" customFormat="1" ht="31.5" x14ac:dyDescent="0.25">
      <c r="A28" s="3">
        <v>25</v>
      </c>
      <c r="B28" s="3" t="s">
        <v>33</v>
      </c>
      <c r="C28" s="5" t="s">
        <v>157</v>
      </c>
      <c r="D28" s="4" t="s">
        <v>158</v>
      </c>
      <c r="E28" s="6">
        <v>23</v>
      </c>
      <c r="F28" s="6" t="s">
        <v>159</v>
      </c>
      <c r="G28" s="6" t="s">
        <v>160</v>
      </c>
      <c r="H28" s="3" t="s">
        <v>51</v>
      </c>
      <c r="I28" s="7">
        <v>45712</v>
      </c>
      <c r="J28" s="3"/>
      <c r="K28" s="3"/>
      <c r="L28" s="3" t="s">
        <v>1</v>
      </c>
      <c r="M28" s="3"/>
      <c r="N28" s="3"/>
      <c r="O28" s="3"/>
      <c r="P28" s="3"/>
      <c r="Q28" s="6" t="s">
        <v>133</v>
      </c>
      <c r="R28" s="6" t="s">
        <v>2721</v>
      </c>
      <c r="S28" s="6"/>
      <c r="T28" s="6"/>
      <c r="U28" s="6"/>
      <c r="V28" s="11"/>
      <c r="W28" s="6"/>
      <c r="X28" s="6"/>
      <c r="Y28" s="6"/>
      <c r="Z28" s="6"/>
      <c r="AA28" s="8"/>
      <c r="AB28" s="8"/>
      <c r="AC28" s="6"/>
      <c r="AD28" s="6"/>
      <c r="AE28" s="9"/>
    </row>
    <row r="29" spans="1:31" s="10" customFormat="1" ht="31.5" x14ac:dyDescent="0.25">
      <c r="A29" s="3">
        <v>26</v>
      </c>
      <c r="B29" s="3" t="s">
        <v>33</v>
      </c>
      <c r="C29" s="5" t="s">
        <v>685</v>
      </c>
      <c r="D29" s="4" t="s">
        <v>686</v>
      </c>
      <c r="E29" s="6">
        <v>20</v>
      </c>
      <c r="F29" s="6">
        <v>243</v>
      </c>
      <c r="G29" s="6">
        <v>751.4</v>
      </c>
      <c r="H29" s="6" t="s">
        <v>55</v>
      </c>
      <c r="I29" s="7">
        <v>45712</v>
      </c>
      <c r="J29" s="3" t="s">
        <v>687</v>
      </c>
      <c r="K29" s="3"/>
      <c r="L29" s="3"/>
      <c r="M29" s="3"/>
      <c r="N29" s="3"/>
      <c r="O29" s="3"/>
      <c r="P29" s="3"/>
      <c r="Q29" s="6" t="s">
        <v>133</v>
      </c>
      <c r="R29" s="7">
        <v>45748</v>
      </c>
      <c r="S29" s="7">
        <v>45750</v>
      </c>
      <c r="T29" s="7">
        <v>45750</v>
      </c>
      <c r="U29" s="6">
        <v>2003</v>
      </c>
      <c r="V29" s="11">
        <v>961551</v>
      </c>
      <c r="W29" s="6"/>
      <c r="X29" s="6"/>
      <c r="Y29" s="6"/>
      <c r="Z29" s="6" t="s">
        <v>1443</v>
      </c>
      <c r="AA29" s="8" t="s">
        <v>1444</v>
      </c>
      <c r="AB29" s="8"/>
      <c r="AC29" s="6"/>
      <c r="AD29" s="6"/>
      <c r="AE29" s="9" t="s">
        <v>514</v>
      </c>
    </row>
    <row r="30" spans="1:31" s="10" customFormat="1" ht="31.5" x14ac:dyDescent="0.25">
      <c r="A30" s="3">
        <v>27</v>
      </c>
      <c r="B30" s="3" t="s">
        <v>33</v>
      </c>
      <c r="C30" s="5" t="s">
        <v>693</v>
      </c>
      <c r="D30" s="4" t="s">
        <v>694</v>
      </c>
      <c r="E30" s="6">
        <v>34</v>
      </c>
      <c r="F30" s="6">
        <v>170</v>
      </c>
      <c r="G30" s="6">
        <v>184.9</v>
      </c>
      <c r="H30" s="6" t="s">
        <v>51</v>
      </c>
      <c r="I30" s="7">
        <v>45713</v>
      </c>
      <c r="J30" s="3"/>
      <c r="K30" s="3"/>
      <c r="L30" s="3"/>
      <c r="M30" s="3"/>
      <c r="N30" s="3"/>
      <c r="O30" s="3"/>
      <c r="P30" s="3" t="s">
        <v>52</v>
      </c>
      <c r="Q30" s="6" t="s">
        <v>133</v>
      </c>
      <c r="R30" s="7">
        <v>45758</v>
      </c>
      <c r="S30" s="7">
        <v>45761</v>
      </c>
      <c r="T30" s="7">
        <v>45761</v>
      </c>
      <c r="U30" s="6">
        <v>2228</v>
      </c>
      <c r="V30" s="11">
        <v>1416978</v>
      </c>
      <c r="W30" s="6"/>
      <c r="X30" s="6"/>
      <c r="Y30" s="6"/>
      <c r="Z30" s="6"/>
      <c r="AA30" s="8" t="s">
        <v>1562</v>
      </c>
      <c r="AB30" s="8" t="s">
        <v>958</v>
      </c>
      <c r="AC30" s="6" t="s">
        <v>945</v>
      </c>
      <c r="AD30" s="6"/>
      <c r="AE30" s="9"/>
    </row>
    <row r="31" spans="1:31" ht="16.5" x14ac:dyDescent="0.25">
      <c r="A31" s="12"/>
      <c r="B31" s="73" t="s">
        <v>706</v>
      </c>
      <c r="C31" s="74"/>
      <c r="D31" s="74"/>
      <c r="E31" s="74"/>
      <c r="F31" s="74"/>
      <c r="G31" s="74"/>
      <c r="H31" s="75"/>
      <c r="I31" s="13"/>
      <c r="J31" s="14">
        <f>COUNTIF(J20:J30,"CĐ")+COUNTIF(J20:J30,"CT")+COUNTIF(J20:J30,"TK")</f>
        <v>2</v>
      </c>
      <c r="K31" s="14">
        <f>COUNTIF(K20:K30,"CMĐ")</f>
        <v>2</v>
      </c>
      <c r="L31" s="14">
        <f>COUNTIF(L20:L30,"XMDT")+COUNTIF(L20:L30,"Mốc")</f>
        <v>5</v>
      </c>
      <c r="M31" s="14">
        <f>COUNTIF(M20:M30,"THÁn")</f>
        <v>0</v>
      </c>
      <c r="N31" s="14">
        <f>COUNTIF(N20:N30,"TÒA")</f>
        <v>0</v>
      </c>
      <c r="O31" s="14">
        <f>COUNTIF(O20:O30,"Cấp GCN")</f>
        <v>0</v>
      </c>
      <c r="P31" s="14">
        <f>COUNTIF(P20:P30,"SHN")</f>
        <v>2</v>
      </c>
      <c r="Q31" s="15"/>
      <c r="R31" s="13"/>
      <c r="S31" s="15"/>
      <c r="T31" s="15"/>
      <c r="U31" s="16"/>
      <c r="V31" s="11"/>
      <c r="W31" s="17"/>
      <c r="X31" s="2"/>
      <c r="AD31" s="14" t="e">
        <f>COUNTIF(#REF!,"kt")</f>
        <v>#REF!</v>
      </c>
    </row>
    <row r="32" spans="1:31" s="10" customFormat="1" ht="37.5" customHeight="1" x14ac:dyDescent="0.25">
      <c r="A32" s="3">
        <v>28</v>
      </c>
      <c r="B32" s="3" t="s">
        <v>33</v>
      </c>
      <c r="C32" s="5" t="s">
        <v>775</v>
      </c>
      <c r="D32" s="4" t="s">
        <v>194</v>
      </c>
      <c r="E32" s="6">
        <v>19</v>
      </c>
      <c r="F32" s="6">
        <v>86</v>
      </c>
      <c r="G32" s="6">
        <v>979</v>
      </c>
      <c r="H32" s="6" t="s">
        <v>75</v>
      </c>
      <c r="I32" s="7">
        <v>45716</v>
      </c>
      <c r="J32" s="3" t="s">
        <v>76</v>
      </c>
      <c r="K32" s="3"/>
      <c r="L32" s="3"/>
      <c r="M32" s="3"/>
      <c r="N32" s="3"/>
      <c r="O32" s="3"/>
      <c r="P32" s="3"/>
      <c r="Q32" s="6" t="s">
        <v>133</v>
      </c>
      <c r="R32" s="7">
        <v>45735</v>
      </c>
      <c r="S32" s="7">
        <v>45735</v>
      </c>
      <c r="T32" s="7">
        <v>45735</v>
      </c>
      <c r="U32" s="6">
        <v>1597</v>
      </c>
      <c r="V32" s="11">
        <v>961551</v>
      </c>
      <c r="W32" s="6"/>
      <c r="X32" s="6"/>
      <c r="Y32" s="6"/>
      <c r="Z32" s="6" t="s">
        <v>1218</v>
      </c>
      <c r="AA32" s="8" t="s">
        <v>1219</v>
      </c>
      <c r="AB32" s="8"/>
      <c r="AC32" s="6"/>
      <c r="AD32" s="6"/>
      <c r="AE32" s="9"/>
    </row>
    <row r="33" spans="1:31" s="10" customFormat="1" ht="31.5" x14ac:dyDescent="0.25">
      <c r="A33" s="3">
        <v>29</v>
      </c>
      <c r="B33" s="3" t="s">
        <v>33</v>
      </c>
      <c r="C33" s="5" t="s">
        <v>142</v>
      </c>
      <c r="D33" s="4" t="s">
        <v>143</v>
      </c>
      <c r="E33" s="6">
        <v>14</v>
      </c>
      <c r="F33" s="6">
        <v>367</v>
      </c>
      <c r="G33" s="6">
        <v>90</v>
      </c>
      <c r="H33" s="6" t="s">
        <v>55</v>
      </c>
      <c r="I33" s="7">
        <v>45721</v>
      </c>
      <c r="J33" s="3"/>
      <c r="K33" s="3"/>
      <c r="L33" s="3"/>
      <c r="M33" s="3"/>
      <c r="N33" s="3"/>
      <c r="O33" s="3"/>
      <c r="P33" s="3" t="s">
        <v>52</v>
      </c>
      <c r="Q33" s="6" t="s">
        <v>133</v>
      </c>
      <c r="R33" s="7">
        <v>45737</v>
      </c>
      <c r="S33" s="7">
        <v>45737</v>
      </c>
      <c r="T33" s="7">
        <v>45737</v>
      </c>
      <c r="U33" s="6">
        <v>1666</v>
      </c>
      <c r="V33" s="11">
        <v>2125468</v>
      </c>
      <c r="W33" s="6"/>
      <c r="X33" s="6"/>
      <c r="Y33" s="6"/>
      <c r="Z33" s="6"/>
      <c r="AA33" s="8"/>
      <c r="AB33" s="8"/>
      <c r="AC33" s="6" t="s">
        <v>1229</v>
      </c>
      <c r="AD33" s="6"/>
      <c r="AE33" s="9"/>
    </row>
    <row r="34" spans="1:31" s="10" customFormat="1" ht="31.5" x14ac:dyDescent="0.25">
      <c r="A34" s="3">
        <v>30</v>
      </c>
      <c r="B34" s="3" t="s">
        <v>33</v>
      </c>
      <c r="C34" s="5" t="s">
        <v>887</v>
      </c>
      <c r="D34" s="4" t="s">
        <v>888</v>
      </c>
      <c r="E34" s="6">
        <v>9</v>
      </c>
      <c r="F34" s="6">
        <v>304</v>
      </c>
      <c r="G34" s="6">
        <v>1806.1</v>
      </c>
      <c r="H34" s="6" t="s">
        <v>75</v>
      </c>
      <c r="I34" s="7"/>
      <c r="J34" s="3"/>
      <c r="K34" s="3"/>
      <c r="L34" s="3"/>
      <c r="M34" s="3"/>
      <c r="N34" s="3"/>
      <c r="O34" s="3"/>
      <c r="P34" s="3"/>
      <c r="Q34" s="6" t="s">
        <v>190</v>
      </c>
      <c r="R34" s="7">
        <v>45715</v>
      </c>
      <c r="S34" s="6"/>
      <c r="T34" s="6"/>
      <c r="U34" s="6"/>
      <c r="V34" s="11"/>
      <c r="W34" s="6"/>
      <c r="X34" s="6"/>
      <c r="Y34" s="6"/>
      <c r="Z34" s="6" t="s">
        <v>889</v>
      </c>
      <c r="AA34" s="8" t="s">
        <v>890</v>
      </c>
      <c r="AB34" s="8" t="s">
        <v>892</v>
      </c>
      <c r="AC34" s="6"/>
      <c r="AD34" s="6"/>
      <c r="AE34" s="9"/>
    </row>
    <row r="35" spans="1:31" s="10" customFormat="1" ht="31.5" x14ac:dyDescent="0.25">
      <c r="A35" s="3">
        <v>31</v>
      </c>
      <c r="B35" s="3" t="s">
        <v>33</v>
      </c>
      <c r="C35" s="5" t="s">
        <v>926</v>
      </c>
      <c r="D35" s="4"/>
      <c r="E35" s="6">
        <v>23</v>
      </c>
      <c r="F35" s="6">
        <v>30</v>
      </c>
      <c r="G35" s="6">
        <v>1393.1</v>
      </c>
      <c r="H35" s="6" t="s">
        <v>51</v>
      </c>
      <c r="I35" s="7"/>
      <c r="J35" s="3"/>
      <c r="K35" s="3"/>
      <c r="L35" s="3"/>
      <c r="M35" s="3"/>
      <c r="N35" s="3"/>
      <c r="O35" s="3"/>
      <c r="P35" s="3"/>
      <c r="Q35" s="6" t="s">
        <v>190</v>
      </c>
      <c r="R35" s="7">
        <v>45653</v>
      </c>
      <c r="S35" s="6"/>
      <c r="T35" s="6"/>
      <c r="U35" s="6"/>
      <c r="V35" s="11"/>
      <c r="W35" s="6"/>
      <c r="X35" s="6"/>
      <c r="Y35" s="6"/>
      <c r="Z35" s="6" t="s">
        <v>927</v>
      </c>
      <c r="AA35" s="8" t="s">
        <v>928</v>
      </c>
      <c r="AB35" s="8"/>
      <c r="AC35" s="6"/>
      <c r="AD35" s="6"/>
      <c r="AE35" s="9"/>
    </row>
    <row r="36" spans="1:31" s="10" customFormat="1" ht="31.5" x14ac:dyDescent="0.25">
      <c r="A36" s="3">
        <v>32</v>
      </c>
      <c r="B36" s="3" t="s">
        <v>33</v>
      </c>
      <c r="C36" s="5" t="s">
        <v>234</v>
      </c>
      <c r="D36" s="4" t="s">
        <v>235</v>
      </c>
      <c r="E36" s="6">
        <v>19</v>
      </c>
      <c r="F36" s="6">
        <v>161</v>
      </c>
      <c r="G36" s="6">
        <v>1013.8</v>
      </c>
      <c r="H36" s="6" t="s">
        <v>75</v>
      </c>
      <c r="I36" s="7">
        <v>45733</v>
      </c>
      <c r="J36" s="3" t="s">
        <v>76</v>
      </c>
      <c r="K36" s="3"/>
      <c r="L36" s="3"/>
      <c r="M36" s="3"/>
      <c r="N36" s="3"/>
      <c r="O36" s="3"/>
      <c r="P36" s="3"/>
      <c r="Q36" s="6" t="s">
        <v>133</v>
      </c>
      <c r="R36" s="7">
        <v>45740</v>
      </c>
      <c r="S36" s="7">
        <v>45741</v>
      </c>
      <c r="T36" s="7">
        <v>45741</v>
      </c>
      <c r="U36" s="6">
        <v>1716</v>
      </c>
      <c r="V36" s="11">
        <v>961551</v>
      </c>
      <c r="W36" s="6"/>
      <c r="X36" s="6"/>
      <c r="Y36" s="6"/>
      <c r="Z36" s="6" t="s">
        <v>1236</v>
      </c>
      <c r="AA36" s="8" t="s">
        <v>1231</v>
      </c>
      <c r="AB36" s="8"/>
      <c r="AC36" s="6"/>
      <c r="AD36" s="6"/>
      <c r="AE36" s="9"/>
    </row>
    <row r="37" spans="1:31" s="10" customFormat="1" ht="47.25" x14ac:dyDescent="0.25">
      <c r="A37" s="3">
        <v>33</v>
      </c>
      <c r="B37" s="3" t="s">
        <v>33</v>
      </c>
      <c r="C37" s="5" t="s">
        <v>1093</v>
      </c>
      <c r="D37" s="4" t="s">
        <v>1094</v>
      </c>
      <c r="E37" s="6">
        <v>14</v>
      </c>
      <c r="F37" s="6">
        <v>473</v>
      </c>
      <c r="G37" s="6">
        <v>82.8</v>
      </c>
      <c r="H37" s="6" t="s">
        <v>55</v>
      </c>
      <c r="I37" s="7">
        <v>45734</v>
      </c>
      <c r="J37" s="3"/>
      <c r="K37" s="3"/>
      <c r="L37" s="3" t="s">
        <v>98</v>
      </c>
      <c r="M37" s="3"/>
      <c r="N37" s="3"/>
      <c r="O37" s="3"/>
      <c r="P37" s="3"/>
      <c r="Q37" s="6" t="s">
        <v>133</v>
      </c>
      <c r="R37" s="7">
        <v>45735</v>
      </c>
      <c r="S37" s="7">
        <v>45742</v>
      </c>
      <c r="T37" s="7">
        <v>45742</v>
      </c>
      <c r="U37" s="6">
        <v>1749</v>
      </c>
      <c r="V37" s="11">
        <v>2583973</v>
      </c>
      <c r="W37" s="6"/>
      <c r="X37" s="6"/>
      <c r="Y37" s="6"/>
      <c r="Z37" s="6"/>
      <c r="AA37" s="8"/>
      <c r="AB37" s="8"/>
      <c r="AC37" s="6" t="s">
        <v>1095</v>
      </c>
      <c r="AD37" s="6"/>
      <c r="AE37" s="9"/>
    </row>
    <row r="38" spans="1:31" s="10" customFormat="1" ht="47.25" x14ac:dyDescent="0.25">
      <c r="A38" s="3">
        <v>34</v>
      </c>
      <c r="B38" s="3" t="s">
        <v>33</v>
      </c>
      <c r="C38" s="5" t="s">
        <v>1125</v>
      </c>
      <c r="D38" s="4" t="s">
        <v>942</v>
      </c>
      <c r="E38" s="6">
        <v>25</v>
      </c>
      <c r="F38" s="6">
        <v>142</v>
      </c>
      <c r="G38" s="6">
        <v>2059</v>
      </c>
      <c r="H38" s="6" t="s">
        <v>75</v>
      </c>
      <c r="I38" s="7"/>
      <c r="J38" s="3"/>
      <c r="K38" s="3"/>
      <c r="L38" s="3"/>
      <c r="M38" s="3"/>
      <c r="N38" s="3"/>
      <c r="O38" s="3"/>
      <c r="P38" s="3"/>
      <c r="Q38" s="6" t="s">
        <v>190</v>
      </c>
      <c r="R38" s="7">
        <v>45639</v>
      </c>
      <c r="S38" s="6"/>
      <c r="T38" s="6"/>
      <c r="U38" s="6"/>
      <c r="V38" s="11"/>
      <c r="W38" s="6"/>
      <c r="X38" s="6"/>
      <c r="Y38" s="6"/>
      <c r="Z38" s="6" t="s">
        <v>1126</v>
      </c>
      <c r="AA38" s="8" t="s">
        <v>1127</v>
      </c>
      <c r="AB38" s="8" t="s">
        <v>1246</v>
      </c>
      <c r="AC38" s="6"/>
      <c r="AD38" s="6"/>
      <c r="AE38" s="9"/>
    </row>
    <row r="39" spans="1:31" s="10" customFormat="1" ht="31.5" x14ac:dyDescent="0.25">
      <c r="A39" s="3">
        <v>35</v>
      </c>
      <c r="B39" s="3" t="s">
        <v>33</v>
      </c>
      <c r="C39" s="5" t="s">
        <v>1137</v>
      </c>
      <c r="D39" s="4" t="s">
        <v>1138</v>
      </c>
      <c r="E39" s="6">
        <v>20</v>
      </c>
      <c r="F39" s="6">
        <v>6</v>
      </c>
      <c r="G39" s="6">
        <v>267.5</v>
      </c>
      <c r="H39" s="6" t="s">
        <v>51</v>
      </c>
      <c r="I39" s="7">
        <v>45735</v>
      </c>
      <c r="J39" s="3"/>
      <c r="K39" s="3" t="s">
        <v>62</v>
      </c>
      <c r="L39" s="3"/>
      <c r="M39" s="3"/>
      <c r="N39" s="3"/>
      <c r="O39" s="3"/>
      <c r="P39" s="3"/>
      <c r="Q39" s="6" t="s">
        <v>133</v>
      </c>
      <c r="R39" s="6"/>
      <c r="S39" s="6"/>
      <c r="T39" s="6"/>
      <c r="U39" s="6"/>
      <c r="V39" s="11"/>
      <c r="W39" s="6"/>
      <c r="X39" s="6"/>
      <c r="Y39" s="6"/>
      <c r="Z39" s="6"/>
      <c r="AA39" s="8"/>
      <c r="AB39" s="8"/>
      <c r="AC39" s="6" t="s">
        <v>1613</v>
      </c>
      <c r="AD39" s="6"/>
      <c r="AE39" s="9"/>
    </row>
    <row r="40" spans="1:31" s="10" customFormat="1" ht="47.25" x14ac:dyDescent="0.25">
      <c r="A40" s="3">
        <v>36</v>
      </c>
      <c r="B40" s="3" t="s">
        <v>33</v>
      </c>
      <c r="C40" s="5" t="s">
        <v>1170</v>
      </c>
      <c r="D40" s="4" t="s">
        <v>1171</v>
      </c>
      <c r="E40" s="6" t="s">
        <v>1172</v>
      </c>
      <c r="F40" s="6" t="s">
        <v>1173</v>
      </c>
      <c r="G40" s="6">
        <v>481.5</v>
      </c>
      <c r="H40" s="6" t="s">
        <v>110</v>
      </c>
      <c r="I40" s="7">
        <v>45737</v>
      </c>
      <c r="J40" s="3"/>
      <c r="K40" s="3"/>
      <c r="L40" s="3"/>
      <c r="M40" s="3"/>
      <c r="N40" s="3"/>
      <c r="O40" s="3" t="s">
        <v>81</v>
      </c>
      <c r="P40" s="3"/>
      <c r="Q40" s="6" t="s">
        <v>133</v>
      </c>
      <c r="R40" s="6"/>
      <c r="S40" s="6"/>
      <c r="T40" s="6"/>
      <c r="U40" s="6"/>
      <c r="V40" s="11"/>
      <c r="W40" s="6"/>
      <c r="X40" s="6"/>
      <c r="Y40" s="6"/>
      <c r="Z40" s="6"/>
      <c r="AA40" s="8"/>
      <c r="AB40" s="8"/>
      <c r="AC40" s="6" t="s">
        <v>1453</v>
      </c>
      <c r="AD40" s="6"/>
      <c r="AE40" s="9"/>
    </row>
    <row r="41" spans="1:31" s="10" customFormat="1" ht="47.25" x14ac:dyDescent="0.25">
      <c r="A41" s="3">
        <v>37</v>
      </c>
      <c r="B41" s="3" t="s">
        <v>33</v>
      </c>
      <c r="C41" s="5" t="s">
        <v>1239</v>
      </c>
      <c r="D41" s="4" t="s">
        <v>1240</v>
      </c>
      <c r="E41" s="6">
        <v>14</v>
      </c>
      <c r="F41" s="6">
        <v>444</v>
      </c>
      <c r="G41" s="6">
        <v>82.8</v>
      </c>
      <c r="H41" s="6" t="s">
        <v>55</v>
      </c>
      <c r="I41" s="7">
        <v>45742</v>
      </c>
      <c r="J41" s="3"/>
      <c r="K41" s="3"/>
      <c r="L41" s="3"/>
      <c r="M41" s="3"/>
      <c r="N41" s="3"/>
      <c r="O41" s="3"/>
      <c r="P41" s="3" t="s">
        <v>52</v>
      </c>
      <c r="Q41" s="6" t="s">
        <v>133</v>
      </c>
      <c r="R41" s="6"/>
      <c r="S41" s="6"/>
      <c r="T41" s="6"/>
      <c r="U41" s="6"/>
      <c r="V41" s="11"/>
      <c r="W41" s="6"/>
      <c r="X41" s="6"/>
      <c r="Y41" s="6"/>
      <c r="Z41" s="6"/>
      <c r="AA41" s="8"/>
      <c r="AB41" s="8"/>
      <c r="AC41" s="6" t="s">
        <v>1250</v>
      </c>
      <c r="AD41" s="6"/>
      <c r="AE41" s="9"/>
    </row>
    <row r="42" spans="1:31" s="10" customFormat="1" ht="47.25" x14ac:dyDescent="0.25">
      <c r="A42" s="3">
        <v>38</v>
      </c>
      <c r="B42" s="3" t="s">
        <v>33</v>
      </c>
      <c r="C42" s="5" t="s">
        <v>1271</v>
      </c>
      <c r="D42" s="4" t="s">
        <v>124</v>
      </c>
      <c r="E42" s="6">
        <v>21</v>
      </c>
      <c r="F42" s="6">
        <v>348</v>
      </c>
      <c r="G42" s="6">
        <v>580.79999999999995</v>
      </c>
      <c r="H42" s="6" t="s">
        <v>75</v>
      </c>
      <c r="I42" s="7">
        <v>45744</v>
      </c>
      <c r="J42" s="3"/>
      <c r="K42" s="3" t="s">
        <v>62</v>
      </c>
      <c r="L42" s="3"/>
      <c r="M42" s="3"/>
      <c r="N42" s="3"/>
      <c r="O42" s="3"/>
      <c r="P42" s="3"/>
      <c r="Q42" s="6" t="s">
        <v>133</v>
      </c>
      <c r="R42" s="6"/>
      <c r="S42" s="6"/>
      <c r="T42" s="6"/>
      <c r="U42" s="6"/>
      <c r="V42" s="11"/>
      <c r="W42" s="6"/>
      <c r="X42" s="6"/>
      <c r="Y42" s="6"/>
      <c r="Z42" s="6"/>
      <c r="AA42" s="8"/>
      <c r="AB42" s="8"/>
      <c r="AC42" s="6" t="s">
        <v>1516</v>
      </c>
      <c r="AD42" s="6"/>
      <c r="AE42" s="9" t="s">
        <v>1280</v>
      </c>
    </row>
    <row r="43" spans="1:31" ht="16.5" x14ac:dyDescent="0.25">
      <c r="A43" s="12"/>
      <c r="B43" s="73" t="s">
        <v>1258</v>
      </c>
      <c r="C43" s="74"/>
      <c r="D43" s="74"/>
      <c r="E43" s="74"/>
      <c r="F43" s="74"/>
      <c r="G43" s="74"/>
      <c r="H43" s="75"/>
      <c r="I43" s="13"/>
      <c r="J43" s="14">
        <f>COUNTIF(J32:J42,"CĐ")+COUNTIF(J32:J42,"CT")+COUNTIF(J32:J42,"TK")</f>
        <v>2</v>
      </c>
      <c r="K43" s="14">
        <f>COUNTIF(K32:K42,"CMĐ")</f>
        <v>2</v>
      </c>
      <c r="L43" s="14">
        <f>COUNTIF(L32:L42,"XMDT")+COUNTIF(L32:L42,"Mốc")</f>
        <v>1</v>
      </c>
      <c r="M43" s="14">
        <f>COUNTIF(M32:M42,"THÁn")</f>
        <v>0</v>
      </c>
      <c r="N43" s="14">
        <f>COUNTIF(N32:N42,"TÒA")</f>
        <v>0</v>
      </c>
      <c r="O43" s="14">
        <f>COUNTIF(O32:O42,"Cấp GCN")</f>
        <v>1</v>
      </c>
      <c r="P43" s="14">
        <f>COUNTIF(P32:P42,"SHN")</f>
        <v>2</v>
      </c>
      <c r="Q43" s="15"/>
      <c r="R43" s="13"/>
      <c r="S43" s="15"/>
      <c r="T43" s="15"/>
      <c r="U43" s="16"/>
      <c r="V43" s="11"/>
      <c r="W43" s="17"/>
      <c r="X43" s="2"/>
      <c r="AD43" s="14" t="e">
        <f>COUNTIF(#REF!,"kt")</f>
        <v>#REF!</v>
      </c>
    </row>
    <row r="44" spans="1:31" s="10" customFormat="1" ht="31.5" x14ac:dyDescent="0.25">
      <c r="A44" s="3">
        <v>39</v>
      </c>
      <c r="B44" s="3" t="s">
        <v>33</v>
      </c>
      <c r="C44" s="5" t="s">
        <v>1325</v>
      </c>
      <c r="D44" s="4" t="s">
        <v>1326</v>
      </c>
      <c r="E44" s="6">
        <v>32</v>
      </c>
      <c r="F44" s="6">
        <v>244</v>
      </c>
      <c r="G44" s="6">
        <v>1402.1</v>
      </c>
      <c r="H44" s="6" t="s">
        <v>75</v>
      </c>
      <c r="I44" s="7">
        <v>45747</v>
      </c>
      <c r="J44" s="3" t="s">
        <v>76</v>
      </c>
      <c r="K44" s="3"/>
      <c r="L44" s="3"/>
      <c r="M44" s="3"/>
      <c r="N44" s="3"/>
      <c r="O44" s="3"/>
      <c r="P44" s="3"/>
      <c r="Q44" s="6" t="s">
        <v>133</v>
      </c>
      <c r="R44" s="7">
        <v>45800</v>
      </c>
      <c r="S44" s="7">
        <v>45800</v>
      </c>
      <c r="T44" s="7">
        <v>45800</v>
      </c>
      <c r="U44" s="20">
        <v>895</v>
      </c>
      <c r="V44" s="11">
        <v>961551</v>
      </c>
      <c r="W44" s="6"/>
      <c r="X44" s="6"/>
      <c r="Y44" s="6"/>
      <c r="Z44" s="6" t="s">
        <v>2224</v>
      </c>
      <c r="AA44" s="8" t="s">
        <v>2225</v>
      </c>
      <c r="AB44" s="8"/>
      <c r="AC44" s="6"/>
      <c r="AD44" s="6"/>
      <c r="AE44" s="9"/>
    </row>
    <row r="45" spans="1:31" s="10" customFormat="1" ht="47.25" x14ac:dyDescent="0.25">
      <c r="A45" s="3">
        <v>40</v>
      </c>
      <c r="B45" s="3" t="s">
        <v>33</v>
      </c>
      <c r="C45" s="5" t="s">
        <v>228</v>
      </c>
      <c r="D45" s="4" t="s">
        <v>229</v>
      </c>
      <c r="E45" s="6">
        <v>9</v>
      </c>
      <c r="F45" s="6">
        <v>367</v>
      </c>
      <c r="G45" s="6">
        <v>18.7</v>
      </c>
      <c r="H45" s="6" t="s">
        <v>75</v>
      </c>
      <c r="I45" s="7">
        <v>45747</v>
      </c>
      <c r="J45" s="3"/>
      <c r="K45" s="3"/>
      <c r="L45" s="3" t="s">
        <v>1</v>
      </c>
      <c r="M45" s="3"/>
      <c r="N45" s="3"/>
      <c r="O45" s="3"/>
      <c r="P45" s="3"/>
      <c r="Q45" s="6" t="s">
        <v>133</v>
      </c>
      <c r="R45" s="6"/>
      <c r="S45" s="6"/>
      <c r="T45" s="6"/>
      <c r="U45" s="6"/>
      <c r="V45" s="11"/>
      <c r="W45" s="6"/>
      <c r="X45" s="6"/>
      <c r="Y45" s="6"/>
      <c r="Z45" s="6"/>
      <c r="AA45" s="8"/>
      <c r="AB45" s="8"/>
      <c r="AC45" s="6" t="s">
        <v>1612</v>
      </c>
      <c r="AD45" s="6"/>
      <c r="AE45" s="9"/>
    </row>
    <row r="46" spans="1:31" s="10" customFormat="1" ht="15.75" x14ac:dyDescent="0.25">
      <c r="A46" s="3">
        <v>41</v>
      </c>
      <c r="B46" s="3" t="s">
        <v>33</v>
      </c>
      <c r="C46" s="5" t="s">
        <v>926</v>
      </c>
      <c r="D46" s="4" t="s">
        <v>1369</v>
      </c>
      <c r="E46" s="6">
        <v>23</v>
      </c>
      <c r="F46" s="6">
        <v>166</v>
      </c>
      <c r="G46" s="6">
        <v>724.6</v>
      </c>
      <c r="H46" s="6" t="s">
        <v>51</v>
      </c>
      <c r="I46" s="7">
        <v>45748</v>
      </c>
      <c r="J46" s="3"/>
      <c r="K46" s="3" t="s">
        <v>62</v>
      </c>
      <c r="L46" s="3"/>
      <c r="M46" s="3"/>
      <c r="N46" s="3"/>
      <c r="O46" s="3"/>
      <c r="P46" s="3"/>
      <c r="Q46" s="6" t="s">
        <v>133</v>
      </c>
      <c r="R46" s="6"/>
      <c r="S46" s="6"/>
      <c r="T46" s="6"/>
      <c r="U46" s="6"/>
      <c r="V46" s="11"/>
      <c r="W46" s="6"/>
      <c r="X46" s="6"/>
      <c r="Y46" s="6"/>
      <c r="Z46" s="6"/>
      <c r="AA46" s="8"/>
      <c r="AB46" s="8"/>
      <c r="AC46" s="6"/>
      <c r="AD46" s="6"/>
      <c r="AE46" s="9" t="s">
        <v>1087</v>
      </c>
    </row>
    <row r="47" spans="1:31" s="10" customFormat="1" ht="31.5" x14ac:dyDescent="0.25">
      <c r="A47" s="3">
        <v>42</v>
      </c>
      <c r="B47" s="3" t="s">
        <v>33</v>
      </c>
      <c r="C47" s="5" t="s">
        <v>926</v>
      </c>
      <c r="D47" s="4" t="s">
        <v>1369</v>
      </c>
      <c r="E47" s="6">
        <v>23</v>
      </c>
      <c r="F47" s="6">
        <v>165</v>
      </c>
      <c r="G47" s="6">
        <v>668.5</v>
      </c>
      <c r="H47" s="6" t="s">
        <v>55</v>
      </c>
      <c r="I47" s="7">
        <v>45748</v>
      </c>
      <c r="J47" s="3" t="s">
        <v>153</v>
      </c>
      <c r="K47" s="3"/>
      <c r="L47" s="3"/>
      <c r="M47" s="3"/>
      <c r="N47" s="3"/>
      <c r="O47" s="3"/>
      <c r="P47" s="3"/>
      <c r="Q47" s="6" t="s">
        <v>133</v>
      </c>
      <c r="R47" s="7">
        <v>45776</v>
      </c>
      <c r="S47" s="7">
        <v>45776</v>
      </c>
      <c r="T47" s="7">
        <v>45776</v>
      </c>
      <c r="U47" s="6">
        <v>321</v>
      </c>
      <c r="V47" s="11">
        <v>3390731</v>
      </c>
      <c r="W47" s="6"/>
      <c r="X47" s="6"/>
      <c r="Y47" s="6"/>
      <c r="Z47" s="6" t="s">
        <v>1843</v>
      </c>
      <c r="AA47" s="8" t="s">
        <v>1844</v>
      </c>
      <c r="AB47" s="8"/>
      <c r="AC47" s="6"/>
      <c r="AD47" s="6"/>
      <c r="AE47" s="9" t="s">
        <v>1087</v>
      </c>
    </row>
    <row r="48" spans="1:31" s="10" customFormat="1" ht="31.5" x14ac:dyDescent="0.25">
      <c r="A48" s="3">
        <v>43</v>
      </c>
      <c r="B48" s="3" t="s">
        <v>33</v>
      </c>
      <c r="C48" s="5" t="s">
        <v>1407</v>
      </c>
      <c r="D48" s="4"/>
      <c r="E48" s="6">
        <v>21</v>
      </c>
      <c r="F48" s="6">
        <v>359</v>
      </c>
      <c r="G48" s="6">
        <v>1348</v>
      </c>
      <c r="H48" s="6" t="s">
        <v>51</v>
      </c>
      <c r="I48" s="7">
        <v>45750</v>
      </c>
      <c r="J48" s="3" t="s">
        <v>76</v>
      </c>
      <c r="K48" s="3"/>
      <c r="L48" s="3"/>
      <c r="M48" s="3"/>
      <c r="N48" s="3"/>
      <c r="O48" s="3"/>
      <c r="P48" s="3"/>
      <c r="Q48" s="6" t="s">
        <v>133</v>
      </c>
      <c r="R48" s="7">
        <v>45820</v>
      </c>
      <c r="S48" s="7">
        <v>45821</v>
      </c>
      <c r="T48" s="7">
        <v>45821</v>
      </c>
      <c r="U48" s="6">
        <v>1530</v>
      </c>
      <c r="V48" s="11">
        <v>1019155</v>
      </c>
      <c r="W48" s="6"/>
      <c r="X48" s="6"/>
      <c r="Y48" s="6"/>
      <c r="Z48" s="6" t="s">
        <v>2527</v>
      </c>
      <c r="AA48" s="8" t="s">
        <v>2528</v>
      </c>
      <c r="AB48" s="8"/>
      <c r="AC48" s="6"/>
      <c r="AD48" s="6"/>
      <c r="AE48" s="9" t="s">
        <v>1408</v>
      </c>
    </row>
    <row r="49" spans="1:31" s="10" customFormat="1" ht="31.5" x14ac:dyDescent="0.25">
      <c r="A49" s="3">
        <v>44</v>
      </c>
      <c r="B49" s="3" t="s">
        <v>33</v>
      </c>
      <c r="C49" s="5" t="s">
        <v>1416</v>
      </c>
      <c r="D49" s="4" t="s">
        <v>158</v>
      </c>
      <c r="E49" s="6">
        <v>26</v>
      </c>
      <c r="F49" s="6">
        <v>203</v>
      </c>
      <c r="G49" s="6">
        <v>776.6</v>
      </c>
      <c r="H49" s="6" t="s">
        <v>75</v>
      </c>
      <c r="I49" s="7">
        <v>45749</v>
      </c>
      <c r="J49" s="3" t="s">
        <v>76</v>
      </c>
      <c r="K49" s="3"/>
      <c r="L49" s="3"/>
      <c r="M49" s="3"/>
      <c r="N49" s="3"/>
      <c r="O49" s="3"/>
      <c r="P49" s="3"/>
      <c r="Q49" s="6" t="s">
        <v>133</v>
      </c>
      <c r="R49" s="7">
        <v>45790</v>
      </c>
      <c r="S49" s="7">
        <v>45791</v>
      </c>
      <c r="T49" s="7">
        <v>45791</v>
      </c>
      <c r="U49" s="6">
        <v>594</v>
      </c>
      <c r="V49" s="11">
        <v>809727</v>
      </c>
      <c r="W49" s="6"/>
      <c r="X49" s="6"/>
      <c r="Y49" s="6"/>
      <c r="Z49" s="6" t="s">
        <v>2124</v>
      </c>
      <c r="AA49" s="8" t="s">
        <v>2125</v>
      </c>
      <c r="AB49" s="8"/>
      <c r="AC49" s="6"/>
      <c r="AD49" s="6"/>
      <c r="AE49" s="9"/>
    </row>
    <row r="50" spans="1:31" s="10" customFormat="1" ht="31.5" x14ac:dyDescent="0.25">
      <c r="A50" s="3">
        <v>45</v>
      </c>
      <c r="B50" s="3" t="s">
        <v>33</v>
      </c>
      <c r="C50" s="5" t="s">
        <v>1418</v>
      </c>
      <c r="D50" s="4" t="s">
        <v>1419</v>
      </c>
      <c r="E50" s="6">
        <v>14</v>
      </c>
      <c r="F50" s="6">
        <v>163</v>
      </c>
      <c r="G50" s="6">
        <v>303.10000000000002</v>
      </c>
      <c r="H50" s="6" t="s">
        <v>75</v>
      </c>
      <c r="I50" s="7">
        <v>45749</v>
      </c>
      <c r="J50" s="3" t="s">
        <v>76</v>
      </c>
      <c r="K50" s="3"/>
      <c r="L50" s="3"/>
      <c r="M50" s="3"/>
      <c r="N50" s="3"/>
      <c r="O50" s="3"/>
      <c r="P50" s="3"/>
      <c r="Q50" s="6" t="s">
        <v>133</v>
      </c>
      <c r="R50" s="7">
        <v>45832</v>
      </c>
      <c r="S50" s="7">
        <v>45833</v>
      </c>
      <c r="T50" s="7">
        <v>45833</v>
      </c>
      <c r="U50" s="20">
        <v>1886</v>
      </c>
      <c r="V50" s="11">
        <v>809727</v>
      </c>
      <c r="W50" s="6"/>
      <c r="X50" s="6"/>
      <c r="Y50" s="6"/>
      <c r="Z50" s="6"/>
      <c r="AA50" s="8"/>
      <c r="AB50" s="8"/>
      <c r="AC50" s="6"/>
      <c r="AD50" s="6"/>
      <c r="AE50" s="9"/>
    </row>
    <row r="51" spans="1:31" s="10" customFormat="1" ht="47.25" x14ac:dyDescent="0.25">
      <c r="A51" s="3">
        <v>46</v>
      </c>
      <c r="B51" s="3" t="s">
        <v>33</v>
      </c>
      <c r="C51" s="5" t="s">
        <v>1434</v>
      </c>
      <c r="D51" s="4" t="s">
        <v>1435</v>
      </c>
      <c r="E51" s="6">
        <v>21</v>
      </c>
      <c r="F51" s="6">
        <v>76</v>
      </c>
      <c r="G51" s="6">
        <v>2444.9</v>
      </c>
      <c r="H51" s="6" t="s">
        <v>199</v>
      </c>
      <c r="I51" s="7">
        <v>45751</v>
      </c>
      <c r="J51" s="3"/>
      <c r="K51" s="3"/>
      <c r="L51" s="3" t="s">
        <v>1</v>
      </c>
      <c r="M51" s="3"/>
      <c r="N51" s="3"/>
      <c r="O51" s="3"/>
      <c r="P51" s="3"/>
      <c r="Q51" s="6" t="s">
        <v>133</v>
      </c>
      <c r="R51" s="6"/>
      <c r="S51" s="6"/>
      <c r="T51" s="6"/>
      <c r="U51" s="6"/>
      <c r="V51" s="11"/>
      <c r="W51" s="6"/>
      <c r="X51" s="6"/>
      <c r="Y51" s="6"/>
      <c r="Z51" s="6"/>
      <c r="AA51" s="8"/>
      <c r="AB51" s="8"/>
      <c r="AC51" s="6"/>
      <c r="AD51" s="6"/>
      <c r="AE51" s="9"/>
    </row>
    <row r="52" spans="1:31" s="10" customFormat="1" ht="31.5" x14ac:dyDescent="0.25">
      <c r="A52" s="3">
        <v>47</v>
      </c>
      <c r="B52" s="3" t="s">
        <v>33</v>
      </c>
      <c r="C52" s="5" t="s">
        <v>1457</v>
      </c>
      <c r="D52" s="4" t="s">
        <v>1458</v>
      </c>
      <c r="E52" s="6">
        <v>36</v>
      </c>
      <c r="F52" s="6">
        <v>45</v>
      </c>
      <c r="G52" s="6">
        <v>459</v>
      </c>
      <c r="H52" s="6" t="s">
        <v>75</v>
      </c>
      <c r="I52" s="7">
        <v>45755</v>
      </c>
      <c r="J52" s="3"/>
      <c r="K52" s="3" t="s">
        <v>62</v>
      </c>
      <c r="L52" s="3"/>
      <c r="M52" s="3"/>
      <c r="N52" s="3"/>
      <c r="O52" s="3"/>
      <c r="P52" s="3"/>
      <c r="Q52" s="6" t="s">
        <v>133</v>
      </c>
      <c r="R52" s="7">
        <v>45776</v>
      </c>
      <c r="S52" s="7">
        <v>45784</v>
      </c>
      <c r="T52" s="7">
        <v>45784</v>
      </c>
      <c r="U52" s="6">
        <v>409</v>
      </c>
      <c r="V52" s="11">
        <v>961551</v>
      </c>
      <c r="W52" s="6"/>
      <c r="X52" s="6"/>
      <c r="Y52" s="6"/>
      <c r="Z52" s="6"/>
      <c r="AA52" s="8"/>
      <c r="AB52" s="8"/>
      <c r="AC52" s="6" t="s">
        <v>1459</v>
      </c>
      <c r="AD52" s="6"/>
      <c r="AE52" s="9"/>
    </row>
    <row r="53" spans="1:31" ht="16.5" x14ac:dyDescent="0.25">
      <c r="A53" s="12"/>
      <c r="B53" s="73" t="s">
        <v>1478</v>
      </c>
      <c r="C53" s="74"/>
      <c r="D53" s="74"/>
      <c r="E53" s="74"/>
      <c r="F53" s="74"/>
      <c r="G53" s="74"/>
      <c r="H53" s="75"/>
      <c r="I53" s="13"/>
      <c r="J53" s="14">
        <f>COUNTIF(J44:J52,"CT")+COUNTIF(J44:J52,"CQ")</f>
        <v>5</v>
      </c>
      <c r="K53" s="14">
        <f>COUNTIF(K42:K52,"CMĐ")</f>
        <v>3</v>
      </c>
      <c r="L53" s="14">
        <f>COUNTIF(L42:L52,"XMDT")+COUNTIF(L42:L52,"Mốc")</f>
        <v>2</v>
      </c>
      <c r="M53" s="14">
        <f>COUNTIF(M42:M52,"THÁn")</f>
        <v>0</v>
      </c>
      <c r="N53" s="14">
        <f>COUNTIF(N42:N52,"TÒA")</f>
        <v>0</v>
      </c>
      <c r="O53" s="14">
        <f>COUNTIF(O42:O52,"Cấp GCN")</f>
        <v>0</v>
      </c>
      <c r="P53" s="14">
        <f>COUNTIF(P42:P52,"SHN")</f>
        <v>0</v>
      </c>
      <c r="Q53" s="15"/>
      <c r="R53" s="13"/>
      <c r="S53" s="15"/>
      <c r="T53" s="15"/>
      <c r="U53" s="16"/>
      <c r="V53" s="11"/>
      <c r="W53" s="17"/>
      <c r="X53" s="2"/>
      <c r="AD53" s="14" t="e">
        <f>COUNTIF(#REF!,"kt")</f>
        <v>#REF!</v>
      </c>
    </row>
    <row r="54" spans="1:31" s="10" customFormat="1" ht="31.5" x14ac:dyDescent="0.25">
      <c r="A54" s="3">
        <v>48</v>
      </c>
      <c r="B54" s="3" t="s">
        <v>33</v>
      </c>
      <c r="C54" s="5" t="s">
        <v>1485</v>
      </c>
      <c r="D54" s="4"/>
      <c r="E54" s="6">
        <v>24</v>
      </c>
      <c r="F54" s="6">
        <v>226</v>
      </c>
      <c r="G54" s="6">
        <v>516.9</v>
      </c>
      <c r="H54" s="6" t="s">
        <v>55</v>
      </c>
      <c r="I54" s="7">
        <v>45756</v>
      </c>
      <c r="J54" s="3"/>
      <c r="K54" s="3"/>
      <c r="L54" s="3"/>
      <c r="M54" s="3"/>
      <c r="N54" s="3"/>
      <c r="O54" s="3"/>
      <c r="P54" s="3" t="s">
        <v>52</v>
      </c>
      <c r="Q54" s="6" t="s">
        <v>133</v>
      </c>
      <c r="R54" s="7">
        <v>45786</v>
      </c>
      <c r="S54" s="7">
        <v>45790</v>
      </c>
      <c r="T54" s="7">
        <v>45790</v>
      </c>
      <c r="U54" s="6">
        <v>572</v>
      </c>
      <c r="V54" s="11">
        <v>1416978</v>
      </c>
      <c r="W54" s="6"/>
      <c r="X54" s="6"/>
      <c r="Y54" s="6"/>
      <c r="Z54" s="6"/>
      <c r="AA54" s="8"/>
      <c r="AB54" s="8"/>
      <c r="AC54" s="6" t="s">
        <v>2178</v>
      </c>
      <c r="AD54" s="6"/>
      <c r="AE54" s="9"/>
    </row>
    <row r="55" spans="1:31" s="10" customFormat="1" ht="31.5" x14ac:dyDescent="0.25">
      <c r="A55" s="3">
        <v>49</v>
      </c>
      <c r="B55" s="3" t="s">
        <v>33</v>
      </c>
      <c r="C55" s="5" t="s">
        <v>1486</v>
      </c>
      <c r="D55" s="4"/>
      <c r="E55" s="6">
        <v>24</v>
      </c>
      <c r="F55" s="6">
        <v>223</v>
      </c>
      <c r="G55" s="6">
        <v>696.3</v>
      </c>
      <c r="H55" s="6" t="s">
        <v>55</v>
      </c>
      <c r="I55" s="7" t="s">
        <v>2485</v>
      </c>
      <c r="J55" s="3"/>
      <c r="K55" s="3"/>
      <c r="L55" s="3"/>
      <c r="M55" s="3"/>
      <c r="N55" s="3"/>
      <c r="O55" s="3"/>
      <c r="P55" s="3" t="s">
        <v>52</v>
      </c>
      <c r="Q55" s="6" t="s">
        <v>133</v>
      </c>
      <c r="R55" s="7">
        <v>45832</v>
      </c>
      <c r="S55" s="7">
        <v>45833</v>
      </c>
      <c r="T55" s="7">
        <v>45833</v>
      </c>
      <c r="U55" s="20">
        <v>1879</v>
      </c>
      <c r="V55" s="11">
        <v>1416978</v>
      </c>
      <c r="W55" s="6"/>
      <c r="X55" s="6"/>
      <c r="Y55" s="6"/>
      <c r="Z55" s="6"/>
      <c r="AA55" s="8"/>
      <c r="AB55" s="8"/>
      <c r="AC55" s="6" t="s">
        <v>2724</v>
      </c>
      <c r="AD55" s="6"/>
      <c r="AE55" s="9"/>
    </row>
    <row r="56" spans="1:31" s="10" customFormat="1" ht="31.5" x14ac:dyDescent="0.25">
      <c r="A56" s="3">
        <v>50</v>
      </c>
      <c r="B56" s="3" t="s">
        <v>33</v>
      </c>
      <c r="C56" s="5" t="s">
        <v>1486</v>
      </c>
      <c r="D56" s="4"/>
      <c r="E56" s="6">
        <v>24</v>
      </c>
      <c r="F56" s="6">
        <v>219</v>
      </c>
      <c r="G56" s="6">
        <v>1102.3</v>
      </c>
      <c r="H56" s="6" t="s">
        <v>55</v>
      </c>
      <c r="I56" s="7">
        <v>45756</v>
      </c>
      <c r="J56" s="3"/>
      <c r="K56" s="3"/>
      <c r="L56" s="3"/>
      <c r="M56" s="3"/>
      <c r="N56" s="3"/>
      <c r="O56" s="3"/>
      <c r="P56" s="3" t="s">
        <v>52</v>
      </c>
      <c r="Q56" s="6" t="s">
        <v>133</v>
      </c>
      <c r="R56" s="7">
        <v>45786</v>
      </c>
      <c r="S56" s="7">
        <v>45790</v>
      </c>
      <c r="T56" s="7">
        <v>45790</v>
      </c>
      <c r="U56" s="6">
        <v>571</v>
      </c>
      <c r="V56" s="11">
        <v>1682662</v>
      </c>
      <c r="W56" s="6"/>
      <c r="X56" s="6"/>
      <c r="Y56" s="6"/>
      <c r="Z56" s="6"/>
      <c r="AA56" s="8"/>
      <c r="AB56" s="8"/>
      <c r="AC56" s="6" t="s">
        <v>2178</v>
      </c>
      <c r="AD56" s="6"/>
      <c r="AE56" s="9"/>
    </row>
    <row r="57" spans="1:31" s="10" customFormat="1" ht="47.25" x14ac:dyDescent="0.25">
      <c r="A57" s="3">
        <v>51</v>
      </c>
      <c r="B57" s="3" t="s">
        <v>33</v>
      </c>
      <c r="C57" s="5" t="s">
        <v>1536</v>
      </c>
      <c r="D57" s="4" t="s">
        <v>1537</v>
      </c>
      <c r="E57" s="6">
        <v>37</v>
      </c>
      <c r="F57" s="6">
        <v>76</v>
      </c>
      <c r="G57" s="6">
        <v>1226.4000000000001</v>
      </c>
      <c r="H57" s="6" t="s">
        <v>75</v>
      </c>
      <c r="I57" s="7">
        <v>45761</v>
      </c>
      <c r="J57" s="3"/>
      <c r="K57" s="3"/>
      <c r="L57" s="3" t="s">
        <v>98</v>
      </c>
      <c r="M57" s="3"/>
      <c r="N57" s="3"/>
      <c r="O57" s="3"/>
      <c r="P57" s="3"/>
      <c r="Q57" s="6" t="s">
        <v>133</v>
      </c>
      <c r="R57" s="7">
        <v>45765</v>
      </c>
      <c r="S57" s="7">
        <v>45769</v>
      </c>
      <c r="T57" s="7">
        <v>45769</v>
      </c>
      <c r="U57" s="6">
        <v>57</v>
      </c>
      <c r="V57" s="11">
        <v>3805231</v>
      </c>
      <c r="W57" s="6"/>
      <c r="X57" s="6"/>
      <c r="Y57" s="6"/>
      <c r="Z57" s="6"/>
      <c r="AA57" s="8"/>
      <c r="AB57" s="8"/>
      <c r="AC57" s="6" t="s">
        <v>1538</v>
      </c>
      <c r="AD57" s="6"/>
      <c r="AE57" s="9"/>
    </row>
    <row r="58" spans="1:31" ht="16.5" x14ac:dyDescent="0.25">
      <c r="A58" s="12"/>
      <c r="B58" s="73" t="s">
        <v>1543</v>
      </c>
      <c r="C58" s="74"/>
      <c r="D58" s="74"/>
      <c r="E58" s="74"/>
      <c r="F58" s="74"/>
      <c r="G58" s="74"/>
      <c r="H58" s="75"/>
      <c r="I58" s="13"/>
      <c r="J58" s="14">
        <f>COUNTIF(J54:J57,"CT")+COUNTIF(J54:J57,"CQ")</f>
        <v>0</v>
      </c>
      <c r="K58" s="14">
        <f>COUNTIF(K54:K57,"CMĐ")</f>
        <v>0</v>
      </c>
      <c r="L58" s="14">
        <f>COUNTIF(L54:L57,"XMDT")+COUNTIF(L54:L57,"Mốc")</f>
        <v>1</v>
      </c>
      <c r="M58" s="14">
        <f>COUNTIF(M47:M57,"THÁn")</f>
        <v>0</v>
      </c>
      <c r="N58" s="14">
        <f>COUNTIF(N47:N57,"TÒA")</f>
        <v>0</v>
      </c>
      <c r="O58" s="14">
        <f>COUNTIF(O47:O57,"Cấp GCN")</f>
        <v>0</v>
      </c>
      <c r="P58" s="14">
        <f>COUNTIF(P47:P57,"SHN")</f>
        <v>3</v>
      </c>
      <c r="Q58" s="15"/>
      <c r="R58" s="13"/>
      <c r="S58" s="15"/>
      <c r="T58" s="15"/>
      <c r="U58" s="16"/>
      <c r="V58" s="11"/>
      <c r="W58" s="17"/>
      <c r="X58" s="2"/>
      <c r="AD58" s="14" t="e">
        <f>COUNTIF(#REF!,"kt")</f>
        <v>#REF!</v>
      </c>
    </row>
    <row r="59" spans="1:31" s="10" customFormat="1" ht="15.75" x14ac:dyDescent="0.25">
      <c r="A59" s="3">
        <v>52</v>
      </c>
      <c r="B59" s="3" t="s">
        <v>33</v>
      </c>
      <c r="C59" s="5" t="s">
        <v>1544</v>
      </c>
      <c r="D59" s="4" t="s">
        <v>1545</v>
      </c>
      <c r="E59" s="6">
        <v>50</v>
      </c>
      <c r="F59" s="6">
        <v>39</v>
      </c>
      <c r="G59" s="6">
        <v>90</v>
      </c>
      <c r="H59" s="6" t="s">
        <v>55</v>
      </c>
      <c r="I59" s="7">
        <v>45761</v>
      </c>
      <c r="J59" s="3"/>
      <c r="K59" s="3"/>
      <c r="L59" s="3"/>
      <c r="M59" s="3"/>
      <c r="N59" s="3"/>
      <c r="O59" s="3"/>
      <c r="P59" s="3" t="s">
        <v>52</v>
      </c>
      <c r="Q59" s="6" t="s">
        <v>133</v>
      </c>
      <c r="R59" s="7">
        <v>45791</v>
      </c>
      <c r="S59" s="7">
        <v>45793</v>
      </c>
      <c r="T59" s="7">
        <v>45793</v>
      </c>
      <c r="U59" s="6">
        <v>663</v>
      </c>
      <c r="V59" s="11">
        <v>1416978</v>
      </c>
      <c r="W59" s="6"/>
      <c r="X59" s="6"/>
      <c r="Y59" s="6"/>
      <c r="Z59" s="6"/>
      <c r="AA59" s="8"/>
      <c r="AB59" s="8"/>
      <c r="AC59" s="6"/>
      <c r="AD59" s="6"/>
      <c r="AE59" s="9"/>
    </row>
    <row r="60" spans="1:31" s="10" customFormat="1" ht="31.5" x14ac:dyDescent="0.25">
      <c r="A60" s="3">
        <v>53</v>
      </c>
      <c r="B60" s="3" t="s">
        <v>33</v>
      </c>
      <c r="C60" s="5" t="s">
        <v>1549</v>
      </c>
      <c r="D60" s="4" t="s">
        <v>324</v>
      </c>
      <c r="E60" s="6">
        <v>39</v>
      </c>
      <c r="F60" s="6">
        <v>45</v>
      </c>
      <c r="G60" s="6">
        <v>261.10000000000002</v>
      </c>
      <c r="H60" s="6" t="s">
        <v>55</v>
      </c>
      <c r="I60" s="7"/>
      <c r="J60" s="3"/>
      <c r="K60" s="3"/>
      <c r="L60" s="3"/>
      <c r="M60" s="3"/>
      <c r="N60" s="3"/>
      <c r="O60" s="3"/>
      <c r="P60" s="3"/>
      <c r="Q60" s="6" t="s">
        <v>190</v>
      </c>
      <c r="R60" s="7">
        <v>45755</v>
      </c>
      <c r="S60" s="6"/>
      <c r="T60" s="6"/>
      <c r="U60" s="6"/>
      <c r="V60" s="11"/>
      <c r="W60" s="6"/>
      <c r="X60" s="6"/>
      <c r="Y60" s="6"/>
      <c r="Z60" s="6" t="s">
        <v>1550</v>
      </c>
      <c r="AA60" s="8" t="s">
        <v>1551</v>
      </c>
      <c r="AB60" s="8"/>
      <c r="AC60" s="6"/>
      <c r="AD60" s="6"/>
      <c r="AE60" s="9"/>
    </row>
    <row r="61" spans="1:31" s="10" customFormat="1" ht="31.5" x14ac:dyDescent="0.25">
      <c r="A61" s="3">
        <v>54</v>
      </c>
      <c r="B61" s="3" t="s">
        <v>33</v>
      </c>
      <c r="C61" s="5" t="s">
        <v>1605</v>
      </c>
      <c r="D61" s="4"/>
      <c r="E61" s="6">
        <v>46</v>
      </c>
      <c r="F61" s="6">
        <v>54</v>
      </c>
      <c r="G61" s="6">
        <v>120</v>
      </c>
      <c r="H61" s="6" t="s">
        <v>55</v>
      </c>
      <c r="I61" s="7">
        <v>45763</v>
      </c>
      <c r="J61" s="3"/>
      <c r="K61" s="3"/>
      <c r="L61" s="3"/>
      <c r="M61" s="3"/>
      <c r="N61" s="3"/>
      <c r="O61" s="3"/>
      <c r="P61" s="3" t="s">
        <v>52</v>
      </c>
      <c r="Q61" s="6" t="s">
        <v>133</v>
      </c>
      <c r="R61" s="7">
        <v>45790</v>
      </c>
      <c r="S61" s="7">
        <v>45792</v>
      </c>
      <c r="T61" s="7">
        <v>45792</v>
      </c>
      <c r="U61" s="6">
        <v>651</v>
      </c>
      <c r="V61" s="11">
        <v>1682662</v>
      </c>
      <c r="W61" s="6"/>
      <c r="X61" s="6"/>
      <c r="Y61" s="6"/>
      <c r="Z61" s="6"/>
      <c r="AA61" s="8"/>
      <c r="AB61" s="8"/>
      <c r="AC61" s="6" t="s">
        <v>2101</v>
      </c>
      <c r="AD61" s="6"/>
      <c r="AE61" s="9" t="s">
        <v>1606</v>
      </c>
    </row>
    <row r="62" spans="1:31" ht="16.5" x14ac:dyDescent="0.25">
      <c r="A62" s="12"/>
      <c r="B62" s="73" t="s">
        <v>1656</v>
      </c>
      <c r="C62" s="74"/>
      <c r="D62" s="74"/>
      <c r="E62" s="74"/>
      <c r="F62" s="74"/>
      <c r="G62" s="74"/>
      <c r="H62" s="75"/>
      <c r="I62" s="13"/>
      <c r="J62" s="14">
        <f>COUNTIF(J58:J61,"CT")+COUNTIF(J58:J61,"CQ")</f>
        <v>0</v>
      </c>
      <c r="K62" s="14">
        <f>COUNTIF(K58:K61,"CMĐ")</f>
        <v>0</v>
      </c>
      <c r="L62" s="14">
        <f>COUNTIF(L58:L61,"XMDT")+COUNTIF(L58:L61,"Mốc")</f>
        <v>0</v>
      </c>
      <c r="M62" s="14">
        <f>COUNTIF(M51:M61,"THÁn")</f>
        <v>0</v>
      </c>
      <c r="N62" s="14">
        <f>COUNTIF(N51:N61,"TÒA")</f>
        <v>0</v>
      </c>
      <c r="O62" s="14">
        <f>COUNTIF(O51:O61,"Cấp GCN")</f>
        <v>0</v>
      </c>
      <c r="P62" s="14">
        <f>COUNTIF(P59:P61,"SHN")</f>
        <v>2</v>
      </c>
      <c r="Q62" s="15"/>
      <c r="R62" s="13"/>
      <c r="S62" s="15"/>
      <c r="T62" s="15"/>
      <c r="U62" s="16"/>
      <c r="V62" s="11"/>
      <c r="W62" s="17"/>
      <c r="X62" s="2"/>
      <c r="AD62" s="14" t="e">
        <f>COUNTIF(#REF!,"kt")</f>
        <v>#REF!</v>
      </c>
    </row>
    <row r="63" spans="1:31" s="10" customFormat="1" ht="31.5" x14ac:dyDescent="0.25">
      <c r="A63" s="3">
        <v>55</v>
      </c>
      <c r="B63" s="3" t="s">
        <v>33</v>
      </c>
      <c r="C63" s="5" t="s">
        <v>1670</v>
      </c>
      <c r="D63" s="4" t="s">
        <v>1671</v>
      </c>
      <c r="E63" s="6">
        <v>14</v>
      </c>
      <c r="F63" s="6">
        <v>461</v>
      </c>
      <c r="G63" s="6">
        <v>82.8</v>
      </c>
      <c r="H63" s="6" t="s">
        <v>55</v>
      </c>
      <c r="I63" s="7">
        <v>45769</v>
      </c>
      <c r="J63" s="3"/>
      <c r="K63" s="3"/>
      <c r="L63" s="3"/>
      <c r="M63" s="3"/>
      <c r="N63" s="3"/>
      <c r="O63" s="3"/>
      <c r="P63" s="3" t="s">
        <v>52</v>
      </c>
      <c r="Q63" s="15" t="s">
        <v>133</v>
      </c>
      <c r="R63" s="21">
        <v>45832</v>
      </c>
      <c r="S63" s="7">
        <v>45832</v>
      </c>
      <c r="T63" s="7">
        <v>45832</v>
      </c>
      <c r="U63" s="6">
        <v>1866</v>
      </c>
      <c r="V63" s="22">
        <v>1416978</v>
      </c>
      <c r="W63" s="6"/>
      <c r="X63" s="6"/>
      <c r="Y63" s="6"/>
      <c r="Z63" s="6"/>
      <c r="AA63" s="8"/>
      <c r="AB63" s="8"/>
      <c r="AC63" s="6" t="s">
        <v>2705</v>
      </c>
      <c r="AD63" s="6"/>
      <c r="AE63" s="9"/>
    </row>
    <row r="64" spans="1:31" s="10" customFormat="1" ht="31.5" x14ac:dyDescent="0.25">
      <c r="A64" s="3">
        <v>56</v>
      </c>
      <c r="B64" s="3" t="s">
        <v>33</v>
      </c>
      <c r="C64" s="5" t="s">
        <v>1137</v>
      </c>
      <c r="D64" s="4" t="s">
        <v>1687</v>
      </c>
      <c r="E64" s="6">
        <v>20</v>
      </c>
      <c r="F64" s="6">
        <v>293</v>
      </c>
      <c r="G64" s="6">
        <v>1956.6</v>
      </c>
      <c r="H64" s="6" t="s">
        <v>75</v>
      </c>
      <c r="I64" s="7" t="s">
        <v>1841</v>
      </c>
      <c r="J64" s="3" t="s">
        <v>76</v>
      </c>
      <c r="K64" s="3"/>
      <c r="L64" s="3"/>
      <c r="M64" s="3"/>
      <c r="N64" s="3"/>
      <c r="O64" s="3"/>
      <c r="P64" s="3"/>
      <c r="Q64" s="15" t="s">
        <v>133</v>
      </c>
      <c r="R64" s="6"/>
      <c r="S64" s="6"/>
      <c r="T64" s="6"/>
      <c r="U64" s="6"/>
      <c r="V64" s="11"/>
      <c r="W64" s="6"/>
      <c r="X64" s="6"/>
      <c r="Y64" s="6"/>
      <c r="Z64" s="6"/>
      <c r="AA64" s="8"/>
      <c r="AB64" s="8"/>
      <c r="AC64" s="6" t="s">
        <v>1828</v>
      </c>
      <c r="AD64" s="6"/>
      <c r="AE64" s="9"/>
    </row>
    <row r="65" spans="1:31" s="10" customFormat="1" ht="31.5" x14ac:dyDescent="0.25">
      <c r="A65" s="3">
        <v>57</v>
      </c>
      <c r="B65" s="3" t="s">
        <v>33</v>
      </c>
      <c r="C65" s="5" t="s">
        <v>1457</v>
      </c>
      <c r="D65" s="4" t="s">
        <v>1458</v>
      </c>
      <c r="E65" s="6">
        <v>36</v>
      </c>
      <c r="F65" s="6">
        <v>45</v>
      </c>
      <c r="G65" s="6">
        <v>459</v>
      </c>
      <c r="H65" s="6" t="s">
        <v>75</v>
      </c>
      <c r="I65" s="7">
        <v>45770</v>
      </c>
      <c r="J65" s="3"/>
      <c r="K65" s="3"/>
      <c r="L65" s="3" t="s">
        <v>98</v>
      </c>
      <c r="M65" s="3"/>
      <c r="N65" s="3"/>
      <c r="O65" s="3"/>
      <c r="P65" s="3"/>
      <c r="Q65" s="6" t="s">
        <v>133</v>
      </c>
      <c r="R65" s="7">
        <v>45771</v>
      </c>
      <c r="S65" s="7">
        <v>45773</v>
      </c>
      <c r="T65" s="7">
        <v>45773</v>
      </c>
      <c r="U65" s="6">
        <v>224</v>
      </c>
      <c r="V65" s="11">
        <v>2583973</v>
      </c>
      <c r="W65" s="6"/>
      <c r="X65" s="6"/>
      <c r="Y65" s="6"/>
      <c r="Z65" s="6"/>
      <c r="AA65" s="8"/>
      <c r="AB65" s="8"/>
      <c r="AC65" s="6" t="s">
        <v>1723</v>
      </c>
      <c r="AD65" s="6"/>
      <c r="AE65" s="9"/>
    </row>
    <row r="66" spans="1:31" s="10" customFormat="1" ht="15.75" x14ac:dyDescent="0.25">
      <c r="A66" s="3">
        <v>58</v>
      </c>
      <c r="B66" s="3" t="s">
        <v>33</v>
      </c>
      <c r="C66" s="5" t="s">
        <v>1740</v>
      </c>
      <c r="D66" s="4" t="s">
        <v>1741</v>
      </c>
      <c r="E66" s="6">
        <v>21</v>
      </c>
      <c r="F66" s="6">
        <v>391</v>
      </c>
      <c r="G66" s="6">
        <v>680.5</v>
      </c>
      <c r="H66" s="6" t="s">
        <v>55</v>
      </c>
      <c r="I66" s="7">
        <v>45771</v>
      </c>
      <c r="J66" s="3" t="s">
        <v>823</v>
      </c>
      <c r="K66" s="3"/>
      <c r="L66" s="3"/>
      <c r="M66" s="3"/>
      <c r="N66" s="3"/>
      <c r="O66" s="3"/>
      <c r="P66" s="3"/>
      <c r="Q66" s="6" t="s">
        <v>133</v>
      </c>
      <c r="R66" s="6"/>
      <c r="S66" s="6"/>
      <c r="T66" s="6"/>
      <c r="U66" s="6"/>
      <c r="V66" s="11"/>
      <c r="W66" s="6"/>
      <c r="X66" s="6"/>
      <c r="Y66" s="6"/>
      <c r="Z66" s="6"/>
      <c r="AA66" s="8"/>
      <c r="AB66" s="8"/>
      <c r="AC66" s="6"/>
      <c r="AD66" s="6"/>
      <c r="AE66" s="9"/>
    </row>
    <row r="67" spans="1:31" s="10" customFormat="1" ht="78.75" x14ac:dyDescent="0.25">
      <c r="A67" s="3">
        <v>59</v>
      </c>
      <c r="B67" s="3" t="s">
        <v>33</v>
      </c>
      <c r="C67" s="5" t="s">
        <v>1743</v>
      </c>
      <c r="D67" s="4" t="s">
        <v>491</v>
      </c>
      <c r="E67" s="6">
        <v>9</v>
      </c>
      <c r="F67" s="6">
        <v>184</v>
      </c>
      <c r="G67" s="6">
        <v>1583.6</v>
      </c>
      <c r="H67" s="6" t="s">
        <v>75</v>
      </c>
      <c r="I67" s="7">
        <v>45772</v>
      </c>
      <c r="J67" s="3"/>
      <c r="K67" s="3"/>
      <c r="L67" s="3"/>
      <c r="M67" s="3" t="s">
        <v>491</v>
      </c>
      <c r="N67" s="3"/>
      <c r="O67" s="3"/>
      <c r="P67" s="3"/>
      <c r="Q67" s="6" t="s">
        <v>133</v>
      </c>
      <c r="R67" s="6"/>
      <c r="S67" s="6"/>
      <c r="T67" s="6"/>
      <c r="U67" s="6"/>
      <c r="V67" s="11"/>
      <c r="W67" s="6"/>
      <c r="X67" s="6"/>
      <c r="Y67" s="6"/>
      <c r="Z67" s="6"/>
      <c r="AA67" s="8"/>
      <c r="AB67" s="8"/>
      <c r="AC67" s="6" t="s">
        <v>1744</v>
      </c>
      <c r="AD67" s="6"/>
      <c r="AE67" s="9"/>
    </row>
    <row r="68" spans="1:31" s="10" customFormat="1" ht="31.5" x14ac:dyDescent="0.25">
      <c r="A68" s="3">
        <v>60</v>
      </c>
      <c r="B68" s="3" t="s">
        <v>33</v>
      </c>
      <c r="C68" s="5" t="s">
        <v>1756</v>
      </c>
      <c r="D68" s="4" t="s">
        <v>1757</v>
      </c>
      <c r="E68" s="6">
        <v>20</v>
      </c>
      <c r="F68" s="6">
        <v>49</v>
      </c>
      <c r="G68" s="6">
        <v>245.6</v>
      </c>
      <c r="H68" s="6" t="s">
        <v>51</v>
      </c>
      <c r="I68" s="7">
        <v>45772</v>
      </c>
      <c r="J68" s="3"/>
      <c r="K68" s="3" t="s">
        <v>62</v>
      </c>
      <c r="L68" s="3"/>
      <c r="M68" s="3"/>
      <c r="N68" s="3"/>
      <c r="O68" s="3"/>
      <c r="P68" s="3"/>
      <c r="Q68" s="6" t="s">
        <v>133</v>
      </c>
      <c r="R68" s="6"/>
      <c r="S68" s="6"/>
      <c r="T68" s="6"/>
      <c r="U68" s="6"/>
      <c r="V68" s="11"/>
      <c r="W68" s="6"/>
      <c r="X68" s="6"/>
      <c r="Y68" s="6"/>
      <c r="Z68" s="6"/>
      <c r="AA68" s="8"/>
      <c r="AB68" s="8"/>
      <c r="AC68" s="6" t="s">
        <v>1828</v>
      </c>
      <c r="AD68" s="6"/>
      <c r="AE68" s="9"/>
    </row>
    <row r="69" spans="1:31" ht="16.5" x14ac:dyDescent="0.25">
      <c r="A69" s="12"/>
      <c r="B69" s="73" t="s">
        <v>1782</v>
      </c>
      <c r="C69" s="74"/>
      <c r="D69" s="74"/>
      <c r="E69" s="74"/>
      <c r="F69" s="74"/>
      <c r="G69" s="74"/>
      <c r="H69" s="75"/>
      <c r="I69" s="13"/>
      <c r="J69" s="14">
        <f>COUNTIF(J63:J68,"CT")+COUNTIF(J63:J68,"IG")</f>
        <v>2</v>
      </c>
      <c r="K69" s="14">
        <f>COUNTIF(K65:K68,"CMĐ")</f>
        <v>1</v>
      </c>
      <c r="L69" s="14">
        <f>COUNTIF(L65:L68,"XMDT")+COUNTIF(L65:L68,"Mốc")</f>
        <v>1</v>
      </c>
      <c r="M69" s="14">
        <f>COUNTIF(M58:M68,"THÁn")</f>
        <v>1</v>
      </c>
      <c r="N69" s="14">
        <f>COUNTIF(N58:N68,"TÒA")</f>
        <v>0</v>
      </c>
      <c r="O69" s="14">
        <f>COUNTIF(O58:O68,"Cấp GCN")</f>
        <v>0</v>
      </c>
      <c r="P69" s="14">
        <f>COUNTIF(P66:P68,"SHN")</f>
        <v>0</v>
      </c>
      <c r="Q69" s="15"/>
      <c r="R69" s="13"/>
      <c r="S69" s="15"/>
      <c r="T69" s="15"/>
      <c r="U69" s="16"/>
      <c r="V69" s="11"/>
      <c r="W69" s="17"/>
      <c r="X69" s="2"/>
      <c r="AD69" s="14" t="e">
        <f>COUNTIF(#REF!,"kt")</f>
        <v>#REF!</v>
      </c>
    </row>
    <row r="70" spans="1:31" s="10" customFormat="1" ht="47.25" x14ac:dyDescent="0.25">
      <c r="A70" s="3">
        <v>61</v>
      </c>
      <c r="B70" s="3" t="s">
        <v>33</v>
      </c>
      <c r="C70" s="5" t="s">
        <v>1794</v>
      </c>
      <c r="D70" s="4" t="s">
        <v>1795</v>
      </c>
      <c r="E70" s="6">
        <v>4</v>
      </c>
      <c r="F70" s="6" t="s">
        <v>1796</v>
      </c>
      <c r="G70" s="6" t="s">
        <v>1797</v>
      </c>
      <c r="H70" s="6" t="s">
        <v>51</v>
      </c>
      <c r="I70" s="7" t="s">
        <v>2256</v>
      </c>
      <c r="J70" s="3"/>
      <c r="K70" s="3"/>
      <c r="L70" s="3" t="s">
        <v>1</v>
      </c>
      <c r="M70" s="3"/>
      <c r="N70" s="3"/>
      <c r="O70" s="3"/>
      <c r="P70" s="3"/>
      <c r="Q70" s="6" t="s">
        <v>133</v>
      </c>
      <c r="R70" s="6"/>
      <c r="S70" s="6"/>
      <c r="T70" s="6"/>
      <c r="U70" s="6"/>
      <c r="V70" s="11"/>
      <c r="W70" s="6"/>
      <c r="X70" s="6"/>
      <c r="Y70" s="6"/>
      <c r="Z70" s="6"/>
      <c r="AA70" s="8"/>
      <c r="AB70" s="8"/>
      <c r="AC70" s="6"/>
      <c r="AD70" s="6"/>
      <c r="AE70" s="9"/>
    </row>
    <row r="71" spans="1:31" s="10" customFormat="1" ht="33.75" customHeight="1" x14ac:dyDescent="0.25">
      <c r="A71" s="3">
        <v>62</v>
      </c>
      <c r="B71" s="3" t="s">
        <v>33</v>
      </c>
      <c r="C71" s="5" t="s">
        <v>1817</v>
      </c>
      <c r="D71" s="4" t="s">
        <v>1818</v>
      </c>
      <c r="E71" s="6">
        <v>14</v>
      </c>
      <c r="F71" s="6">
        <v>325</v>
      </c>
      <c r="G71" s="6">
        <v>81</v>
      </c>
      <c r="H71" s="6" t="s">
        <v>55</v>
      </c>
      <c r="I71" s="7" t="s">
        <v>2503</v>
      </c>
      <c r="J71" s="3"/>
      <c r="K71" s="3"/>
      <c r="L71" s="3"/>
      <c r="M71" s="3"/>
      <c r="N71" s="3"/>
      <c r="O71" s="3"/>
      <c r="P71" s="3" t="s">
        <v>52</v>
      </c>
      <c r="Q71" s="6" t="s">
        <v>133</v>
      </c>
      <c r="R71" s="6"/>
      <c r="S71" s="6"/>
      <c r="T71" s="6"/>
      <c r="U71" s="6"/>
      <c r="V71" s="11"/>
      <c r="W71" s="6"/>
      <c r="X71" s="6"/>
      <c r="Y71" s="6"/>
      <c r="Z71" s="6"/>
      <c r="AA71" s="8" t="s">
        <v>1996</v>
      </c>
      <c r="AB71" s="8"/>
      <c r="AC71" s="6"/>
      <c r="AD71" s="6"/>
      <c r="AE71" s="9"/>
    </row>
    <row r="72" spans="1:31" s="10" customFormat="1" ht="78.75" x14ac:dyDescent="0.25">
      <c r="A72" s="3">
        <v>63</v>
      </c>
      <c r="B72" s="3" t="s">
        <v>33</v>
      </c>
      <c r="C72" s="5" t="s">
        <v>1834</v>
      </c>
      <c r="D72" s="4" t="s">
        <v>54</v>
      </c>
      <c r="E72" s="6" t="s">
        <v>1836</v>
      </c>
      <c r="F72" s="6" t="s">
        <v>1835</v>
      </c>
      <c r="G72" s="6">
        <v>48.4</v>
      </c>
      <c r="H72" s="6"/>
      <c r="I72" s="7">
        <v>45783</v>
      </c>
      <c r="J72" s="3"/>
      <c r="K72" s="3"/>
      <c r="L72" s="3"/>
      <c r="M72" s="3"/>
      <c r="N72" s="3" t="s">
        <v>56</v>
      </c>
      <c r="O72" s="3"/>
      <c r="P72" s="3"/>
      <c r="Q72" s="6" t="s">
        <v>133</v>
      </c>
      <c r="R72" s="7">
        <v>45834</v>
      </c>
      <c r="S72" s="7">
        <v>45835</v>
      </c>
      <c r="T72" s="7">
        <v>45835</v>
      </c>
      <c r="U72" s="6">
        <v>2016</v>
      </c>
      <c r="V72" s="11">
        <v>809727</v>
      </c>
      <c r="W72" s="6"/>
      <c r="X72" s="6"/>
      <c r="Y72" s="6"/>
      <c r="Z72" s="6"/>
      <c r="AA72" s="8"/>
      <c r="AB72" s="8"/>
      <c r="AC72" s="6" t="s">
        <v>1837</v>
      </c>
      <c r="AD72" s="6"/>
      <c r="AE72" s="9"/>
    </row>
    <row r="73" spans="1:31" s="10" customFormat="1" ht="47.25" x14ac:dyDescent="0.25">
      <c r="A73" s="3">
        <v>64</v>
      </c>
      <c r="B73" s="3" t="s">
        <v>33</v>
      </c>
      <c r="C73" s="5" t="s">
        <v>1838</v>
      </c>
      <c r="D73" s="4" t="s">
        <v>1839</v>
      </c>
      <c r="E73" s="6">
        <v>20</v>
      </c>
      <c r="F73" s="6">
        <v>110</v>
      </c>
      <c r="G73" s="6">
        <v>165</v>
      </c>
      <c r="H73" s="6" t="s">
        <v>51</v>
      </c>
      <c r="I73" s="7">
        <v>45783</v>
      </c>
      <c r="J73" s="3"/>
      <c r="K73" s="3"/>
      <c r="L73" s="3" t="s">
        <v>98</v>
      </c>
      <c r="M73" s="3"/>
      <c r="N73" s="3"/>
      <c r="O73" s="3"/>
      <c r="P73" s="3"/>
      <c r="Q73" s="6" t="s">
        <v>133</v>
      </c>
      <c r="R73" s="6"/>
      <c r="S73" s="6"/>
      <c r="T73" s="6"/>
      <c r="U73" s="6"/>
      <c r="V73" s="11"/>
      <c r="W73" s="6"/>
      <c r="X73" s="6"/>
      <c r="Y73" s="6"/>
      <c r="Z73" s="6"/>
      <c r="AA73" s="8"/>
      <c r="AB73" s="8"/>
      <c r="AC73" s="6" t="s">
        <v>1840</v>
      </c>
      <c r="AD73" s="6"/>
      <c r="AE73" s="9"/>
    </row>
    <row r="74" spans="1:31" s="10" customFormat="1" ht="15.75" x14ac:dyDescent="0.25">
      <c r="A74" s="3">
        <v>65</v>
      </c>
      <c r="B74" s="3" t="s">
        <v>33</v>
      </c>
      <c r="C74" s="5" t="s">
        <v>1865</v>
      </c>
      <c r="D74" s="4" t="s">
        <v>1866</v>
      </c>
      <c r="E74" s="6">
        <v>37</v>
      </c>
      <c r="F74" s="6">
        <v>58</v>
      </c>
      <c r="G74" s="6">
        <v>189.8</v>
      </c>
      <c r="H74" s="6" t="s">
        <v>51</v>
      </c>
      <c r="I74" s="7">
        <v>45783</v>
      </c>
      <c r="J74" s="3"/>
      <c r="K74" s="3" t="s">
        <v>62</v>
      </c>
      <c r="L74" s="3"/>
      <c r="M74" s="3"/>
      <c r="N74" s="3"/>
      <c r="O74" s="3"/>
      <c r="P74" s="3"/>
      <c r="Q74" s="6" t="s">
        <v>133</v>
      </c>
      <c r="R74" s="7">
        <v>45817</v>
      </c>
      <c r="S74" s="7">
        <v>45818</v>
      </c>
      <c r="T74" s="7">
        <v>45818</v>
      </c>
      <c r="U74" s="6">
        <v>1421</v>
      </c>
      <c r="V74" s="11">
        <v>809727</v>
      </c>
      <c r="W74" s="6"/>
      <c r="X74" s="6"/>
      <c r="Y74" s="6"/>
      <c r="Z74" s="6"/>
      <c r="AA74" s="8"/>
      <c r="AB74" s="8"/>
      <c r="AC74" s="6"/>
      <c r="AD74" s="6"/>
      <c r="AE74" s="9"/>
    </row>
    <row r="75" spans="1:31" ht="16.5" x14ac:dyDescent="0.25">
      <c r="A75" s="12"/>
      <c r="B75" s="73" t="s">
        <v>1919</v>
      </c>
      <c r="C75" s="74"/>
      <c r="D75" s="74"/>
      <c r="E75" s="74"/>
      <c r="F75" s="74"/>
      <c r="G75" s="74"/>
      <c r="H75" s="75"/>
      <c r="I75" s="13"/>
      <c r="J75" s="14">
        <f>COUNTIF(J69:J74,"CT")+COUNTIF(J69:J74,"IG")</f>
        <v>0</v>
      </c>
      <c r="K75" s="14">
        <f>COUNTIF(K71:K74,"CMĐ")</f>
        <v>1</v>
      </c>
      <c r="L75" s="14">
        <f>COUNTIF(L70:L74,"XMDT")+COUNTIF(L71:L74,"Mốc")</f>
        <v>2</v>
      </c>
      <c r="M75" s="14">
        <f>COUNTIF(M70:M74,"THÁn")</f>
        <v>0</v>
      </c>
      <c r="N75" s="14">
        <f>COUNTIF(N64:N74,"TÒA")</f>
        <v>1</v>
      </c>
      <c r="O75" s="14">
        <f>COUNTIF(O64:O74,"Cấp GCN")</f>
        <v>0</v>
      </c>
      <c r="P75" s="14">
        <f>COUNTIF(P70:P74,"SHN")</f>
        <v>1</v>
      </c>
      <c r="Q75" s="15"/>
      <c r="R75" s="13"/>
      <c r="S75" s="15"/>
      <c r="T75" s="15"/>
      <c r="U75" s="16"/>
      <c r="V75" s="11"/>
      <c r="W75" s="17"/>
      <c r="X75" s="2"/>
      <c r="AD75" s="14" t="e">
        <f>COUNTIF(#REF!,"kt")</f>
        <v>#REF!</v>
      </c>
    </row>
    <row r="76" spans="1:31" s="10" customFormat="1" ht="15.75" x14ac:dyDescent="0.25">
      <c r="A76" s="3">
        <v>66</v>
      </c>
      <c r="B76" s="3" t="s">
        <v>33</v>
      </c>
      <c r="C76" s="5" t="s">
        <v>1925</v>
      </c>
      <c r="D76" s="4" t="s">
        <v>1926</v>
      </c>
      <c r="E76" s="6">
        <v>33</v>
      </c>
      <c r="F76" s="6">
        <v>72</v>
      </c>
      <c r="G76" s="6">
        <v>943.5</v>
      </c>
      <c r="H76" s="6" t="s">
        <v>51</v>
      </c>
      <c r="I76" s="7">
        <v>45789</v>
      </c>
      <c r="J76" s="3"/>
      <c r="K76" s="3" t="s">
        <v>62</v>
      </c>
      <c r="L76" s="3"/>
      <c r="M76" s="3"/>
      <c r="N76" s="3"/>
      <c r="O76" s="3"/>
      <c r="P76" s="3"/>
      <c r="Q76" s="6" t="s">
        <v>133</v>
      </c>
      <c r="R76" s="7">
        <v>45804</v>
      </c>
      <c r="S76" s="7">
        <v>45805</v>
      </c>
      <c r="T76" s="7">
        <v>45805</v>
      </c>
      <c r="U76" s="6">
        <v>1016</v>
      </c>
      <c r="V76" s="11">
        <v>961551</v>
      </c>
      <c r="W76" s="6"/>
      <c r="X76" s="6"/>
      <c r="Y76" s="6"/>
      <c r="Z76" s="6"/>
      <c r="AA76" s="8"/>
      <c r="AB76" s="8"/>
      <c r="AC76" s="6"/>
      <c r="AD76" s="6"/>
      <c r="AE76" s="9"/>
    </row>
    <row r="77" spans="1:31" s="10" customFormat="1" ht="63" x14ac:dyDescent="0.25">
      <c r="A77" s="3">
        <v>67</v>
      </c>
      <c r="B77" s="3" t="s">
        <v>33</v>
      </c>
      <c r="C77" s="5" t="s">
        <v>2014</v>
      </c>
      <c r="D77" s="4" t="s">
        <v>2015</v>
      </c>
      <c r="E77" s="6">
        <v>35</v>
      </c>
      <c r="F77" s="6" t="s">
        <v>2016</v>
      </c>
      <c r="G77" s="6" t="s">
        <v>2017</v>
      </c>
      <c r="H77" s="6" t="s">
        <v>51</v>
      </c>
      <c r="I77" s="7">
        <v>45791</v>
      </c>
      <c r="J77" s="3"/>
      <c r="K77" s="3"/>
      <c r="L77" s="3" t="s">
        <v>98</v>
      </c>
      <c r="M77" s="3"/>
      <c r="N77" s="3"/>
      <c r="O77" s="3"/>
      <c r="P77" s="3"/>
      <c r="Q77" s="6" t="s">
        <v>133</v>
      </c>
      <c r="R77" s="7">
        <v>45807</v>
      </c>
      <c r="S77" s="7">
        <v>45829</v>
      </c>
      <c r="T77" s="7">
        <v>45829</v>
      </c>
      <c r="U77" s="6">
        <v>1786</v>
      </c>
      <c r="V77" s="11">
        <v>4470086</v>
      </c>
      <c r="W77" s="6"/>
      <c r="X77" s="6"/>
      <c r="Y77" s="6"/>
      <c r="Z77" s="6"/>
      <c r="AA77" s="8"/>
      <c r="AB77" s="8"/>
      <c r="AC77" s="6" t="s">
        <v>2018</v>
      </c>
      <c r="AD77" s="6"/>
      <c r="AE77" s="9"/>
    </row>
    <row r="78" spans="1:31" s="10" customFormat="1" ht="15.75" x14ac:dyDescent="0.25">
      <c r="A78" s="3">
        <v>68</v>
      </c>
      <c r="B78" s="3" t="s">
        <v>33</v>
      </c>
      <c r="C78" s="5" t="s">
        <v>2023</v>
      </c>
      <c r="D78" s="4"/>
      <c r="E78" s="6">
        <v>38</v>
      </c>
      <c r="F78" s="6">
        <v>143</v>
      </c>
      <c r="G78" s="6"/>
      <c r="H78" s="6"/>
      <c r="I78" s="7">
        <v>45792</v>
      </c>
      <c r="J78" s="3"/>
      <c r="K78" s="3"/>
      <c r="L78" s="3"/>
      <c r="M78" s="3"/>
      <c r="N78" s="3"/>
      <c r="O78" s="3" t="s">
        <v>81</v>
      </c>
      <c r="P78" s="3"/>
      <c r="Q78" s="6" t="s">
        <v>133</v>
      </c>
      <c r="R78" s="6"/>
      <c r="S78" s="6"/>
      <c r="T78" s="6"/>
      <c r="U78" s="6"/>
      <c r="V78" s="11"/>
      <c r="W78" s="6"/>
      <c r="X78" s="6"/>
      <c r="Y78" s="6"/>
      <c r="Z78" s="6"/>
      <c r="AA78" s="8"/>
      <c r="AB78" s="8"/>
      <c r="AC78" s="6"/>
      <c r="AD78" s="6"/>
      <c r="AE78" s="9" t="s">
        <v>272</v>
      </c>
    </row>
    <row r="79" spans="1:31" s="10" customFormat="1" ht="31.5" x14ac:dyDescent="0.25">
      <c r="A79" s="3">
        <v>69</v>
      </c>
      <c r="B79" s="3" t="s">
        <v>33</v>
      </c>
      <c r="C79" s="5" t="s">
        <v>1271</v>
      </c>
      <c r="D79" s="4" t="s">
        <v>2075</v>
      </c>
      <c r="E79" s="6">
        <v>21</v>
      </c>
      <c r="F79" s="6">
        <v>348</v>
      </c>
      <c r="G79" s="6">
        <v>580.79999999999995</v>
      </c>
      <c r="H79" s="6" t="s">
        <v>51</v>
      </c>
      <c r="I79" s="7"/>
      <c r="J79" s="3"/>
      <c r="K79" s="3"/>
      <c r="L79" s="3"/>
      <c r="M79" s="3"/>
      <c r="N79" s="3"/>
      <c r="O79" s="3"/>
      <c r="P79" s="3"/>
      <c r="Q79" s="6" t="s">
        <v>190</v>
      </c>
      <c r="R79" s="6"/>
      <c r="S79" s="6"/>
      <c r="T79" s="6"/>
      <c r="U79" s="6"/>
      <c r="V79" s="11"/>
      <c r="W79" s="6"/>
      <c r="X79" s="6"/>
      <c r="Y79" s="6"/>
      <c r="Z79" s="6" t="s">
        <v>2076</v>
      </c>
      <c r="AA79" s="8" t="s">
        <v>2077</v>
      </c>
      <c r="AB79" s="8"/>
      <c r="AC79" s="6"/>
      <c r="AD79" s="6"/>
      <c r="AE79" s="9"/>
    </row>
    <row r="80" spans="1:31" s="10" customFormat="1" ht="31.5" x14ac:dyDescent="0.25">
      <c r="A80" s="3">
        <v>70</v>
      </c>
      <c r="B80" s="3" t="s">
        <v>33</v>
      </c>
      <c r="C80" s="5" t="s">
        <v>2091</v>
      </c>
      <c r="D80" s="4" t="s">
        <v>2092</v>
      </c>
      <c r="E80" s="6">
        <v>26</v>
      </c>
      <c r="F80" s="6">
        <v>57</v>
      </c>
      <c r="G80" s="6">
        <v>885.1</v>
      </c>
      <c r="H80" s="6" t="s">
        <v>51</v>
      </c>
      <c r="I80" s="7" t="s">
        <v>2533</v>
      </c>
      <c r="J80" s="3"/>
      <c r="K80" s="3" t="s">
        <v>62</v>
      </c>
      <c r="L80" s="3"/>
      <c r="M80" s="3"/>
      <c r="N80" s="3"/>
      <c r="O80" s="3"/>
      <c r="P80" s="3"/>
      <c r="Q80" s="6" t="s">
        <v>133</v>
      </c>
      <c r="R80" s="7">
        <v>45827</v>
      </c>
      <c r="S80" s="7">
        <v>45827</v>
      </c>
      <c r="T80" s="7">
        <v>45827</v>
      </c>
      <c r="U80" s="6">
        <v>1669</v>
      </c>
      <c r="V80" s="11">
        <v>961551</v>
      </c>
      <c r="W80" s="6"/>
      <c r="X80" s="6"/>
      <c r="Y80" s="6"/>
      <c r="Z80" s="6"/>
      <c r="AA80" s="8"/>
      <c r="AB80" s="8"/>
      <c r="AC80" s="6"/>
      <c r="AD80" s="6"/>
      <c r="AE80" s="9"/>
    </row>
    <row r="81" spans="1:31" ht="16.5" x14ac:dyDescent="0.25">
      <c r="A81" s="12"/>
      <c r="B81" s="73" t="s">
        <v>2099</v>
      </c>
      <c r="C81" s="74"/>
      <c r="D81" s="74"/>
      <c r="E81" s="74"/>
      <c r="F81" s="74"/>
      <c r="G81" s="74"/>
      <c r="H81" s="75"/>
      <c r="I81" s="13"/>
      <c r="J81" s="14">
        <f>COUNTIF(J75:J80,"CT")+COUNTIF(J75:J80,"IG")</f>
        <v>0</v>
      </c>
      <c r="K81" s="14">
        <f>COUNTIF(K76:K80,"CMĐ")</f>
        <v>2</v>
      </c>
      <c r="L81" s="14">
        <f>COUNTIF(L76:L80,"XMDT")+COUNTIF(L77:L80,"Mốc")</f>
        <v>1</v>
      </c>
      <c r="M81" s="14">
        <f>COUNTIF(M76:M80,"THÁn")</f>
        <v>0</v>
      </c>
      <c r="N81" s="14">
        <f>COUNTIF(N70:N80,"TÒA")</f>
        <v>1</v>
      </c>
      <c r="O81" s="14">
        <f>COUNTIF(O70:O80,"Cấp GCN")</f>
        <v>1</v>
      </c>
      <c r="P81" s="14">
        <f>COUNTIF(P76:P80,"SHN")</f>
        <v>0</v>
      </c>
      <c r="Q81" s="15"/>
      <c r="R81" s="13"/>
      <c r="S81" s="15"/>
      <c r="T81" s="15"/>
      <c r="U81" s="16"/>
      <c r="V81" s="11"/>
      <c r="W81" s="17"/>
      <c r="X81" s="2"/>
      <c r="AD81" s="14" t="e">
        <f>COUNTIF(#REF!,"kt")</f>
        <v>#REF!</v>
      </c>
    </row>
    <row r="82" spans="1:31" s="10" customFormat="1" ht="15.75" x14ac:dyDescent="0.25">
      <c r="A82" s="3">
        <v>71</v>
      </c>
      <c r="B82" s="3" t="s">
        <v>33</v>
      </c>
      <c r="C82" s="5" t="s">
        <v>2111</v>
      </c>
      <c r="D82" s="4" t="s">
        <v>2112</v>
      </c>
      <c r="E82" s="6">
        <v>35</v>
      </c>
      <c r="F82" s="6">
        <v>289</v>
      </c>
      <c r="G82" s="6">
        <v>506</v>
      </c>
      <c r="H82" s="6" t="s">
        <v>51</v>
      </c>
      <c r="I82" s="7">
        <v>45797</v>
      </c>
      <c r="J82" s="3"/>
      <c r="K82" s="3" t="s">
        <v>62</v>
      </c>
      <c r="L82" s="3"/>
      <c r="M82" s="3"/>
      <c r="N82" s="3"/>
      <c r="O82" s="3"/>
      <c r="P82" s="3"/>
      <c r="Q82" s="6" t="s">
        <v>133</v>
      </c>
      <c r="R82" s="6"/>
      <c r="S82" s="6"/>
      <c r="T82" s="6"/>
      <c r="U82" s="6"/>
      <c r="V82" s="11"/>
      <c r="W82" s="6"/>
      <c r="X82" s="6"/>
      <c r="Y82" s="6"/>
      <c r="Z82" s="6"/>
      <c r="AA82" s="8"/>
      <c r="AB82" s="8"/>
      <c r="AC82" s="6"/>
      <c r="AD82" s="6"/>
      <c r="AE82" s="9"/>
    </row>
    <row r="83" spans="1:31" s="10" customFormat="1" ht="30.75" customHeight="1" x14ac:dyDescent="0.25">
      <c r="A83" s="3">
        <v>72</v>
      </c>
      <c r="B83" s="3" t="s">
        <v>33</v>
      </c>
      <c r="C83" s="5" t="s">
        <v>2122</v>
      </c>
      <c r="D83" s="4" t="s">
        <v>2123</v>
      </c>
      <c r="E83" s="6">
        <v>18</v>
      </c>
      <c r="F83" s="6">
        <v>234</v>
      </c>
      <c r="G83" s="6">
        <v>170.7</v>
      </c>
      <c r="H83" s="6" t="s">
        <v>51</v>
      </c>
      <c r="I83" s="7">
        <v>45798</v>
      </c>
      <c r="J83" s="3"/>
      <c r="K83" s="3" t="s">
        <v>62</v>
      </c>
      <c r="L83" s="3"/>
      <c r="M83" s="3"/>
      <c r="N83" s="3"/>
      <c r="O83" s="3"/>
      <c r="P83" s="3"/>
      <c r="Q83" s="6" t="s">
        <v>133</v>
      </c>
      <c r="R83" s="6"/>
      <c r="S83" s="6"/>
      <c r="T83" s="6"/>
      <c r="U83" s="6"/>
      <c r="V83" s="11"/>
      <c r="W83" s="6"/>
      <c r="X83" s="6"/>
      <c r="Y83" s="6"/>
      <c r="Z83" s="6"/>
      <c r="AA83" s="8"/>
      <c r="AB83" s="8"/>
      <c r="AC83" s="6"/>
      <c r="AD83" s="6"/>
      <c r="AE83" s="9"/>
    </row>
    <row r="84" spans="1:31" s="10" customFormat="1" ht="15.75" x14ac:dyDescent="0.25">
      <c r="A84" s="3">
        <v>73</v>
      </c>
      <c r="B84" s="3" t="s">
        <v>33</v>
      </c>
      <c r="C84" s="5" t="s">
        <v>2122</v>
      </c>
      <c r="D84" s="4" t="s">
        <v>2123</v>
      </c>
      <c r="E84" s="6">
        <v>18</v>
      </c>
      <c r="F84" s="6">
        <v>233</v>
      </c>
      <c r="G84" s="6">
        <v>198.4</v>
      </c>
      <c r="H84" s="6" t="s">
        <v>51</v>
      </c>
      <c r="I84" s="7">
        <v>45798</v>
      </c>
      <c r="J84" s="3"/>
      <c r="K84" s="3" t="s">
        <v>62</v>
      </c>
      <c r="L84" s="3"/>
      <c r="M84" s="3"/>
      <c r="N84" s="3"/>
      <c r="O84" s="3"/>
      <c r="P84" s="3"/>
      <c r="Q84" s="6" t="s">
        <v>133</v>
      </c>
      <c r="R84" s="6"/>
      <c r="S84" s="6"/>
      <c r="T84" s="6"/>
      <c r="U84" s="6"/>
      <c r="V84" s="11"/>
      <c r="W84" s="6"/>
      <c r="X84" s="6"/>
      <c r="Y84" s="6"/>
      <c r="Z84" s="6"/>
      <c r="AA84" s="8"/>
      <c r="AB84" s="8"/>
      <c r="AC84" s="6"/>
      <c r="AD84" s="6"/>
      <c r="AE84" s="9"/>
    </row>
    <row r="85" spans="1:31" s="10" customFormat="1" ht="31.5" x14ac:dyDescent="0.25">
      <c r="A85" s="3">
        <v>74</v>
      </c>
      <c r="B85" s="3" t="s">
        <v>33</v>
      </c>
      <c r="C85" s="5" t="s">
        <v>2129</v>
      </c>
      <c r="D85" s="4" t="s">
        <v>2130</v>
      </c>
      <c r="E85" s="6">
        <v>19</v>
      </c>
      <c r="F85" s="6">
        <v>73</v>
      </c>
      <c r="G85" s="6">
        <v>1468.4</v>
      </c>
      <c r="H85" s="6" t="s">
        <v>75</v>
      </c>
      <c r="I85" s="7"/>
      <c r="J85" s="3"/>
      <c r="K85" s="3"/>
      <c r="L85" s="3"/>
      <c r="M85" s="3"/>
      <c r="N85" s="3"/>
      <c r="O85" s="3"/>
      <c r="P85" s="3"/>
      <c r="Q85" s="6" t="s">
        <v>190</v>
      </c>
      <c r="R85" s="6"/>
      <c r="S85" s="6"/>
      <c r="T85" s="6"/>
      <c r="U85" s="6"/>
      <c r="V85" s="11"/>
      <c r="W85" s="6"/>
      <c r="X85" s="6"/>
      <c r="Y85" s="6"/>
      <c r="Z85" s="6" t="s">
        <v>2126</v>
      </c>
      <c r="AA85" s="8" t="s">
        <v>2121</v>
      </c>
      <c r="AB85" s="8"/>
      <c r="AC85" s="6"/>
      <c r="AD85" s="6"/>
      <c r="AE85" s="9"/>
    </row>
    <row r="86" spans="1:31" s="10" customFormat="1" ht="31.5" x14ac:dyDescent="0.25">
      <c r="A86" s="3">
        <v>75</v>
      </c>
      <c r="B86" s="3" t="s">
        <v>33</v>
      </c>
      <c r="C86" s="5" t="s">
        <v>2131</v>
      </c>
      <c r="D86" s="4" t="s">
        <v>519</v>
      </c>
      <c r="E86" s="6">
        <v>18</v>
      </c>
      <c r="F86" s="6">
        <v>206</v>
      </c>
      <c r="G86" s="6">
        <v>952.2</v>
      </c>
      <c r="H86" s="6" t="s">
        <v>51</v>
      </c>
      <c r="I86" s="7">
        <v>45798</v>
      </c>
      <c r="J86" s="3"/>
      <c r="K86" s="3" t="s">
        <v>62</v>
      </c>
      <c r="L86" s="3"/>
      <c r="M86" s="3"/>
      <c r="N86" s="3"/>
      <c r="O86" s="3"/>
      <c r="P86" s="3"/>
      <c r="Q86" s="6" t="s">
        <v>133</v>
      </c>
      <c r="R86" s="6"/>
      <c r="S86" s="6"/>
      <c r="T86" s="6"/>
      <c r="U86" s="6"/>
      <c r="V86" s="11"/>
      <c r="W86" s="6"/>
      <c r="X86" s="6"/>
      <c r="Y86" s="6"/>
      <c r="Z86" s="6"/>
      <c r="AA86" s="8"/>
      <c r="AB86" s="8"/>
      <c r="AC86" s="6"/>
      <c r="AD86" s="6"/>
      <c r="AE86" s="9"/>
    </row>
    <row r="87" spans="1:31" s="10" customFormat="1" ht="15.75" x14ac:dyDescent="0.25">
      <c r="A87" s="3">
        <v>76</v>
      </c>
      <c r="B87" s="3" t="s">
        <v>33</v>
      </c>
      <c r="C87" s="5" t="s">
        <v>2149</v>
      </c>
      <c r="D87" s="4" t="s">
        <v>1537</v>
      </c>
      <c r="E87" s="6">
        <v>37</v>
      </c>
      <c r="F87" s="6">
        <v>76</v>
      </c>
      <c r="G87" s="6">
        <v>1226.4000000000001</v>
      </c>
      <c r="H87" s="6" t="s">
        <v>75</v>
      </c>
      <c r="I87" s="7">
        <v>45798</v>
      </c>
      <c r="J87" s="3" t="s">
        <v>153</v>
      </c>
      <c r="K87" s="3"/>
      <c r="L87" s="3"/>
      <c r="M87" s="3"/>
      <c r="N87" s="3"/>
      <c r="O87" s="3"/>
      <c r="P87" s="3"/>
      <c r="Q87" s="6" t="s">
        <v>133</v>
      </c>
      <c r="R87" s="6"/>
      <c r="S87" s="6"/>
      <c r="T87" s="6"/>
      <c r="U87" s="6"/>
      <c r="V87" s="11"/>
      <c r="W87" s="6"/>
      <c r="X87" s="6"/>
      <c r="Y87" s="6"/>
      <c r="Z87" s="6"/>
      <c r="AA87" s="8"/>
      <c r="AB87" s="8"/>
      <c r="AC87" s="6"/>
      <c r="AD87" s="6"/>
      <c r="AE87" s="9"/>
    </row>
    <row r="88" spans="1:31" s="10" customFormat="1" ht="15.75" x14ac:dyDescent="0.25">
      <c r="A88" s="3">
        <v>77</v>
      </c>
      <c r="B88" s="3" t="s">
        <v>33</v>
      </c>
      <c r="C88" s="5" t="s">
        <v>2154</v>
      </c>
      <c r="D88" s="4" t="s">
        <v>2155</v>
      </c>
      <c r="E88" s="6">
        <v>20</v>
      </c>
      <c r="F88" s="6">
        <v>446</v>
      </c>
      <c r="G88" s="6">
        <v>532.20000000000005</v>
      </c>
      <c r="H88" s="6" t="s">
        <v>75</v>
      </c>
      <c r="I88" s="7">
        <v>45797</v>
      </c>
      <c r="J88" s="3" t="s">
        <v>76</v>
      </c>
      <c r="K88" s="3"/>
      <c r="L88" s="3"/>
      <c r="M88" s="3"/>
      <c r="N88" s="3"/>
      <c r="O88" s="3"/>
      <c r="P88" s="3"/>
      <c r="Q88" s="6" t="s">
        <v>2156</v>
      </c>
      <c r="R88" s="6"/>
      <c r="S88" s="6"/>
      <c r="T88" s="6"/>
      <c r="U88" s="6"/>
      <c r="V88" s="11"/>
      <c r="W88" s="6"/>
      <c r="X88" s="6"/>
      <c r="Y88" s="6"/>
      <c r="Z88" s="6"/>
      <c r="AA88" s="8"/>
      <c r="AB88" s="8"/>
      <c r="AC88" s="6"/>
      <c r="AD88" s="6"/>
      <c r="AE88" s="9"/>
    </row>
    <row r="89" spans="1:31" s="10" customFormat="1" ht="31.5" x14ac:dyDescent="0.25">
      <c r="A89" s="3">
        <v>78</v>
      </c>
      <c r="B89" s="3" t="s">
        <v>33</v>
      </c>
      <c r="C89" s="5" t="s">
        <v>2181</v>
      </c>
      <c r="D89" s="4" t="s">
        <v>2182</v>
      </c>
      <c r="E89" s="6" t="s">
        <v>2183</v>
      </c>
      <c r="F89" s="6" t="s">
        <v>2184</v>
      </c>
      <c r="G89" s="6" t="s">
        <v>2185</v>
      </c>
      <c r="H89" s="6" t="s">
        <v>51</v>
      </c>
      <c r="I89" s="7">
        <v>45799</v>
      </c>
      <c r="J89" s="3"/>
      <c r="K89" s="3"/>
      <c r="L89" s="3" t="s">
        <v>1</v>
      </c>
      <c r="M89" s="3"/>
      <c r="N89" s="3"/>
      <c r="O89" s="3"/>
      <c r="P89" s="3"/>
      <c r="Q89" s="6" t="s">
        <v>133</v>
      </c>
      <c r="R89" s="6"/>
      <c r="S89" s="6"/>
      <c r="T89" s="6"/>
      <c r="U89" s="6"/>
      <c r="V89" s="11"/>
      <c r="W89" s="6"/>
      <c r="X89" s="6"/>
      <c r="Y89" s="6"/>
      <c r="Z89" s="6"/>
      <c r="AA89" s="8"/>
      <c r="AB89" s="8"/>
      <c r="AC89" s="6"/>
      <c r="AD89" s="6"/>
      <c r="AE89" s="9"/>
    </row>
    <row r="90" spans="1:31" ht="16.5" x14ac:dyDescent="0.25">
      <c r="A90" s="12"/>
      <c r="B90" s="73" t="s">
        <v>2208</v>
      </c>
      <c r="C90" s="74"/>
      <c r="D90" s="74"/>
      <c r="E90" s="74"/>
      <c r="F90" s="74"/>
      <c r="G90" s="74"/>
      <c r="H90" s="75"/>
      <c r="I90" s="13"/>
      <c r="J90" s="14">
        <f>COUNTIF(J82:J89,"CT")+COUNTIF(J82:J89,"CQ")</f>
        <v>2</v>
      </c>
      <c r="K90" s="14">
        <f>COUNTIF(K82:K89,"CMĐ")</f>
        <v>4</v>
      </c>
      <c r="L90" s="14">
        <f>COUNTIF(L85:L89,"XMDT")+COUNTIF(L86:L89,"Mốc")</f>
        <v>1</v>
      </c>
      <c r="M90" s="14">
        <f>COUNTIF(M85:M89,"THÁn")</f>
        <v>0</v>
      </c>
      <c r="N90" s="14">
        <f>COUNTIF(N79:N89,"TÒA")</f>
        <v>0</v>
      </c>
      <c r="O90" s="14">
        <f>COUNTIF(O79:O89,"Cấp GCN")</f>
        <v>0</v>
      </c>
      <c r="P90" s="14">
        <f>COUNTIF(P85:P89,"SHN")</f>
        <v>0</v>
      </c>
      <c r="Q90" s="15"/>
      <c r="R90" s="13"/>
      <c r="S90" s="15"/>
      <c r="T90" s="15"/>
      <c r="U90" s="16"/>
      <c r="V90" s="11"/>
      <c r="W90" s="17"/>
      <c r="X90" s="2"/>
      <c r="AD90" s="14" t="e">
        <f>COUNTIF(#REF!,"kt")</f>
        <v>#REF!</v>
      </c>
    </row>
    <row r="91" spans="1:31" s="10" customFormat="1" ht="31.5" x14ac:dyDescent="0.25">
      <c r="A91" s="3">
        <v>79</v>
      </c>
      <c r="B91" s="3" t="s">
        <v>33</v>
      </c>
      <c r="C91" s="5" t="s">
        <v>2248</v>
      </c>
      <c r="D91" s="4" t="s">
        <v>2249</v>
      </c>
      <c r="E91" s="6">
        <v>14</v>
      </c>
      <c r="F91" s="6">
        <v>474</v>
      </c>
      <c r="G91" s="6">
        <v>82.8</v>
      </c>
      <c r="H91" s="6" t="s">
        <v>55</v>
      </c>
      <c r="I91" s="7">
        <v>45804</v>
      </c>
      <c r="J91" s="3"/>
      <c r="K91" s="3"/>
      <c r="L91" s="3"/>
      <c r="M91" s="3"/>
      <c r="N91" s="3"/>
      <c r="O91" s="3"/>
      <c r="P91" s="3" t="s">
        <v>52</v>
      </c>
      <c r="Q91" s="6" t="s">
        <v>133</v>
      </c>
      <c r="R91" s="7">
        <v>45832</v>
      </c>
      <c r="S91" s="7">
        <v>45833</v>
      </c>
      <c r="T91" s="7">
        <v>45833</v>
      </c>
      <c r="U91" s="20">
        <v>1871</v>
      </c>
      <c r="V91" s="11">
        <v>2125468</v>
      </c>
      <c r="W91" s="6"/>
      <c r="X91" s="6"/>
      <c r="Y91" s="6"/>
      <c r="Z91" s="6"/>
      <c r="AA91" s="8"/>
      <c r="AB91" s="8"/>
      <c r="AC91" s="6" t="s">
        <v>2705</v>
      </c>
      <c r="AD91" s="6"/>
      <c r="AE91" s="9"/>
    </row>
    <row r="92" spans="1:31" s="10" customFormat="1" ht="31.5" x14ac:dyDescent="0.25">
      <c r="A92" s="3">
        <v>80</v>
      </c>
      <c r="B92" s="3" t="s">
        <v>33</v>
      </c>
      <c r="C92" s="5" t="s">
        <v>2260</v>
      </c>
      <c r="D92" s="4" t="s">
        <v>1926</v>
      </c>
      <c r="E92" s="6">
        <v>34</v>
      </c>
      <c r="F92" s="6">
        <v>107</v>
      </c>
      <c r="G92" s="6">
        <v>267.60000000000002</v>
      </c>
      <c r="H92" s="6" t="s">
        <v>51</v>
      </c>
      <c r="I92" s="7">
        <v>45789</v>
      </c>
      <c r="J92" s="3"/>
      <c r="K92" s="3" t="s">
        <v>62</v>
      </c>
      <c r="L92" s="3"/>
      <c r="M92" s="3"/>
      <c r="N92" s="3"/>
      <c r="O92" s="3"/>
      <c r="P92" s="3"/>
      <c r="Q92" s="6" t="s">
        <v>133</v>
      </c>
      <c r="R92" s="7">
        <v>45804</v>
      </c>
      <c r="S92" s="7">
        <v>45805</v>
      </c>
      <c r="T92" s="7">
        <v>45805</v>
      </c>
      <c r="U92" s="6">
        <v>1014</v>
      </c>
      <c r="V92" s="11">
        <v>961551</v>
      </c>
      <c r="W92" s="6"/>
      <c r="X92" s="6"/>
      <c r="Y92" s="6"/>
      <c r="Z92" s="6"/>
      <c r="AA92" s="8"/>
      <c r="AB92" s="8"/>
      <c r="AC92" s="6"/>
      <c r="AD92" s="6"/>
      <c r="AE92" s="9"/>
    </row>
    <row r="93" spans="1:31" s="10" customFormat="1" ht="15.75" x14ac:dyDescent="0.25">
      <c r="A93" s="3">
        <v>81</v>
      </c>
      <c r="B93" s="3" t="s">
        <v>33</v>
      </c>
      <c r="C93" s="5" t="s">
        <v>2265</v>
      </c>
      <c r="D93" s="4" t="s">
        <v>2266</v>
      </c>
      <c r="E93" s="6">
        <v>30</v>
      </c>
      <c r="F93" s="6">
        <v>191</v>
      </c>
      <c r="G93" s="6">
        <v>54.5</v>
      </c>
      <c r="H93" s="6" t="s">
        <v>51</v>
      </c>
      <c r="I93" s="7">
        <v>45805</v>
      </c>
      <c r="J93" s="3"/>
      <c r="K93" s="3"/>
      <c r="L93" s="3" t="s">
        <v>1</v>
      </c>
      <c r="M93" s="3"/>
      <c r="N93" s="3"/>
      <c r="O93" s="3"/>
      <c r="P93" s="3"/>
      <c r="Q93" s="6" t="s">
        <v>133</v>
      </c>
      <c r="R93" s="6"/>
      <c r="S93" s="6"/>
      <c r="T93" s="6"/>
      <c r="U93" s="6"/>
      <c r="V93" s="11"/>
      <c r="W93" s="6"/>
      <c r="X93" s="6"/>
      <c r="Y93" s="6"/>
      <c r="Z93" s="6"/>
      <c r="AA93" s="8"/>
      <c r="AB93" s="8"/>
      <c r="AC93" s="6"/>
      <c r="AD93" s="6"/>
      <c r="AE93" s="9"/>
    </row>
    <row r="94" spans="1:31" s="10" customFormat="1" ht="15.75" x14ac:dyDescent="0.25">
      <c r="A94" s="3">
        <v>82</v>
      </c>
      <c r="B94" s="3" t="s">
        <v>33</v>
      </c>
      <c r="C94" s="5" t="s">
        <v>2267</v>
      </c>
      <c r="D94" s="4" t="s">
        <v>2268</v>
      </c>
      <c r="E94" s="6">
        <v>9</v>
      </c>
      <c r="F94" s="6">
        <v>317</v>
      </c>
      <c r="G94" s="6">
        <v>503</v>
      </c>
      <c r="H94" s="6" t="s">
        <v>51</v>
      </c>
      <c r="I94" s="7">
        <v>45805</v>
      </c>
      <c r="J94" s="3"/>
      <c r="K94" s="3" t="s">
        <v>62</v>
      </c>
      <c r="L94" s="3"/>
      <c r="M94" s="3"/>
      <c r="N94" s="3"/>
      <c r="O94" s="3"/>
      <c r="P94" s="3"/>
      <c r="Q94" s="6" t="s">
        <v>133</v>
      </c>
      <c r="R94" s="7">
        <v>45829</v>
      </c>
      <c r="S94" s="7">
        <v>45829</v>
      </c>
      <c r="T94" s="7">
        <v>45829</v>
      </c>
      <c r="U94" s="6">
        <v>1782</v>
      </c>
      <c r="V94" s="11">
        <v>961551</v>
      </c>
      <c r="W94" s="6"/>
      <c r="X94" s="6"/>
      <c r="Y94" s="6"/>
      <c r="Z94" s="6"/>
      <c r="AA94" s="8"/>
      <c r="AB94" s="8"/>
      <c r="AC94" s="6"/>
      <c r="AD94" s="6"/>
      <c r="AE94" s="9"/>
    </row>
    <row r="95" spans="1:31" s="10" customFormat="1" ht="94.5" x14ac:dyDescent="0.25">
      <c r="A95" s="3">
        <v>83</v>
      </c>
      <c r="B95" s="3" t="s">
        <v>33</v>
      </c>
      <c r="C95" s="5" t="s">
        <v>2287</v>
      </c>
      <c r="D95" s="4"/>
      <c r="E95" s="6">
        <v>20</v>
      </c>
      <c r="F95" s="6" t="s">
        <v>2288</v>
      </c>
      <c r="G95" s="6" t="s">
        <v>2289</v>
      </c>
      <c r="H95" s="6" t="s">
        <v>75</v>
      </c>
      <c r="I95" s="7">
        <v>45806</v>
      </c>
      <c r="J95" s="3"/>
      <c r="K95" s="3"/>
      <c r="L95" s="3"/>
      <c r="M95" s="3"/>
      <c r="N95" s="3" t="s">
        <v>56</v>
      </c>
      <c r="O95" s="3"/>
      <c r="P95" s="3"/>
      <c r="Q95" s="6" t="s">
        <v>133</v>
      </c>
      <c r="R95" s="6"/>
      <c r="S95" s="6"/>
      <c r="T95" s="6"/>
      <c r="U95" s="6"/>
      <c r="V95" s="11"/>
      <c r="W95" s="6"/>
      <c r="X95" s="6"/>
      <c r="Y95" s="6"/>
      <c r="Z95" s="6"/>
      <c r="AA95" s="8"/>
      <c r="AB95" s="8"/>
      <c r="AC95" s="6" t="s">
        <v>2290</v>
      </c>
      <c r="AD95" s="6"/>
      <c r="AE95" s="9"/>
    </row>
    <row r="96" spans="1:31" s="10" customFormat="1" ht="47.25" x14ac:dyDescent="0.25">
      <c r="A96" s="3">
        <v>84</v>
      </c>
      <c r="B96" s="3" t="s">
        <v>33</v>
      </c>
      <c r="C96" s="5" t="s">
        <v>2310</v>
      </c>
      <c r="D96" s="4" t="s">
        <v>2311</v>
      </c>
      <c r="E96" s="6">
        <v>50</v>
      </c>
      <c r="F96" s="6">
        <v>24</v>
      </c>
      <c r="G96" s="6"/>
      <c r="H96" s="6"/>
      <c r="I96" s="7">
        <v>45806</v>
      </c>
      <c r="J96" s="3"/>
      <c r="K96" s="3"/>
      <c r="L96" s="3"/>
      <c r="M96" s="3"/>
      <c r="N96" s="3"/>
      <c r="O96" s="3"/>
      <c r="P96" s="3" t="s">
        <v>52</v>
      </c>
      <c r="Q96" s="6" t="s">
        <v>133</v>
      </c>
      <c r="R96" s="6"/>
      <c r="S96" s="6"/>
      <c r="T96" s="6"/>
      <c r="U96" s="6"/>
      <c r="V96" s="11"/>
      <c r="W96" s="6"/>
      <c r="X96" s="6"/>
      <c r="Y96" s="6"/>
      <c r="Z96" s="6"/>
      <c r="AA96" s="8"/>
      <c r="AB96" s="8"/>
      <c r="AC96" s="6" t="s">
        <v>2388</v>
      </c>
      <c r="AD96" s="6"/>
      <c r="AE96" s="9"/>
    </row>
    <row r="97" spans="1:31" ht="16.5" x14ac:dyDescent="0.25">
      <c r="A97" s="12"/>
      <c r="B97" s="73" t="s">
        <v>2324</v>
      </c>
      <c r="C97" s="74"/>
      <c r="D97" s="74"/>
      <c r="E97" s="74"/>
      <c r="F97" s="74"/>
      <c r="G97" s="74"/>
      <c r="H97" s="75"/>
      <c r="I97" s="13"/>
      <c r="J97" s="14">
        <f>COUNTIF(J89:J96,"CT")+COUNTIF(J89:J96,"CQ")</f>
        <v>0</v>
      </c>
      <c r="K97" s="14">
        <f>COUNTIF(K89:K96,"CMĐ")</f>
        <v>2</v>
      </c>
      <c r="L97" s="14">
        <f>COUNTIF(L92:L96,"XMDT")+COUNTIF(L93:L96,"Mốc")</f>
        <v>1</v>
      </c>
      <c r="M97" s="14">
        <f>COUNTIF(M92:M96,"THÁn")</f>
        <v>0</v>
      </c>
      <c r="N97" s="14">
        <f>COUNTIF(N86:N96,"TÒA")</f>
        <v>1</v>
      </c>
      <c r="O97" s="14">
        <f>COUNTIF(O86:O96,"Cấp GCN")</f>
        <v>0</v>
      </c>
      <c r="P97" s="14">
        <f>COUNTIF(P91:P96,"SHN")</f>
        <v>2</v>
      </c>
      <c r="Q97" s="15"/>
      <c r="R97" s="13"/>
      <c r="S97" s="15"/>
      <c r="T97" s="15"/>
      <c r="U97" s="16"/>
      <c r="V97" s="11"/>
      <c r="W97" s="17"/>
      <c r="X97" s="2"/>
      <c r="AD97" s="14" t="e">
        <f>COUNTIF(#REF!,"kt")</f>
        <v>#REF!</v>
      </c>
    </row>
    <row r="98" spans="1:31" s="10" customFormat="1" ht="78.75" x14ac:dyDescent="0.25">
      <c r="A98" s="3">
        <v>85</v>
      </c>
      <c r="B98" s="3" t="s">
        <v>33</v>
      </c>
      <c r="C98" s="5" t="s">
        <v>2338</v>
      </c>
      <c r="D98" s="4" t="s">
        <v>309</v>
      </c>
      <c r="E98" s="6">
        <v>25</v>
      </c>
      <c r="F98" s="6">
        <v>223</v>
      </c>
      <c r="G98" s="6">
        <v>1454.4</v>
      </c>
      <c r="H98" s="6" t="s">
        <v>51</v>
      </c>
      <c r="I98" s="7">
        <v>45811</v>
      </c>
      <c r="J98" s="3"/>
      <c r="K98" s="3" t="s">
        <v>62</v>
      </c>
      <c r="L98" s="3"/>
      <c r="M98" s="3"/>
      <c r="N98" s="3"/>
      <c r="O98" s="3"/>
      <c r="P98" s="3"/>
      <c r="Q98" s="6" t="s">
        <v>133</v>
      </c>
      <c r="R98" s="6"/>
      <c r="S98" s="6"/>
      <c r="T98" s="6"/>
      <c r="U98" s="6"/>
      <c r="V98" s="11"/>
      <c r="W98" s="6"/>
      <c r="X98" s="6"/>
      <c r="Y98" s="6"/>
      <c r="Z98" s="6"/>
      <c r="AA98" s="8"/>
      <c r="AB98" s="8"/>
      <c r="AC98" s="6"/>
      <c r="AD98" s="6"/>
      <c r="AE98" s="9"/>
    </row>
    <row r="99" spans="1:31" s="10" customFormat="1" ht="78.75" x14ac:dyDescent="0.25">
      <c r="A99" s="3">
        <v>86</v>
      </c>
      <c r="B99" s="3" t="s">
        <v>33</v>
      </c>
      <c r="C99" s="5" t="s">
        <v>2338</v>
      </c>
      <c r="D99" s="4" t="s">
        <v>309</v>
      </c>
      <c r="E99" s="6">
        <v>26</v>
      </c>
      <c r="F99" s="6">
        <v>244</v>
      </c>
      <c r="G99" s="6">
        <v>749.8</v>
      </c>
      <c r="H99" s="6" t="s">
        <v>51</v>
      </c>
      <c r="I99" s="7">
        <v>45811</v>
      </c>
      <c r="J99" s="3"/>
      <c r="K99" s="3" t="s">
        <v>62</v>
      </c>
      <c r="L99" s="3"/>
      <c r="M99" s="3"/>
      <c r="N99" s="3"/>
      <c r="O99" s="3"/>
      <c r="P99" s="3"/>
      <c r="Q99" s="6" t="s">
        <v>133</v>
      </c>
      <c r="R99" s="6"/>
      <c r="S99" s="6"/>
      <c r="T99" s="6"/>
      <c r="U99" s="6"/>
      <c r="V99" s="11"/>
      <c r="W99" s="6"/>
      <c r="X99" s="6"/>
      <c r="Y99" s="6"/>
      <c r="Z99" s="6"/>
      <c r="AA99" s="8"/>
      <c r="AB99" s="8"/>
      <c r="AC99" s="6"/>
      <c r="AD99" s="6"/>
      <c r="AE99" s="9"/>
    </row>
    <row r="100" spans="1:31" s="10" customFormat="1" ht="15.75" x14ac:dyDescent="0.25">
      <c r="A100" s="3">
        <v>87</v>
      </c>
      <c r="B100" s="3" t="s">
        <v>33</v>
      </c>
      <c r="C100" s="5" t="s">
        <v>2341</v>
      </c>
      <c r="D100" s="4" t="s">
        <v>2342</v>
      </c>
      <c r="E100" s="6">
        <v>21</v>
      </c>
      <c r="F100" s="6">
        <v>390</v>
      </c>
      <c r="G100" s="6">
        <v>330.8</v>
      </c>
      <c r="H100" s="6" t="s">
        <v>55</v>
      </c>
      <c r="I100" s="7">
        <v>45811</v>
      </c>
      <c r="J100" s="3" t="s">
        <v>76</v>
      </c>
      <c r="K100" s="3"/>
      <c r="L100" s="3"/>
      <c r="M100" s="3"/>
      <c r="N100" s="3"/>
      <c r="O100" s="3"/>
      <c r="P100" s="3"/>
      <c r="Q100" s="6" t="s">
        <v>133</v>
      </c>
      <c r="R100" s="6"/>
      <c r="S100" s="6"/>
      <c r="T100" s="6"/>
      <c r="U100" s="6"/>
      <c r="V100" s="11"/>
      <c r="W100" s="6"/>
      <c r="X100" s="6"/>
      <c r="Y100" s="6"/>
      <c r="Z100" s="6"/>
      <c r="AA100" s="8"/>
      <c r="AB100" s="8"/>
      <c r="AC100" s="6"/>
      <c r="AD100" s="6"/>
      <c r="AE100" s="9"/>
    </row>
    <row r="101" spans="1:31" s="10" customFormat="1" ht="15.75" x14ac:dyDescent="0.25">
      <c r="A101" s="3">
        <v>88</v>
      </c>
      <c r="B101" s="3" t="s">
        <v>33</v>
      </c>
      <c r="C101" s="5" t="s">
        <v>2346</v>
      </c>
      <c r="D101" s="4"/>
      <c r="E101" s="6">
        <v>29</v>
      </c>
      <c r="F101" s="6">
        <v>130</v>
      </c>
      <c r="G101" s="6">
        <v>170.5</v>
      </c>
      <c r="H101" s="6" t="s">
        <v>51</v>
      </c>
      <c r="I101" s="7">
        <v>45811</v>
      </c>
      <c r="J101" s="3"/>
      <c r="K101" s="3" t="s">
        <v>62</v>
      </c>
      <c r="L101" s="3"/>
      <c r="M101" s="3"/>
      <c r="N101" s="3"/>
      <c r="O101" s="3"/>
      <c r="P101" s="3"/>
      <c r="Q101" s="6" t="s">
        <v>133</v>
      </c>
      <c r="R101" s="6" t="s">
        <v>2736</v>
      </c>
      <c r="S101" s="7">
        <v>45835</v>
      </c>
      <c r="T101" s="7">
        <v>45835</v>
      </c>
      <c r="U101" s="6">
        <v>2028</v>
      </c>
      <c r="V101" s="11">
        <v>809727</v>
      </c>
      <c r="W101" s="6"/>
      <c r="X101" s="6"/>
      <c r="Y101" s="6"/>
      <c r="Z101" s="6"/>
      <c r="AA101" s="8"/>
      <c r="AB101" s="8"/>
      <c r="AC101" s="6"/>
      <c r="AD101" s="6"/>
      <c r="AE101" s="9"/>
    </row>
    <row r="102" spans="1:31" s="10" customFormat="1" ht="15.75" x14ac:dyDescent="0.25">
      <c r="A102" s="3">
        <v>89</v>
      </c>
      <c r="B102" s="3" t="s">
        <v>33</v>
      </c>
      <c r="C102" s="5" t="s">
        <v>2739</v>
      </c>
      <c r="D102" s="4"/>
      <c r="E102" s="6">
        <v>29</v>
      </c>
      <c r="F102" s="6">
        <v>127</v>
      </c>
      <c r="G102" s="6">
        <v>195.4</v>
      </c>
      <c r="H102" s="6" t="s">
        <v>51</v>
      </c>
      <c r="I102" s="7">
        <v>45811</v>
      </c>
      <c r="J102" s="3"/>
      <c r="K102" s="3" t="s">
        <v>62</v>
      </c>
      <c r="L102" s="3"/>
      <c r="M102" s="3"/>
      <c r="N102" s="3"/>
      <c r="O102" s="3"/>
      <c r="P102" s="3"/>
      <c r="Q102" s="6" t="s">
        <v>133</v>
      </c>
      <c r="R102" s="7">
        <v>45834</v>
      </c>
      <c r="S102" s="7">
        <v>45835</v>
      </c>
      <c r="T102" s="7">
        <v>45835</v>
      </c>
      <c r="U102" s="6">
        <v>2031</v>
      </c>
      <c r="V102" s="11">
        <v>809727</v>
      </c>
      <c r="W102" s="6"/>
      <c r="X102" s="6"/>
      <c r="Y102" s="6"/>
      <c r="Z102" s="6"/>
      <c r="AA102" s="8"/>
      <c r="AB102" s="8"/>
      <c r="AC102" s="6"/>
      <c r="AD102" s="6"/>
      <c r="AE102" s="9"/>
    </row>
    <row r="103" spans="1:31" s="10" customFormat="1" ht="15.75" x14ac:dyDescent="0.25">
      <c r="A103" s="3">
        <v>90</v>
      </c>
      <c r="B103" s="3" t="s">
        <v>33</v>
      </c>
      <c r="C103" s="5" t="s">
        <v>2739</v>
      </c>
      <c r="D103" s="4"/>
      <c r="E103" s="6">
        <v>33</v>
      </c>
      <c r="F103" s="6">
        <v>12</v>
      </c>
      <c r="G103" s="6">
        <v>245.7</v>
      </c>
      <c r="H103" s="6" t="s">
        <v>51</v>
      </c>
      <c r="I103" s="7">
        <v>45811</v>
      </c>
      <c r="J103" s="3"/>
      <c r="K103" s="3" t="s">
        <v>62</v>
      </c>
      <c r="L103" s="3"/>
      <c r="M103" s="3"/>
      <c r="N103" s="3"/>
      <c r="O103" s="3"/>
      <c r="P103" s="3"/>
      <c r="Q103" s="6" t="s">
        <v>133</v>
      </c>
      <c r="R103" s="7">
        <v>45835</v>
      </c>
      <c r="S103" s="7">
        <v>45835</v>
      </c>
      <c r="T103" s="7">
        <v>45835</v>
      </c>
      <c r="U103" s="6">
        <v>2029</v>
      </c>
      <c r="V103" s="11">
        <v>961551</v>
      </c>
      <c r="W103" s="6"/>
      <c r="X103" s="6"/>
      <c r="Y103" s="6"/>
      <c r="Z103" s="6"/>
      <c r="AA103" s="8"/>
      <c r="AB103" s="8"/>
      <c r="AC103" s="6"/>
      <c r="AD103" s="6"/>
      <c r="AE103" s="9"/>
    </row>
    <row r="104" spans="1:31" s="10" customFormat="1" ht="15.75" x14ac:dyDescent="0.25">
      <c r="A104" s="3">
        <v>91</v>
      </c>
      <c r="B104" s="3" t="s">
        <v>33</v>
      </c>
      <c r="C104" s="5" t="s">
        <v>2364</v>
      </c>
      <c r="D104" s="4" t="s">
        <v>2365</v>
      </c>
      <c r="E104" s="6">
        <v>25</v>
      </c>
      <c r="F104" s="6">
        <v>78</v>
      </c>
      <c r="G104" s="6">
        <v>141.5</v>
      </c>
      <c r="H104" s="6" t="s">
        <v>51</v>
      </c>
      <c r="I104" s="7">
        <v>45812</v>
      </c>
      <c r="J104" s="3"/>
      <c r="K104" s="3"/>
      <c r="L104" s="3" t="s">
        <v>1</v>
      </c>
      <c r="M104" s="3"/>
      <c r="N104" s="3"/>
      <c r="O104" s="3"/>
      <c r="P104" s="3"/>
      <c r="Q104" s="6" t="s">
        <v>133</v>
      </c>
      <c r="R104" s="6"/>
      <c r="S104" s="6"/>
      <c r="T104" s="6"/>
      <c r="U104" s="6"/>
      <c r="V104" s="11"/>
      <c r="W104" s="6"/>
      <c r="X104" s="6"/>
      <c r="Y104" s="6"/>
      <c r="Z104" s="6"/>
      <c r="AA104" s="8"/>
      <c r="AB104" s="8"/>
      <c r="AC104" s="6"/>
      <c r="AD104" s="6"/>
      <c r="AE104" s="9"/>
    </row>
    <row r="105" spans="1:31" s="10" customFormat="1" ht="78.75" x14ac:dyDescent="0.25">
      <c r="A105" s="3">
        <v>92</v>
      </c>
      <c r="B105" s="3" t="s">
        <v>33</v>
      </c>
      <c r="C105" s="5" t="s">
        <v>2338</v>
      </c>
      <c r="D105" s="4" t="s">
        <v>309</v>
      </c>
      <c r="E105" s="6">
        <v>26</v>
      </c>
      <c r="F105" s="6">
        <v>197</v>
      </c>
      <c r="G105" s="6">
        <v>1121</v>
      </c>
      <c r="H105" s="6" t="s">
        <v>51</v>
      </c>
      <c r="I105" s="7">
        <v>45813</v>
      </c>
      <c r="J105" s="3"/>
      <c r="K105" s="3" t="s">
        <v>62</v>
      </c>
      <c r="L105" s="3"/>
      <c r="M105" s="3"/>
      <c r="N105" s="3"/>
      <c r="O105" s="3"/>
      <c r="P105" s="3"/>
      <c r="Q105" s="6" t="s">
        <v>133</v>
      </c>
      <c r="R105" s="6"/>
      <c r="S105" s="6"/>
      <c r="T105" s="6"/>
      <c r="U105" s="6"/>
      <c r="V105" s="11"/>
      <c r="W105" s="6"/>
      <c r="X105" s="6"/>
      <c r="Y105" s="6"/>
      <c r="Z105" s="6"/>
      <c r="AA105" s="8"/>
      <c r="AB105" s="8"/>
      <c r="AC105" s="6"/>
      <c r="AD105" s="6"/>
      <c r="AE105" s="9"/>
    </row>
    <row r="106" spans="1:31" s="10" customFormat="1" ht="78.75" x14ac:dyDescent="0.25">
      <c r="A106" s="3">
        <v>93</v>
      </c>
      <c r="B106" s="3" t="s">
        <v>33</v>
      </c>
      <c r="C106" s="5" t="s">
        <v>2338</v>
      </c>
      <c r="D106" s="4" t="s">
        <v>309</v>
      </c>
      <c r="E106" s="6">
        <v>26</v>
      </c>
      <c r="F106" s="6">
        <v>41</v>
      </c>
      <c r="G106" s="6">
        <v>986.1</v>
      </c>
      <c r="H106" s="6" t="s">
        <v>51</v>
      </c>
      <c r="I106" s="7">
        <v>45813</v>
      </c>
      <c r="J106" s="3"/>
      <c r="K106" s="3" t="s">
        <v>62</v>
      </c>
      <c r="L106" s="3"/>
      <c r="M106" s="3"/>
      <c r="N106" s="3"/>
      <c r="O106" s="3"/>
      <c r="P106" s="3"/>
      <c r="Q106" s="6" t="s">
        <v>133</v>
      </c>
      <c r="R106" s="6"/>
      <c r="S106" s="6"/>
      <c r="T106" s="6"/>
      <c r="U106" s="6"/>
      <c r="V106" s="11"/>
      <c r="W106" s="6"/>
      <c r="X106" s="6"/>
      <c r="Y106" s="6"/>
      <c r="Z106" s="6"/>
      <c r="AA106" s="8"/>
      <c r="AB106" s="8"/>
      <c r="AC106" s="6"/>
      <c r="AD106" s="6"/>
      <c r="AE106" s="9"/>
    </row>
    <row r="107" spans="1:31" ht="16.5" x14ac:dyDescent="0.25">
      <c r="A107" s="12"/>
      <c r="B107" s="73" t="s">
        <v>2377</v>
      </c>
      <c r="C107" s="74"/>
      <c r="D107" s="74"/>
      <c r="E107" s="74"/>
      <c r="F107" s="74"/>
      <c r="G107" s="74"/>
      <c r="H107" s="75"/>
      <c r="I107" s="13"/>
      <c r="J107" s="14">
        <f>COUNTIF(J98:J106,"CT")+COUNTIF(J99:J106,"CQ")</f>
        <v>1</v>
      </c>
      <c r="K107" s="14">
        <f>COUNTIF(K98:K106,"CMĐ")</f>
        <v>7</v>
      </c>
      <c r="L107" s="14">
        <f>COUNTIF(L102:L106,"XMDT")+COUNTIF(L103:L106,"Mốc")</f>
        <v>1</v>
      </c>
      <c r="M107" s="14">
        <f>COUNTIF(M102:M106,"THÁn")</f>
        <v>0</v>
      </c>
      <c r="N107" s="14">
        <f>COUNTIF(N96:N106,"TÒA")</f>
        <v>0</v>
      </c>
      <c r="O107" s="14">
        <f>COUNTIF(O96:O106,"Cấp GCN")</f>
        <v>0</v>
      </c>
      <c r="P107" s="14">
        <f>COUNTIF(P101:P106,"SHN")</f>
        <v>0</v>
      </c>
      <c r="Q107" s="15"/>
      <c r="R107" s="13"/>
      <c r="S107" s="15"/>
      <c r="T107" s="15"/>
      <c r="U107" s="16"/>
      <c r="V107" s="11"/>
      <c r="W107" s="17"/>
      <c r="X107" s="2"/>
      <c r="AD107" s="14" t="e">
        <f>COUNTIF(#REF!,"kt")</f>
        <v>#REF!</v>
      </c>
    </row>
    <row r="108" spans="1:31" s="10" customFormat="1" ht="31.5" x14ac:dyDescent="0.25">
      <c r="A108" s="3">
        <v>94</v>
      </c>
      <c r="B108" s="3" t="s">
        <v>33</v>
      </c>
      <c r="C108" s="5" t="s">
        <v>2384</v>
      </c>
      <c r="D108" s="4" t="s">
        <v>942</v>
      </c>
      <c r="E108" s="6">
        <v>25</v>
      </c>
      <c r="F108" s="6">
        <v>81</v>
      </c>
      <c r="G108" s="6">
        <v>1910.5</v>
      </c>
      <c r="H108" s="6" t="s">
        <v>51</v>
      </c>
      <c r="I108" s="7"/>
      <c r="J108" s="3"/>
      <c r="K108" s="3"/>
      <c r="L108" s="3"/>
      <c r="M108" s="3"/>
      <c r="N108" s="3"/>
      <c r="O108" s="3"/>
      <c r="P108" s="3"/>
      <c r="Q108" s="6" t="s">
        <v>190</v>
      </c>
      <c r="R108" s="6"/>
      <c r="S108" s="6"/>
      <c r="T108" s="6"/>
      <c r="U108" s="6"/>
      <c r="V108" s="11"/>
      <c r="W108" s="6"/>
      <c r="X108" s="6"/>
      <c r="Y108" s="6"/>
      <c r="Z108" s="6" t="s">
        <v>2379</v>
      </c>
      <c r="AA108" s="8" t="s">
        <v>2385</v>
      </c>
      <c r="AB108" s="8"/>
      <c r="AC108" s="6"/>
      <c r="AD108" s="6"/>
      <c r="AE108" s="9"/>
    </row>
    <row r="109" spans="1:31" s="10" customFormat="1" ht="15.75" x14ac:dyDescent="0.25">
      <c r="A109" s="3">
        <v>95</v>
      </c>
      <c r="B109" s="3" t="s">
        <v>33</v>
      </c>
      <c r="C109" s="5" t="s">
        <v>2154</v>
      </c>
      <c r="D109" s="4" t="s">
        <v>2396</v>
      </c>
      <c r="E109" s="6">
        <v>20</v>
      </c>
      <c r="F109" s="6">
        <v>446</v>
      </c>
      <c r="G109" s="6">
        <v>532.20000000000005</v>
      </c>
      <c r="H109" s="6" t="s">
        <v>75</v>
      </c>
      <c r="I109" s="7">
        <v>45813</v>
      </c>
      <c r="J109" s="3"/>
      <c r="K109" s="3" t="s">
        <v>62</v>
      </c>
      <c r="L109" s="3"/>
      <c r="M109" s="3"/>
      <c r="N109" s="3"/>
      <c r="O109" s="3"/>
      <c r="P109" s="3"/>
      <c r="Q109" s="6" t="s">
        <v>133</v>
      </c>
      <c r="R109" s="6"/>
      <c r="S109" s="6"/>
      <c r="T109" s="6"/>
      <c r="U109" s="6"/>
      <c r="V109" s="11"/>
      <c r="W109" s="6"/>
      <c r="X109" s="6"/>
      <c r="Y109" s="6"/>
      <c r="Z109" s="6"/>
      <c r="AA109" s="8"/>
      <c r="AB109" s="8"/>
      <c r="AC109" s="6"/>
      <c r="AD109" s="6"/>
      <c r="AE109" s="9"/>
    </row>
    <row r="110" spans="1:31" s="10" customFormat="1" ht="15.75" x14ac:dyDescent="0.25">
      <c r="A110" s="3">
        <v>96</v>
      </c>
      <c r="B110" s="3" t="s">
        <v>33</v>
      </c>
      <c r="C110" s="5" t="s">
        <v>1093</v>
      </c>
      <c r="D110" s="4" t="s">
        <v>2401</v>
      </c>
      <c r="E110" s="6">
        <v>14</v>
      </c>
      <c r="F110" s="6">
        <v>473</v>
      </c>
      <c r="G110" s="6">
        <v>82.8</v>
      </c>
      <c r="H110" s="6" t="s">
        <v>55</v>
      </c>
      <c r="I110" s="7">
        <v>45813</v>
      </c>
      <c r="J110" s="3"/>
      <c r="K110" s="3"/>
      <c r="L110" s="3"/>
      <c r="M110" s="3"/>
      <c r="N110" s="3"/>
      <c r="O110" s="3"/>
      <c r="P110" s="3" t="s">
        <v>52</v>
      </c>
      <c r="Q110" s="6" t="s">
        <v>133</v>
      </c>
      <c r="R110" s="6"/>
      <c r="S110" s="6"/>
      <c r="T110" s="6"/>
      <c r="U110" s="6"/>
      <c r="V110" s="11"/>
      <c r="W110" s="6"/>
      <c r="X110" s="6"/>
      <c r="Y110" s="6"/>
      <c r="Z110" s="6"/>
      <c r="AA110" s="8"/>
      <c r="AB110" s="8"/>
      <c r="AC110" s="6"/>
      <c r="AD110" s="6"/>
      <c r="AE110" s="9"/>
    </row>
    <row r="111" spans="1:31" s="10" customFormat="1" ht="15.75" x14ac:dyDescent="0.25">
      <c r="A111" s="3">
        <v>97</v>
      </c>
      <c r="B111" s="3" t="s">
        <v>33</v>
      </c>
      <c r="C111" s="5" t="s">
        <v>2407</v>
      </c>
      <c r="D111" s="4" t="s">
        <v>2408</v>
      </c>
      <c r="E111" s="6">
        <v>12</v>
      </c>
      <c r="F111" s="6">
        <v>34</v>
      </c>
      <c r="G111" s="6">
        <v>596.4</v>
      </c>
      <c r="H111" s="6" t="s">
        <v>75</v>
      </c>
      <c r="I111" s="7">
        <v>45817</v>
      </c>
      <c r="J111" s="3"/>
      <c r="K111" s="3"/>
      <c r="L111" s="3" t="s">
        <v>1</v>
      </c>
      <c r="M111" s="3"/>
      <c r="N111" s="3"/>
      <c r="O111" s="3"/>
      <c r="P111" s="3"/>
      <c r="Q111" s="6" t="s">
        <v>133</v>
      </c>
      <c r="R111" s="6"/>
      <c r="S111" s="6"/>
      <c r="T111" s="6"/>
      <c r="U111" s="6"/>
      <c r="V111" s="11"/>
      <c r="W111" s="6"/>
      <c r="X111" s="6"/>
      <c r="Y111" s="6"/>
      <c r="Z111" s="6"/>
      <c r="AA111" s="8"/>
      <c r="AB111" s="8"/>
      <c r="AC111" s="6"/>
      <c r="AD111" s="6"/>
      <c r="AE111" s="9"/>
    </row>
    <row r="112" spans="1:31" s="10" customFormat="1" ht="15.75" x14ac:dyDescent="0.25">
      <c r="A112" s="3">
        <v>98</v>
      </c>
      <c r="B112" s="3" t="s">
        <v>33</v>
      </c>
      <c r="C112" s="5" t="s">
        <v>2420</v>
      </c>
      <c r="D112" s="4" t="s">
        <v>2421</v>
      </c>
      <c r="E112" s="6">
        <v>27</v>
      </c>
      <c r="F112" s="6">
        <v>451</v>
      </c>
      <c r="G112" s="6">
        <v>898.9</v>
      </c>
      <c r="H112" s="6" t="s">
        <v>55</v>
      </c>
      <c r="I112" s="7">
        <v>45817</v>
      </c>
      <c r="J112" s="3" t="s">
        <v>153</v>
      </c>
      <c r="K112" s="3"/>
      <c r="L112" s="3"/>
      <c r="M112" s="3"/>
      <c r="N112" s="3"/>
      <c r="O112" s="3"/>
      <c r="P112" s="3"/>
      <c r="Q112" s="6" t="s">
        <v>133</v>
      </c>
      <c r="R112" s="6"/>
      <c r="S112" s="6"/>
      <c r="T112" s="6"/>
      <c r="U112" s="6"/>
      <c r="V112" s="11"/>
      <c r="W112" s="6"/>
      <c r="X112" s="6"/>
      <c r="Y112" s="6"/>
      <c r="Z112" s="6"/>
      <c r="AA112" s="8"/>
      <c r="AB112" s="8"/>
      <c r="AC112" s="6"/>
      <c r="AD112" s="6"/>
      <c r="AE112" s="9"/>
    </row>
    <row r="113" spans="1:31" s="10" customFormat="1" ht="31.5" x14ac:dyDescent="0.25">
      <c r="A113" s="3">
        <v>99</v>
      </c>
      <c r="B113" s="3" t="s">
        <v>33</v>
      </c>
      <c r="C113" s="5" t="s">
        <v>926</v>
      </c>
      <c r="D113" s="4"/>
      <c r="E113" s="6">
        <v>23</v>
      </c>
      <c r="F113" s="6">
        <v>168</v>
      </c>
      <c r="G113" s="6">
        <v>327.7</v>
      </c>
      <c r="H113" s="6" t="s">
        <v>55</v>
      </c>
      <c r="I113" s="7">
        <v>45817</v>
      </c>
      <c r="J113" s="3" t="s">
        <v>60</v>
      </c>
      <c r="K113" s="3"/>
      <c r="L113" s="3"/>
      <c r="M113" s="3"/>
      <c r="N113" s="3"/>
      <c r="O113" s="3"/>
      <c r="P113" s="3"/>
      <c r="Q113" s="6" t="s">
        <v>133</v>
      </c>
      <c r="R113" s="7">
        <v>45827</v>
      </c>
      <c r="S113" s="7">
        <v>45827</v>
      </c>
      <c r="T113" s="7">
        <v>45827</v>
      </c>
      <c r="U113" s="6">
        <v>1668</v>
      </c>
      <c r="V113" s="11">
        <v>3238907</v>
      </c>
      <c r="W113" s="6"/>
      <c r="X113" s="6"/>
      <c r="Y113" s="6"/>
      <c r="Z113" s="6" t="s">
        <v>2647</v>
      </c>
      <c r="AA113" s="8" t="s">
        <v>2627</v>
      </c>
      <c r="AB113" s="8"/>
      <c r="AC113" s="6"/>
      <c r="AD113" s="6"/>
      <c r="AE113" s="9"/>
    </row>
    <row r="114" spans="1:31" s="10" customFormat="1" ht="31.5" x14ac:dyDescent="0.25">
      <c r="A114" s="3">
        <v>100</v>
      </c>
      <c r="B114" s="3" t="s">
        <v>33</v>
      </c>
      <c r="C114" s="5" t="s">
        <v>2441</v>
      </c>
      <c r="D114" s="4" t="s">
        <v>2442</v>
      </c>
      <c r="E114" s="6">
        <v>20</v>
      </c>
      <c r="F114" s="6">
        <v>255</v>
      </c>
      <c r="G114" s="6">
        <v>855.9</v>
      </c>
      <c r="H114" s="6" t="s">
        <v>51</v>
      </c>
      <c r="I114" s="7">
        <v>45818</v>
      </c>
      <c r="J114" s="3"/>
      <c r="K114" s="3" t="s">
        <v>62</v>
      </c>
      <c r="L114" s="3"/>
      <c r="M114" s="3"/>
      <c r="N114" s="3"/>
      <c r="O114" s="3"/>
      <c r="P114" s="3"/>
      <c r="Q114" s="6" t="s">
        <v>133</v>
      </c>
      <c r="R114" s="7">
        <v>45832</v>
      </c>
      <c r="S114" s="7">
        <v>45832</v>
      </c>
      <c r="T114" s="7">
        <v>45832</v>
      </c>
      <c r="U114" s="6">
        <v>1859</v>
      </c>
      <c r="V114" s="11">
        <v>1923102</v>
      </c>
      <c r="W114" s="6"/>
      <c r="X114" s="6"/>
      <c r="Y114" s="6"/>
      <c r="Z114" s="6"/>
      <c r="AA114" s="8"/>
      <c r="AB114" s="8"/>
      <c r="AC114" s="6"/>
      <c r="AD114" s="6"/>
      <c r="AE114" s="9"/>
    </row>
    <row r="115" spans="1:31" s="10" customFormat="1" ht="31.5" x14ac:dyDescent="0.25">
      <c r="A115" s="3">
        <v>101</v>
      </c>
      <c r="B115" s="3" t="s">
        <v>33</v>
      </c>
      <c r="C115" s="5" t="s">
        <v>2458</v>
      </c>
      <c r="D115" s="4" t="s">
        <v>2190</v>
      </c>
      <c r="E115" s="6">
        <v>8</v>
      </c>
      <c r="F115" s="6">
        <v>161</v>
      </c>
      <c r="G115" s="6">
        <v>1673.7</v>
      </c>
      <c r="H115" s="6" t="s">
        <v>75</v>
      </c>
      <c r="I115" s="7">
        <v>45819</v>
      </c>
      <c r="J115" s="3"/>
      <c r="K115" s="3" t="s">
        <v>62</v>
      </c>
      <c r="L115" s="3"/>
      <c r="M115" s="3"/>
      <c r="N115" s="3"/>
      <c r="O115" s="3"/>
      <c r="P115" s="3"/>
      <c r="Q115" s="6" t="s">
        <v>133</v>
      </c>
      <c r="R115" s="6"/>
      <c r="S115" s="6"/>
      <c r="T115" s="6"/>
      <c r="U115" s="6"/>
      <c r="V115" s="11"/>
      <c r="W115" s="6"/>
      <c r="X115" s="6"/>
      <c r="Y115" s="6"/>
      <c r="Z115" s="6"/>
      <c r="AA115" s="8"/>
      <c r="AB115" s="8"/>
      <c r="AC115" s="6"/>
      <c r="AD115" s="6"/>
      <c r="AE115" s="9"/>
    </row>
    <row r="116" spans="1:31" s="10" customFormat="1" ht="47.25" x14ac:dyDescent="0.25">
      <c r="A116" s="3">
        <v>102</v>
      </c>
      <c r="B116" s="3" t="s">
        <v>33</v>
      </c>
      <c r="C116" s="5" t="s">
        <v>1486</v>
      </c>
      <c r="D116" s="4" t="s">
        <v>2481</v>
      </c>
      <c r="E116" s="6">
        <v>24</v>
      </c>
      <c r="F116" s="6" t="s">
        <v>2482</v>
      </c>
      <c r="G116" s="6" t="s">
        <v>2483</v>
      </c>
      <c r="H116" s="6" t="s">
        <v>199</v>
      </c>
      <c r="I116" s="7" t="s">
        <v>2719</v>
      </c>
      <c r="J116" s="3"/>
      <c r="K116" s="3"/>
      <c r="L116" s="3" t="s">
        <v>1</v>
      </c>
      <c r="M116" s="3"/>
      <c r="N116" s="3"/>
      <c r="O116" s="3"/>
      <c r="P116" s="3"/>
      <c r="Q116" s="6" t="s">
        <v>133</v>
      </c>
      <c r="R116" s="6"/>
      <c r="S116" s="6"/>
      <c r="T116" s="6"/>
      <c r="U116" s="6"/>
      <c r="V116" s="11"/>
      <c r="W116" s="6"/>
      <c r="X116" s="6"/>
      <c r="Y116" s="6"/>
      <c r="Z116" s="6"/>
      <c r="AA116" s="8"/>
      <c r="AB116" s="8"/>
      <c r="AC116" s="6"/>
      <c r="AD116" s="6"/>
      <c r="AE116" s="9"/>
    </row>
    <row r="117" spans="1:31" s="10" customFormat="1" ht="31.5" x14ac:dyDescent="0.25">
      <c r="A117" s="3">
        <v>103</v>
      </c>
      <c r="B117" s="3" t="s">
        <v>33</v>
      </c>
      <c r="C117" s="5" t="s">
        <v>2510</v>
      </c>
      <c r="D117" s="4" t="s">
        <v>2511</v>
      </c>
      <c r="E117" s="6">
        <v>21</v>
      </c>
      <c r="F117" s="6">
        <v>98</v>
      </c>
      <c r="G117" s="6">
        <v>609.79999999999995</v>
      </c>
      <c r="H117" s="6" t="s">
        <v>75</v>
      </c>
      <c r="I117" s="7">
        <v>45821</v>
      </c>
      <c r="J117" s="3" t="s">
        <v>76</v>
      </c>
      <c r="K117" s="3"/>
      <c r="L117" s="3"/>
      <c r="M117" s="3"/>
      <c r="N117" s="3"/>
      <c r="O117" s="3"/>
      <c r="P117" s="3"/>
      <c r="Q117" s="6" t="s">
        <v>133</v>
      </c>
      <c r="R117" s="6"/>
      <c r="S117" s="6"/>
      <c r="T117" s="6"/>
      <c r="U117" s="6"/>
      <c r="V117" s="11"/>
      <c r="W117" s="6"/>
      <c r="X117" s="6"/>
      <c r="Y117" s="6"/>
      <c r="Z117" s="6"/>
      <c r="AA117" s="8"/>
      <c r="AB117" s="8"/>
      <c r="AC117" s="6"/>
      <c r="AD117" s="6"/>
      <c r="AE117" s="9"/>
    </row>
    <row r="118" spans="1:31" ht="16.5" x14ac:dyDescent="0.25">
      <c r="A118" s="12"/>
      <c r="B118" s="73" t="s">
        <v>2523</v>
      </c>
      <c r="C118" s="74"/>
      <c r="D118" s="74"/>
      <c r="E118" s="74"/>
      <c r="F118" s="74"/>
      <c r="G118" s="74"/>
      <c r="H118" s="75"/>
      <c r="I118" s="13"/>
      <c r="J118" s="14">
        <f>COUNTIF(J108:J117,"CN")+COUNTIF(J108:J117,"CQ")+COUNTIF(J108:J117,"CT")</f>
        <v>3</v>
      </c>
      <c r="K118" s="14">
        <f>COUNTIF(K109:K117,"CMĐ")</f>
        <v>3</v>
      </c>
      <c r="L118" s="14">
        <f>COUNTIF(L108:L117,"XMDT")+COUNTIF(L114:L117,"Mốc")</f>
        <v>2</v>
      </c>
      <c r="M118" s="14">
        <f>COUNTIF(M113:M117,"THÁn")</f>
        <v>0</v>
      </c>
      <c r="N118" s="14">
        <f>COUNTIF(N107:N117,"TÒA")</f>
        <v>0</v>
      </c>
      <c r="O118" s="14">
        <f>COUNTIF(O107:O117,"Cấp GCN")</f>
        <v>0</v>
      </c>
      <c r="P118" s="14">
        <f>COUNTIF(P108:P117,"SHN")</f>
        <v>1</v>
      </c>
      <c r="Q118" s="15"/>
      <c r="R118" s="13"/>
      <c r="S118" s="15"/>
      <c r="T118" s="15"/>
      <c r="U118" s="16"/>
      <c r="V118" s="11"/>
      <c r="W118" s="17"/>
      <c r="X118" s="2"/>
      <c r="AD118" s="14" t="e">
        <f>COUNTIF(#REF!,"kt")</f>
        <v>#REF!</v>
      </c>
    </row>
    <row r="119" spans="1:31" s="10" customFormat="1" ht="15.75" x14ac:dyDescent="0.25">
      <c r="A119" s="3">
        <v>104</v>
      </c>
      <c r="B119" s="3" t="s">
        <v>33</v>
      </c>
      <c r="C119" s="5" t="s">
        <v>2540</v>
      </c>
      <c r="D119" s="4" t="s">
        <v>2541</v>
      </c>
      <c r="E119" s="6">
        <v>23</v>
      </c>
      <c r="F119" s="6">
        <v>72</v>
      </c>
      <c r="G119" s="6">
        <v>1322.1</v>
      </c>
      <c r="H119" s="6" t="s">
        <v>51</v>
      </c>
      <c r="I119" s="7">
        <v>45825</v>
      </c>
      <c r="J119" s="3" t="s">
        <v>76</v>
      </c>
      <c r="K119" s="3"/>
      <c r="L119" s="3"/>
      <c r="M119" s="3"/>
      <c r="N119" s="3"/>
      <c r="O119" s="3"/>
      <c r="P119" s="3"/>
      <c r="Q119" s="6" t="s">
        <v>133</v>
      </c>
      <c r="R119" s="6"/>
      <c r="S119" s="6"/>
      <c r="T119" s="6"/>
      <c r="U119" s="6"/>
      <c r="V119" s="11"/>
      <c r="W119" s="6"/>
      <c r="X119" s="6"/>
      <c r="Y119" s="6"/>
      <c r="Z119" s="6"/>
      <c r="AA119" s="8"/>
      <c r="AB119" s="8"/>
      <c r="AC119" s="6"/>
      <c r="AD119" s="6"/>
      <c r="AE119" s="9"/>
    </row>
    <row r="120" spans="1:31" s="10" customFormat="1" ht="15.75" x14ac:dyDescent="0.25">
      <c r="A120" s="3">
        <v>105</v>
      </c>
      <c r="B120" s="3" t="s">
        <v>33</v>
      </c>
      <c r="C120" s="5" t="s">
        <v>2557</v>
      </c>
      <c r="D120" s="4" t="s">
        <v>2558</v>
      </c>
      <c r="E120" s="6">
        <v>26</v>
      </c>
      <c r="F120" s="6">
        <v>68</v>
      </c>
      <c r="G120" s="6">
        <v>1629.2</v>
      </c>
      <c r="H120" s="6" t="s">
        <v>51</v>
      </c>
      <c r="I120" s="7">
        <v>45825</v>
      </c>
      <c r="J120" s="3"/>
      <c r="K120" s="3" t="s">
        <v>62</v>
      </c>
      <c r="L120" s="3"/>
      <c r="M120" s="3"/>
      <c r="N120" s="3"/>
      <c r="O120" s="3"/>
      <c r="P120" s="3"/>
      <c r="Q120" s="6" t="s">
        <v>133</v>
      </c>
      <c r="R120" s="6"/>
      <c r="S120" s="6"/>
      <c r="T120" s="6"/>
      <c r="U120" s="6"/>
      <c r="V120" s="11"/>
      <c r="W120" s="6"/>
      <c r="X120" s="6"/>
      <c r="Y120" s="6"/>
      <c r="Z120" s="6"/>
      <c r="AA120" s="8"/>
      <c r="AB120" s="8"/>
      <c r="AC120" s="6"/>
      <c r="AD120" s="6"/>
      <c r="AE120" s="9"/>
    </row>
    <row r="121" spans="1:31" s="10" customFormat="1" ht="31.5" x14ac:dyDescent="0.25">
      <c r="A121" s="3">
        <v>106</v>
      </c>
      <c r="B121" s="3" t="s">
        <v>33</v>
      </c>
      <c r="C121" s="5" t="s">
        <v>2570</v>
      </c>
      <c r="D121" s="4"/>
      <c r="E121" s="6">
        <v>25</v>
      </c>
      <c r="F121" s="6">
        <v>158</v>
      </c>
      <c r="G121" s="3">
        <v>1000.3</v>
      </c>
      <c r="H121" s="3" t="s">
        <v>51</v>
      </c>
      <c r="I121" s="7"/>
      <c r="J121" s="3"/>
      <c r="K121" s="3"/>
      <c r="L121" s="3"/>
      <c r="M121" s="3"/>
      <c r="N121" s="3"/>
      <c r="O121" s="3"/>
      <c r="P121" s="3"/>
      <c r="Q121" s="6" t="s">
        <v>2571</v>
      </c>
      <c r="R121" s="7">
        <v>44923</v>
      </c>
      <c r="S121" s="6"/>
      <c r="T121" s="6"/>
      <c r="U121" s="6"/>
      <c r="V121" s="11"/>
      <c r="W121" s="6"/>
      <c r="X121" s="6"/>
      <c r="Y121" s="6"/>
      <c r="Z121" s="6" t="s">
        <v>2567</v>
      </c>
      <c r="AA121" s="8" t="s">
        <v>2574</v>
      </c>
      <c r="AB121" s="8"/>
      <c r="AC121" s="6" t="s">
        <v>2573</v>
      </c>
      <c r="AD121" s="6"/>
      <c r="AE121" s="9"/>
    </row>
    <row r="122" spans="1:31" s="10" customFormat="1" ht="31.5" x14ac:dyDescent="0.25">
      <c r="A122" s="3">
        <v>107</v>
      </c>
      <c r="B122" s="3" t="s">
        <v>33</v>
      </c>
      <c r="C122" s="5" t="s">
        <v>2570</v>
      </c>
      <c r="D122" s="4"/>
      <c r="E122" s="6">
        <v>25</v>
      </c>
      <c r="F122" s="6">
        <v>157</v>
      </c>
      <c r="G122" s="3">
        <v>1000.3</v>
      </c>
      <c r="H122" s="3" t="s">
        <v>51</v>
      </c>
      <c r="I122" s="7"/>
      <c r="J122" s="3"/>
      <c r="K122" s="3"/>
      <c r="L122" s="3"/>
      <c r="M122" s="3"/>
      <c r="N122" s="3"/>
      <c r="O122" s="3"/>
      <c r="P122" s="3"/>
      <c r="Q122" s="6" t="s">
        <v>2571</v>
      </c>
      <c r="R122" s="7">
        <v>44923</v>
      </c>
      <c r="S122" s="6"/>
      <c r="T122" s="6"/>
      <c r="U122" s="6"/>
      <c r="V122" s="11"/>
      <c r="W122" s="6"/>
      <c r="X122" s="6"/>
      <c r="Y122" s="6"/>
      <c r="Z122" s="6" t="s">
        <v>2567</v>
      </c>
      <c r="AA122" s="8" t="s">
        <v>2574</v>
      </c>
      <c r="AB122" s="8"/>
      <c r="AC122" s="6" t="s">
        <v>2573</v>
      </c>
      <c r="AD122" s="6"/>
      <c r="AE122" s="9"/>
    </row>
    <row r="123" spans="1:31" s="10" customFormat="1" ht="31.5" x14ac:dyDescent="0.25">
      <c r="A123" s="3">
        <v>108</v>
      </c>
      <c r="B123" s="3" t="s">
        <v>33</v>
      </c>
      <c r="C123" s="5" t="s">
        <v>2570</v>
      </c>
      <c r="D123" s="4"/>
      <c r="E123" s="6">
        <v>25</v>
      </c>
      <c r="F123" s="6">
        <v>156</v>
      </c>
      <c r="G123" s="3">
        <v>1000.1</v>
      </c>
      <c r="H123" s="3" t="s">
        <v>51</v>
      </c>
      <c r="I123" s="7"/>
      <c r="J123" s="3"/>
      <c r="K123" s="3"/>
      <c r="L123" s="3"/>
      <c r="M123" s="3"/>
      <c r="N123" s="3"/>
      <c r="O123" s="3"/>
      <c r="P123" s="3"/>
      <c r="Q123" s="6" t="s">
        <v>2571</v>
      </c>
      <c r="R123" s="7">
        <v>44923</v>
      </c>
      <c r="S123" s="6"/>
      <c r="T123" s="6"/>
      <c r="U123" s="6"/>
      <c r="V123" s="11"/>
      <c r="W123" s="6"/>
      <c r="X123" s="6"/>
      <c r="Y123" s="6"/>
      <c r="Z123" s="6" t="s">
        <v>2567</v>
      </c>
      <c r="AA123" s="8" t="s">
        <v>2574</v>
      </c>
      <c r="AB123" s="8"/>
      <c r="AC123" s="6" t="s">
        <v>2573</v>
      </c>
      <c r="AD123" s="6"/>
      <c r="AE123" s="9"/>
    </row>
    <row r="124" spans="1:31" s="10" customFormat="1" ht="15.75" x14ac:dyDescent="0.25">
      <c r="A124" s="3">
        <v>109</v>
      </c>
      <c r="B124" s="3" t="s">
        <v>33</v>
      </c>
      <c r="C124" s="5" t="s">
        <v>2590</v>
      </c>
      <c r="D124" s="4"/>
      <c r="E124" s="6">
        <v>27</v>
      </c>
      <c r="F124" s="6">
        <v>47</v>
      </c>
      <c r="G124" s="6">
        <v>1039.5</v>
      </c>
      <c r="H124" s="6" t="s">
        <v>51</v>
      </c>
      <c r="I124" s="7">
        <v>45826</v>
      </c>
      <c r="J124" s="3"/>
      <c r="K124" s="3" t="s">
        <v>62</v>
      </c>
      <c r="L124" s="3"/>
      <c r="M124" s="3"/>
      <c r="N124" s="3"/>
      <c r="O124" s="3"/>
      <c r="P124" s="3"/>
      <c r="Q124" s="6" t="s">
        <v>133</v>
      </c>
      <c r="R124" s="7">
        <v>45835</v>
      </c>
      <c r="S124" s="6"/>
      <c r="T124" s="6"/>
      <c r="U124" s="6"/>
      <c r="V124" s="11"/>
      <c r="W124" s="6"/>
      <c r="X124" s="6"/>
      <c r="Y124" s="6"/>
      <c r="Z124" s="6"/>
      <c r="AA124" s="8"/>
      <c r="AB124" s="8"/>
      <c r="AC124" s="6"/>
      <c r="AD124" s="6"/>
      <c r="AE124" s="9"/>
    </row>
    <row r="125" spans="1:31" s="10" customFormat="1" ht="15.75" x14ac:dyDescent="0.25">
      <c r="A125" s="3">
        <v>110</v>
      </c>
      <c r="B125" s="3" t="s">
        <v>33</v>
      </c>
      <c r="C125" s="5" t="s">
        <v>2591</v>
      </c>
      <c r="D125" s="4"/>
      <c r="E125" s="6">
        <v>14</v>
      </c>
      <c r="F125" s="6">
        <v>464</v>
      </c>
      <c r="G125" s="6">
        <v>82.9</v>
      </c>
      <c r="H125" s="6" t="s">
        <v>55</v>
      </c>
      <c r="I125" s="7">
        <v>45826</v>
      </c>
      <c r="J125" s="3"/>
      <c r="K125" s="3"/>
      <c r="L125" s="3"/>
      <c r="M125" s="3"/>
      <c r="N125" s="3"/>
      <c r="O125" s="3"/>
      <c r="P125" s="3" t="s">
        <v>52</v>
      </c>
      <c r="Q125" s="6" t="s">
        <v>133</v>
      </c>
      <c r="R125" s="7">
        <v>45838</v>
      </c>
      <c r="S125" s="6"/>
      <c r="T125" s="6"/>
      <c r="U125" s="6"/>
      <c r="V125" s="11"/>
      <c r="W125" s="6"/>
      <c r="X125" s="6"/>
      <c r="Y125" s="6"/>
      <c r="Z125" s="6"/>
      <c r="AA125" s="8"/>
      <c r="AB125" s="8"/>
      <c r="AC125" s="6"/>
      <c r="AD125" s="6"/>
      <c r="AE125" s="9"/>
    </row>
    <row r="126" spans="1:31" s="10" customFormat="1" ht="15.75" x14ac:dyDescent="0.25">
      <c r="A126" s="3">
        <v>111</v>
      </c>
      <c r="B126" s="3" t="s">
        <v>33</v>
      </c>
      <c r="C126" s="5" t="s">
        <v>2606</v>
      </c>
      <c r="D126" s="4" t="s">
        <v>2607</v>
      </c>
      <c r="E126" s="6">
        <v>29</v>
      </c>
      <c r="F126" s="6">
        <v>205</v>
      </c>
      <c r="G126" s="6">
        <v>1014.1</v>
      </c>
      <c r="H126" s="6" t="s">
        <v>51</v>
      </c>
      <c r="I126" s="7">
        <v>45827</v>
      </c>
      <c r="J126" s="3" t="s">
        <v>153</v>
      </c>
      <c r="K126" s="3"/>
      <c r="L126" s="3"/>
      <c r="M126" s="3"/>
      <c r="N126" s="3"/>
      <c r="O126" s="3"/>
      <c r="P126" s="3"/>
      <c r="Q126" s="6" t="s">
        <v>133</v>
      </c>
      <c r="R126" s="6"/>
      <c r="S126" s="6"/>
      <c r="T126" s="6"/>
      <c r="U126" s="6"/>
      <c r="V126" s="11"/>
      <c r="W126" s="6"/>
      <c r="X126" s="6"/>
      <c r="Y126" s="6"/>
      <c r="Z126" s="6"/>
      <c r="AA126" s="8"/>
      <c r="AB126" s="8"/>
      <c r="AC126" s="6"/>
      <c r="AD126" s="6"/>
      <c r="AE126" s="9"/>
    </row>
    <row r="127" spans="1:31" s="10" customFormat="1" ht="15.75" x14ac:dyDescent="0.25">
      <c r="A127" s="3">
        <v>112</v>
      </c>
      <c r="B127" s="3" t="s">
        <v>33</v>
      </c>
      <c r="C127" s="5" t="s">
        <v>2632</v>
      </c>
      <c r="D127" s="4" t="s">
        <v>2633</v>
      </c>
      <c r="E127" s="6">
        <v>19</v>
      </c>
      <c r="F127" s="6">
        <v>35</v>
      </c>
      <c r="G127" s="6">
        <v>541</v>
      </c>
      <c r="H127" s="6" t="s">
        <v>75</v>
      </c>
      <c r="I127" s="7">
        <v>45827</v>
      </c>
      <c r="J127" s="3" t="s">
        <v>823</v>
      </c>
      <c r="K127" s="3"/>
      <c r="L127" s="3"/>
      <c r="M127" s="3"/>
      <c r="N127" s="3"/>
      <c r="O127" s="3"/>
      <c r="P127" s="3"/>
      <c r="Q127" s="6" t="s">
        <v>133</v>
      </c>
      <c r="R127" s="6"/>
      <c r="S127" s="6"/>
      <c r="T127" s="6"/>
      <c r="U127" s="6"/>
      <c r="V127" s="11"/>
      <c r="W127" s="6"/>
      <c r="X127" s="6"/>
      <c r="Y127" s="6"/>
      <c r="Z127" s="6"/>
      <c r="AA127" s="8"/>
      <c r="AB127" s="8"/>
      <c r="AC127" s="6"/>
      <c r="AD127" s="6"/>
      <c r="AE127" s="9"/>
    </row>
    <row r="128" spans="1:31" ht="16.5" x14ac:dyDescent="0.25">
      <c r="A128" s="12"/>
      <c r="B128" s="73" t="s">
        <v>2655</v>
      </c>
      <c r="C128" s="74"/>
      <c r="D128" s="74"/>
      <c r="E128" s="74"/>
      <c r="F128" s="74"/>
      <c r="G128" s="74"/>
      <c r="H128" s="75"/>
      <c r="I128" s="13"/>
      <c r="J128" s="14">
        <f>COUNTIF(J119:J127,"IG")+COUNTIF(J119:J127,"CQ")+COUNTIF(J119:J127,"CT")</f>
        <v>3</v>
      </c>
      <c r="K128" s="14">
        <f>COUNTIF(K119:K127,"CMĐ")</f>
        <v>2</v>
      </c>
      <c r="L128" s="14">
        <f>COUNTIF(L118:L127,"XMDT")+COUNTIF(L124:L127,"Mốc")</f>
        <v>0</v>
      </c>
      <c r="M128" s="14">
        <f>COUNTIF(M123:M127,"THÁn")</f>
        <v>0</v>
      </c>
      <c r="N128" s="14">
        <f>COUNTIF(N117:N127,"TÒA")</f>
        <v>0</v>
      </c>
      <c r="O128" s="14">
        <f>COUNTIF(O117:O127,"Cấp GCN")</f>
        <v>0</v>
      </c>
      <c r="P128" s="14">
        <f>COUNTIF(P118:P127,"SHN")</f>
        <v>1</v>
      </c>
      <c r="Q128" s="15"/>
      <c r="R128" s="13"/>
      <c r="S128" s="15"/>
      <c r="T128" s="15"/>
      <c r="U128" s="16"/>
      <c r="V128" s="11"/>
      <c r="W128" s="17"/>
      <c r="X128" s="2"/>
      <c r="AD128" s="14" t="e">
        <f>COUNTIF(#REF!,"kt")</f>
        <v>#REF!</v>
      </c>
    </row>
    <row r="129" spans="1:31" s="10" customFormat="1" ht="31.5" x14ac:dyDescent="0.25">
      <c r="A129" s="3">
        <v>113</v>
      </c>
      <c r="B129" s="3" t="s">
        <v>33</v>
      </c>
      <c r="C129" s="5" t="s">
        <v>2682</v>
      </c>
      <c r="D129" s="4" t="s">
        <v>2683</v>
      </c>
      <c r="E129" s="6">
        <v>15</v>
      </c>
      <c r="F129" s="6">
        <v>147</v>
      </c>
      <c r="G129" s="6">
        <v>1223.9000000000001</v>
      </c>
      <c r="H129" s="6" t="s">
        <v>51</v>
      </c>
      <c r="I129" s="7">
        <v>45832</v>
      </c>
      <c r="J129" s="3"/>
      <c r="K129" s="3" t="s">
        <v>62</v>
      </c>
      <c r="L129" s="3"/>
      <c r="M129" s="3"/>
      <c r="N129" s="3"/>
      <c r="O129" s="3"/>
      <c r="P129" s="3"/>
      <c r="Q129" s="6" t="s">
        <v>133</v>
      </c>
      <c r="R129" s="6"/>
      <c r="S129" s="6"/>
      <c r="T129" s="6"/>
      <c r="U129" s="6"/>
      <c r="V129" s="11"/>
      <c r="W129" s="6"/>
      <c r="X129" s="6"/>
      <c r="Y129" s="6"/>
      <c r="Z129" s="6"/>
      <c r="AA129" s="8"/>
      <c r="AB129" s="8"/>
      <c r="AC129" s="6"/>
      <c r="AD129" s="6"/>
      <c r="AE129" s="9"/>
    </row>
    <row r="130" spans="1:31" s="10" customFormat="1" ht="15.75" x14ac:dyDescent="0.25">
      <c r="A130" s="3">
        <v>114</v>
      </c>
      <c r="B130" s="3" t="s">
        <v>33</v>
      </c>
      <c r="C130" s="5"/>
      <c r="D130" s="4"/>
      <c r="E130" s="6"/>
      <c r="F130" s="6"/>
      <c r="G130" s="6"/>
      <c r="H130" s="6"/>
      <c r="I130" s="7"/>
      <c r="J130" s="3"/>
      <c r="K130" s="3"/>
      <c r="L130" s="3"/>
      <c r="M130" s="3"/>
      <c r="N130" s="3"/>
      <c r="O130" s="3"/>
      <c r="P130" s="3"/>
      <c r="Q130" s="6"/>
      <c r="R130" s="6"/>
      <c r="S130" s="6"/>
      <c r="T130" s="6"/>
      <c r="U130" s="6"/>
      <c r="V130" s="11"/>
      <c r="W130" s="6"/>
      <c r="X130" s="6"/>
      <c r="Y130" s="6"/>
      <c r="Z130" s="6"/>
      <c r="AA130" s="8"/>
      <c r="AB130" s="8"/>
      <c r="AC130" s="6"/>
      <c r="AD130" s="6"/>
      <c r="AE130" s="9"/>
    </row>
    <row r="131" spans="1:31" s="10" customFormat="1" ht="15.75" x14ac:dyDescent="0.25">
      <c r="A131" s="3">
        <v>115</v>
      </c>
      <c r="B131" s="3" t="s">
        <v>33</v>
      </c>
      <c r="C131" s="5"/>
      <c r="D131" s="4"/>
      <c r="E131" s="6"/>
      <c r="F131" s="6"/>
      <c r="G131" s="6"/>
      <c r="H131" s="6"/>
      <c r="I131" s="7"/>
      <c r="J131" s="3"/>
      <c r="K131" s="3"/>
      <c r="L131" s="3"/>
      <c r="M131" s="3"/>
      <c r="N131" s="3"/>
      <c r="O131" s="3"/>
      <c r="P131" s="3"/>
      <c r="Q131" s="6"/>
      <c r="R131" s="6"/>
      <c r="S131" s="6"/>
      <c r="T131" s="6"/>
      <c r="U131" s="6"/>
      <c r="V131" s="11"/>
      <c r="W131" s="6"/>
      <c r="X131" s="6"/>
      <c r="Y131" s="6"/>
      <c r="Z131" s="6"/>
      <c r="AA131" s="8"/>
      <c r="AB131" s="8"/>
      <c r="AC131" s="6"/>
      <c r="AD131" s="6"/>
      <c r="AE131" s="9"/>
    </row>
    <row r="132" spans="1:31" s="10" customFormat="1" ht="15.75" x14ac:dyDescent="0.25">
      <c r="A132" s="3">
        <v>116</v>
      </c>
      <c r="B132" s="3" t="s">
        <v>33</v>
      </c>
      <c r="C132" s="5"/>
      <c r="D132" s="4"/>
      <c r="E132" s="6"/>
      <c r="F132" s="6"/>
      <c r="G132" s="6"/>
      <c r="H132" s="6"/>
      <c r="I132" s="7"/>
      <c r="J132" s="3"/>
      <c r="K132" s="3"/>
      <c r="L132" s="3"/>
      <c r="M132" s="3"/>
      <c r="N132" s="3"/>
      <c r="O132" s="3"/>
      <c r="P132" s="3"/>
      <c r="Q132" s="6"/>
      <c r="R132" s="6"/>
      <c r="S132" s="6"/>
      <c r="T132" s="6"/>
      <c r="U132" s="6"/>
      <c r="V132" s="11"/>
      <c r="W132" s="6"/>
      <c r="X132" s="6"/>
      <c r="Y132" s="6"/>
      <c r="Z132" s="6"/>
      <c r="AA132" s="8"/>
      <c r="AB132" s="8"/>
      <c r="AC132" s="6"/>
      <c r="AD132" s="6"/>
      <c r="AE132" s="9"/>
    </row>
    <row r="133" spans="1:31" s="10" customFormat="1" ht="15.75" x14ac:dyDescent="0.25">
      <c r="A133" s="3">
        <v>117</v>
      </c>
      <c r="B133" s="3" t="s">
        <v>33</v>
      </c>
      <c r="C133" s="5"/>
      <c r="D133" s="4"/>
      <c r="E133" s="6"/>
      <c r="F133" s="6"/>
      <c r="G133" s="6"/>
      <c r="H133" s="6"/>
      <c r="I133" s="7"/>
      <c r="J133" s="3"/>
      <c r="K133" s="3"/>
      <c r="L133" s="3"/>
      <c r="M133" s="3"/>
      <c r="N133" s="3"/>
      <c r="O133" s="3"/>
      <c r="P133" s="3"/>
      <c r="Q133" s="6"/>
      <c r="R133" s="6"/>
      <c r="S133" s="6"/>
      <c r="T133" s="6"/>
      <c r="U133" s="6"/>
      <c r="V133" s="11"/>
      <c r="W133" s="6"/>
      <c r="X133" s="6"/>
      <c r="Y133" s="6"/>
      <c r="Z133" s="6"/>
      <c r="AA133" s="8"/>
      <c r="AB133" s="8"/>
      <c r="AC133" s="6"/>
      <c r="AD133" s="6"/>
      <c r="AE133" s="9"/>
    </row>
    <row r="134" spans="1:31" s="10" customFormat="1" ht="15.75" x14ac:dyDescent="0.25">
      <c r="A134" s="3">
        <v>118</v>
      </c>
      <c r="B134" s="3" t="s">
        <v>33</v>
      </c>
      <c r="C134" s="5"/>
      <c r="D134" s="4"/>
      <c r="E134" s="6"/>
      <c r="F134" s="6"/>
      <c r="G134" s="6"/>
      <c r="H134" s="6"/>
      <c r="I134" s="7"/>
      <c r="J134" s="3"/>
      <c r="K134" s="3"/>
      <c r="L134" s="3"/>
      <c r="M134" s="3"/>
      <c r="N134" s="3"/>
      <c r="O134" s="3"/>
      <c r="P134" s="3"/>
      <c r="Q134" s="6"/>
      <c r="R134" s="6"/>
      <c r="S134" s="6"/>
      <c r="T134" s="6"/>
      <c r="U134" s="6"/>
      <c r="V134" s="11"/>
      <c r="W134" s="6"/>
      <c r="X134" s="6"/>
      <c r="Y134" s="6"/>
      <c r="Z134" s="6"/>
      <c r="AA134" s="8"/>
      <c r="AB134" s="8"/>
      <c r="AC134" s="6"/>
      <c r="AD134" s="6"/>
      <c r="AE134" s="9"/>
    </row>
    <row r="135" spans="1:31" s="10" customFormat="1" ht="15.75" x14ac:dyDescent="0.25">
      <c r="A135" s="3">
        <v>119</v>
      </c>
      <c r="B135" s="3" t="s">
        <v>33</v>
      </c>
      <c r="C135" s="5"/>
      <c r="D135" s="4"/>
      <c r="E135" s="6"/>
      <c r="F135" s="6"/>
      <c r="G135" s="6"/>
      <c r="H135" s="6"/>
      <c r="I135" s="7"/>
      <c r="J135" s="3"/>
      <c r="K135" s="3"/>
      <c r="L135" s="3"/>
      <c r="M135" s="3"/>
      <c r="N135" s="3"/>
      <c r="O135" s="3"/>
      <c r="P135" s="3"/>
      <c r="Q135" s="6"/>
      <c r="R135" s="6"/>
      <c r="S135" s="6"/>
      <c r="T135" s="6"/>
      <c r="U135" s="6"/>
      <c r="V135" s="11"/>
      <c r="W135" s="6"/>
      <c r="X135" s="6"/>
      <c r="Y135" s="6"/>
      <c r="Z135" s="6"/>
      <c r="AA135" s="8"/>
      <c r="AB135" s="8"/>
      <c r="AC135" s="6"/>
      <c r="AD135" s="6"/>
      <c r="AE135" s="9"/>
    </row>
    <row r="136" spans="1:31" s="10" customFormat="1" ht="16.5" x14ac:dyDescent="0.25">
      <c r="A136" s="3">
        <v>120</v>
      </c>
      <c r="B136" s="3" t="s">
        <v>33</v>
      </c>
      <c r="C136" s="5"/>
      <c r="D136" s="4"/>
      <c r="E136" s="6"/>
      <c r="F136" s="6"/>
      <c r="G136" s="6"/>
      <c r="H136" s="6"/>
      <c r="I136" s="7"/>
      <c r="J136" s="3"/>
      <c r="K136" s="3"/>
      <c r="L136" s="3"/>
      <c r="M136" s="3"/>
      <c r="N136" s="3"/>
      <c r="O136" s="3"/>
      <c r="P136" s="3"/>
      <c r="Q136" s="15"/>
      <c r="R136" s="6"/>
      <c r="S136" s="6"/>
      <c r="T136" s="6"/>
      <c r="U136" s="6"/>
      <c r="V136" s="11"/>
      <c r="W136" s="6"/>
      <c r="X136" s="6"/>
      <c r="Y136" s="6"/>
      <c r="Z136" s="6"/>
      <c r="AA136" s="8"/>
      <c r="AB136" s="8"/>
      <c r="AC136" s="6"/>
      <c r="AD136" s="6"/>
      <c r="AE136" s="9"/>
    </row>
    <row r="137" spans="1:31" ht="16.5" x14ac:dyDescent="0.25">
      <c r="A137" s="12"/>
      <c r="B137" s="73" t="s">
        <v>37</v>
      </c>
      <c r="C137" s="74"/>
      <c r="D137" s="74"/>
      <c r="E137" s="74"/>
      <c r="F137" s="74"/>
      <c r="G137" s="74"/>
      <c r="H137" s="75"/>
      <c r="I137" s="13"/>
      <c r="J137" s="14">
        <f>COUNTIF(J20:J136,"CĐ")+COUNTIF(J20:J136,"CT")+COUNTIF(J27,"TK")</f>
        <v>13</v>
      </c>
      <c r="K137" s="14">
        <f>COUNTIF(K20:K136,"CMĐ")</f>
        <v>29</v>
      </c>
      <c r="L137" s="14">
        <f>COUNTIF(L20:L136,"XMDT")+COUNTIF(L20:L136,"Mốc")</f>
        <v>18</v>
      </c>
      <c r="M137" s="14">
        <f>COUNTIF(M27,"THÁn")</f>
        <v>0</v>
      </c>
      <c r="N137" s="14">
        <f>COUNTIF(N27,"TÒA")</f>
        <v>0</v>
      </c>
      <c r="O137" s="14">
        <f>COUNTIF(O3:O27,"Cấp GCN")</f>
        <v>0</v>
      </c>
      <c r="P137" s="14">
        <f>COUNTIF(P20:P136,"SHN")</f>
        <v>15</v>
      </c>
      <c r="Q137" s="15"/>
      <c r="R137" s="13"/>
      <c r="S137" s="15"/>
      <c r="T137" s="15"/>
      <c r="U137" s="16"/>
      <c r="V137" s="11"/>
      <c r="W137" s="17"/>
      <c r="X137" s="2"/>
      <c r="AD137" s="14">
        <f>COUNTIF(AD27,"kt")</f>
        <v>0</v>
      </c>
    </row>
  </sheetData>
  <mergeCells count="16">
    <mergeCell ref="A1:AC1"/>
    <mergeCell ref="B137:H137"/>
    <mergeCell ref="B19:H19"/>
    <mergeCell ref="B31:H31"/>
    <mergeCell ref="B43:H43"/>
    <mergeCell ref="B53:H53"/>
    <mergeCell ref="B58:H58"/>
    <mergeCell ref="B62:H62"/>
    <mergeCell ref="B69:H69"/>
    <mergeCell ref="B75:H75"/>
    <mergeCell ref="B81:H81"/>
    <mergeCell ref="B90:H90"/>
    <mergeCell ref="B97:H97"/>
    <mergeCell ref="B107:H107"/>
    <mergeCell ref="B118:H118"/>
    <mergeCell ref="B128:H128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156"/>
  <sheetViews>
    <sheetView zoomScale="90" zoomScaleNormal="90" workbookViewId="0">
      <pane ySplit="2" topLeftCell="A110" activePane="bottomLeft" state="frozen"/>
      <selection pane="bottomLeft" activeCell="C116" sqref="C116:G116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10" width="12" customWidth="1"/>
    <col min="11" max="11" width="8.42578125" customWidth="1"/>
    <col min="12" max="12" width="7.28515625" customWidth="1"/>
    <col min="13" max="13" width="8.28515625" customWidth="1"/>
    <col min="14" max="14" width="7.5703125" customWidth="1"/>
    <col min="15" max="15" width="5.5703125" customWidth="1"/>
    <col min="16" max="17" width="9.42578125" customWidth="1"/>
    <col min="18" max="18" width="14.5703125" customWidth="1"/>
    <col min="19" max="21" width="12.140625" customWidth="1"/>
    <col min="22" max="22" width="10.7109375" customWidth="1"/>
    <col min="23" max="23" width="13.28515625" customWidth="1"/>
    <col min="24" max="25" width="9" customWidth="1"/>
    <col min="26" max="26" width="10.28515625" customWidth="1"/>
    <col min="27" max="27" width="15.140625" customWidth="1"/>
    <col min="28" max="28" width="16.85546875" customWidth="1"/>
    <col min="29" max="29" width="20.7109375" customWidth="1"/>
    <col min="30" max="31" width="18.5703125" customWidth="1"/>
    <col min="32" max="32" width="9.140625" style="2"/>
  </cols>
  <sheetData>
    <row r="1" spans="1:32" ht="25.5" customHeight="1" x14ac:dyDescent="0.35">
      <c r="A1" s="76" t="s">
        <v>46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2"/>
    </row>
    <row r="2" spans="1:32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2747</v>
      </c>
      <c r="K2" s="1" t="s">
        <v>4</v>
      </c>
      <c r="L2" s="1" t="s">
        <v>3</v>
      </c>
      <c r="M2" s="1" t="s">
        <v>1</v>
      </c>
      <c r="N2" s="1" t="s">
        <v>19</v>
      </c>
      <c r="O2" s="1" t="s">
        <v>11</v>
      </c>
      <c r="P2" s="1" t="s">
        <v>12</v>
      </c>
      <c r="Q2" s="1" t="s">
        <v>52</v>
      </c>
      <c r="R2" s="1" t="s">
        <v>2</v>
      </c>
      <c r="S2" s="1" t="s">
        <v>20</v>
      </c>
      <c r="T2" s="1" t="s">
        <v>29</v>
      </c>
      <c r="U2" s="1" t="s">
        <v>30</v>
      </c>
      <c r="V2" s="1" t="s">
        <v>31</v>
      </c>
      <c r="W2" s="1" t="s">
        <v>22</v>
      </c>
      <c r="X2" s="1" t="s">
        <v>21</v>
      </c>
      <c r="Y2" s="1" t="s">
        <v>23</v>
      </c>
      <c r="Z2" s="1" t="s">
        <v>24</v>
      </c>
      <c r="AA2" s="1" t="s">
        <v>14</v>
      </c>
      <c r="AB2" s="1" t="s">
        <v>13</v>
      </c>
      <c r="AC2" s="1" t="s">
        <v>18</v>
      </c>
      <c r="AD2" s="1" t="s">
        <v>8</v>
      </c>
      <c r="AE2" s="1" t="s">
        <v>35</v>
      </c>
    </row>
    <row r="3" spans="1:32" s="10" customFormat="1" ht="31.5" x14ac:dyDescent="0.25">
      <c r="A3" s="3">
        <v>1</v>
      </c>
      <c r="B3" s="3" t="s">
        <v>38</v>
      </c>
      <c r="C3" s="5" t="s">
        <v>58</v>
      </c>
      <c r="D3" s="4" t="s">
        <v>59</v>
      </c>
      <c r="E3" s="6">
        <v>31</v>
      </c>
      <c r="F3" s="6">
        <v>160</v>
      </c>
      <c r="G3" s="3">
        <v>172.9</v>
      </c>
      <c r="H3" s="3" t="s">
        <v>55</v>
      </c>
      <c r="I3" s="7">
        <v>45293</v>
      </c>
      <c r="J3" s="7"/>
      <c r="K3" s="3" t="s">
        <v>60</v>
      </c>
      <c r="L3" s="3"/>
      <c r="M3" s="3"/>
      <c r="N3" s="3"/>
      <c r="O3" s="3"/>
      <c r="P3" s="3"/>
      <c r="Q3" s="3"/>
      <c r="R3" s="6" t="s">
        <v>82</v>
      </c>
      <c r="S3" s="21">
        <v>45679</v>
      </c>
      <c r="T3" s="21">
        <v>45680</v>
      </c>
      <c r="U3" s="21">
        <v>45680</v>
      </c>
      <c r="V3" s="3">
        <v>472</v>
      </c>
      <c r="W3" s="22">
        <v>961551</v>
      </c>
      <c r="X3" s="6"/>
      <c r="Y3" s="6"/>
      <c r="Z3" s="8"/>
      <c r="AA3" s="8" t="s">
        <v>372</v>
      </c>
      <c r="AB3" s="8"/>
      <c r="AC3" s="6" t="s">
        <v>373</v>
      </c>
      <c r="AD3" s="8"/>
      <c r="AE3" s="6"/>
      <c r="AF3" s="9"/>
    </row>
    <row r="4" spans="1:32" s="10" customFormat="1" ht="31.5" x14ac:dyDescent="0.25">
      <c r="A4" s="3">
        <v>2</v>
      </c>
      <c r="B4" s="3" t="s">
        <v>38</v>
      </c>
      <c r="C4" s="5" t="s">
        <v>73</v>
      </c>
      <c r="D4" s="4" t="s">
        <v>74</v>
      </c>
      <c r="E4" s="6">
        <v>39</v>
      </c>
      <c r="F4" s="6">
        <v>1</v>
      </c>
      <c r="G4" s="3">
        <v>1318.7</v>
      </c>
      <c r="H4" s="3" t="s">
        <v>75</v>
      </c>
      <c r="I4" s="7">
        <v>45660</v>
      </c>
      <c r="J4" s="7"/>
      <c r="K4" s="3" t="s">
        <v>76</v>
      </c>
      <c r="L4" s="3"/>
      <c r="M4" s="3"/>
      <c r="N4" s="3"/>
      <c r="O4" s="3"/>
      <c r="P4" s="3"/>
      <c r="Q4" s="3"/>
      <c r="R4" s="6" t="s">
        <v>82</v>
      </c>
      <c r="S4" s="7">
        <v>45705</v>
      </c>
      <c r="T4" s="7">
        <v>45714</v>
      </c>
      <c r="U4" s="7">
        <v>45714</v>
      </c>
      <c r="V4" s="6">
        <v>1075</v>
      </c>
      <c r="W4" s="11">
        <v>1248329</v>
      </c>
      <c r="X4" s="6"/>
      <c r="Y4" s="6"/>
      <c r="Z4" s="6"/>
      <c r="AA4" s="6" t="s">
        <v>753</v>
      </c>
      <c r="AB4" s="8" t="s">
        <v>754</v>
      </c>
      <c r="AC4" s="8"/>
      <c r="AD4" s="6"/>
      <c r="AE4" s="6"/>
      <c r="AF4" s="9"/>
    </row>
    <row r="5" spans="1:32" s="10" customFormat="1" ht="15.75" x14ac:dyDescent="0.25">
      <c r="A5" s="3">
        <v>3</v>
      </c>
      <c r="B5" s="3" t="s">
        <v>38</v>
      </c>
      <c r="C5" s="5" t="s">
        <v>79</v>
      </c>
      <c r="D5" s="4" t="s">
        <v>80</v>
      </c>
      <c r="E5" s="6">
        <v>60</v>
      </c>
      <c r="F5" s="6">
        <v>36</v>
      </c>
      <c r="G5" s="3">
        <v>101</v>
      </c>
      <c r="H5" s="3" t="s">
        <v>55</v>
      </c>
      <c r="I5" s="7">
        <v>45663</v>
      </c>
      <c r="J5" s="7"/>
      <c r="K5" s="3"/>
      <c r="L5" s="3"/>
      <c r="M5" s="3"/>
      <c r="N5" s="3"/>
      <c r="O5" s="3"/>
      <c r="P5" s="3" t="s">
        <v>81</v>
      </c>
      <c r="Q5" s="3"/>
      <c r="R5" s="6" t="s">
        <v>82</v>
      </c>
      <c r="S5" s="7">
        <v>45838</v>
      </c>
      <c r="T5" s="6"/>
      <c r="U5" s="6"/>
      <c r="V5" s="6"/>
      <c r="W5" s="6"/>
      <c r="X5" s="6"/>
      <c r="Y5" s="6"/>
      <c r="Z5" s="6"/>
      <c r="AA5" s="6"/>
      <c r="AB5" s="8"/>
      <c r="AC5" s="8"/>
      <c r="AD5" s="6"/>
      <c r="AE5" s="6"/>
      <c r="AF5" s="9"/>
    </row>
    <row r="6" spans="1:32" s="10" customFormat="1" ht="47.25" x14ac:dyDescent="0.25">
      <c r="A6" s="3">
        <v>4</v>
      </c>
      <c r="B6" s="3" t="s">
        <v>102</v>
      </c>
      <c r="C6" s="5" t="s">
        <v>103</v>
      </c>
      <c r="D6" s="4" t="s">
        <v>104</v>
      </c>
      <c r="E6" s="6">
        <v>20</v>
      </c>
      <c r="F6" s="6">
        <v>37</v>
      </c>
      <c r="G6" s="6">
        <v>8207.4</v>
      </c>
      <c r="H6" s="6" t="s">
        <v>75</v>
      </c>
      <c r="I6" s="7" t="s">
        <v>105</v>
      </c>
      <c r="J6" s="7"/>
      <c r="K6" s="3"/>
      <c r="L6" s="3"/>
      <c r="M6" s="3" t="s">
        <v>1</v>
      </c>
      <c r="N6" s="3"/>
      <c r="O6" s="3"/>
      <c r="P6" s="3"/>
      <c r="Q6" s="3"/>
      <c r="R6" s="6" t="s">
        <v>82</v>
      </c>
      <c r="S6" s="7"/>
      <c r="T6" s="7"/>
      <c r="U6" s="7"/>
      <c r="V6" s="6"/>
      <c r="W6" s="11"/>
      <c r="X6" s="6"/>
      <c r="Y6" s="6"/>
      <c r="Z6" s="6"/>
      <c r="AA6" s="6"/>
      <c r="AB6" s="8"/>
      <c r="AC6" s="8" t="s">
        <v>946</v>
      </c>
      <c r="AD6" s="6" t="s">
        <v>257</v>
      </c>
      <c r="AE6" s="6"/>
      <c r="AF6" s="9"/>
    </row>
    <row r="7" spans="1:32" s="10" customFormat="1" ht="47.25" x14ac:dyDescent="0.25">
      <c r="A7" s="3">
        <v>5</v>
      </c>
      <c r="B7" s="3" t="s">
        <v>102</v>
      </c>
      <c r="C7" s="5" t="s">
        <v>106</v>
      </c>
      <c r="D7" s="4" t="s">
        <v>107</v>
      </c>
      <c r="E7" s="6">
        <v>29</v>
      </c>
      <c r="F7" s="6">
        <v>77</v>
      </c>
      <c r="G7" s="6">
        <v>3471.3</v>
      </c>
      <c r="H7" s="6" t="s">
        <v>75</v>
      </c>
      <c r="I7" s="7" t="s">
        <v>117</v>
      </c>
      <c r="J7" s="7"/>
      <c r="K7" s="3"/>
      <c r="L7" s="3"/>
      <c r="M7" s="3" t="s">
        <v>1</v>
      </c>
      <c r="N7" s="3"/>
      <c r="O7" s="3"/>
      <c r="P7" s="3"/>
      <c r="Q7" s="3"/>
      <c r="R7" s="6" t="s">
        <v>82</v>
      </c>
      <c r="S7" s="7"/>
      <c r="T7" s="7"/>
      <c r="U7" s="7"/>
      <c r="V7" s="6"/>
      <c r="W7" s="11"/>
      <c r="X7" s="6"/>
      <c r="Y7" s="6"/>
      <c r="Z7" s="6"/>
      <c r="AA7" s="6"/>
      <c r="AB7" s="8"/>
      <c r="AC7" s="8"/>
      <c r="AD7" s="6" t="s">
        <v>257</v>
      </c>
      <c r="AE7" s="6" t="s">
        <v>282</v>
      </c>
      <c r="AF7" s="9"/>
    </row>
    <row r="8" spans="1:32" s="10" customFormat="1" ht="31.5" x14ac:dyDescent="0.25">
      <c r="A8" s="3">
        <v>6</v>
      </c>
      <c r="B8" s="3" t="s">
        <v>102</v>
      </c>
      <c r="C8" s="5" t="s">
        <v>115</v>
      </c>
      <c r="D8" s="4" t="s">
        <v>116</v>
      </c>
      <c r="E8" s="6">
        <v>17</v>
      </c>
      <c r="F8" s="6">
        <v>274</v>
      </c>
      <c r="G8" s="6">
        <v>425.6</v>
      </c>
      <c r="H8" s="6" t="s">
        <v>75</v>
      </c>
      <c r="I8" s="7" t="s">
        <v>105</v>
      </c>
      <c r="J8" s="7"/>
      <c r="K8" s="3"/>
      <c r="L8" s="3"/>
      <c r="M8" s="3" t="s">
        <v>1</v>
      </c>
      <c r="N8" s="3"/>
      <c r="O8" s="3"/>
      <c r="P8" s="3"/>
      <c r="Q8" s="3"/>
      <c r="R8" s="6" t="s">
        <v>82</v>
      </c>
      <c r="S8" s="7">
        <v>45723</v>
      </c>
      <c r="T8" s="7">
        <v>45727</v>
      </c>
      <c r="U8" s="7">
        <v>45727</v>
      </c>
      <c r="V8" s="6">
        <v>1357</v>
      </c>
      <c r="W8" s="11">
        <v>1019155</v>
      </c>
      <c r="X8" s="6"/>
      <c r="Y8" s="6"/>
      <c r="Z8" s="6"/>
      <c r="AA8" s="6"/>
      <c r="AB8" s="8"/>
      <c r="AC8" s="8"/>
      <c r="AD8" s="6" t="s">
        <v>957</v>
      </c>
      <c r="AE8" s="6"/>
      <c r="AF8" s="9"/>
    </row>
    <row r="9" spans="1:32" s="10" customFormat="1" ht="47.25" x14ac:dyDescent="0.25">
      <c r="A9" s="3">
        <v>7</v>
      </c>
      <c r="B9" s="3" t="s">
        <v>102</v>
      </c>
      <c r="C9" s="5" t="s">
        <v>108</v>
      </c>
      <c r="D9" s="4" t="s">
        <v>109</v>
      </c>
      <c r="E9" s="6">
        <v>18</v>
      </c>
      <c r="F9" s="6">
        <v>35</v>
      </c>
      <c r="G9" s="6">
        <v>486.6</v>
      </c>
      <c r="H9" s="6" t="s">
        <v>110</v>
      </c>
      <c r="I9" s="7" t="s">
        <v>97</v>
      </c>
      <c r="J9" s="7"/>
      <c r="K9" s="3"/>
      <c r="L9" s="3"/>
      <c r="M9" s="3" t="s">
        <v>98</v>
      </c>
      <c r="N9" s="3"/>
      <c r="O9" s="3"/>
      <c r="P9" s="3"/>
      <c r="Q9" s="3"/>
      <c r="R9" s="6" t="s">
        <v>82</v>
      </c>
      <c r="S9" s="7"/>
      <c r="T9" s="7"/>
      <c r="U9" s="7"/>
      <c r="V9" s="6"/>
      <c r="W9" s="11"/>
      <c r="X9" s="6"/>
      <c r="Y9" s="6"/>
      <c r="Z9" s="6"/>
      <c r="AA9" s="6"/>
      <c r="AB9" s="8"/>
      <c r="AC9" s="8"/>
      <c r="AD9" s="6" t="s">
        <v>266</v>
      </c>
      <c r="AE9" s="6"/>
      <c r="AF9" s="9"/>
    </row>
    <row r="10" spans="1:32" s="10" customFormat="1" ht="47.25" x14ac:dyDescent="0.25">
      <c r="A10" s="3">
        <v>8</v>
      </c>
      <c r="B10" s="3" t="s">
        <v>102</v>
      </c>
      <c r="C10" s="5" t="s">
        <v>111</v>
      </c>
      <c r="D10" s="4" t="s">
        <v>109</v>
      </c>
      <c r="E10" s="6">
        <v>18</v>
      </c>
      <c r="F10" s="6">
        <v>44</v>
      </c>
      <c r="G10" s="6">
        <v>543.29999999999995</v>
      </c>
      <c r="H10" s="6" t="s">
        <v>75</v>
      </c>
      <c r="I10" s="7" t="s">
        <v>97</v>
      </c>
      <c r="J10" s="7"/>
      <c r="K10" s="3"/>
      <c r="L10" s="3"/>
      <c r="M10" s="3" t="s">
        <v>98</v>
      </c>
      <c r="N10" s="3"/>
      <c r="O10" s="3"/>
      <c r="P10" s="3"/>
      <c r="Q10" s="3"/>
      <c r="R10" s="6" t="s">
        <v>82</v>
      </c>
      <c r="S10" s="7"/>
      <c r="T10" s="7"/>
      <c r="U10" s="7"/>
      <c r="V10" s="6"/>
      <c r="W10" s="11"/>
      <c r="X10" s="6"/>
      <c r="Y10" s="6"/>
      <c r="Z10" s="6"/>
      <c r="AA10" s="6"/>
      <c r="AB10" s="8"/>
      <c r="AC10" s="8"/>
      <c r="AD10" s="6" t="s">
        <v>266</v>
      </c>
      <c r="AE10" s="6"/>
      <c r="AF10" s="9"/>
    </row>
    <row r="11" spans="1:32" s="10" customFormat="1" ht="47.25" x14ac:dyDescent="0.25">
      <c r="A11" s="3">
        <v>9</v>
      </c>
      <c r="B11" s="3" t="s">
        <v>102</v>
      </c>
      <c r="C11" s="5" t="s">
        <v>112</v>
      </c>
      <c r="D11" s="4" t="s">
        <v>109</v>
      </c>
      <c r="E11" s="6">
        <v>18</v>
      </c>
      <c r="F11" s="6">
        <v>43</v>
      </c>
      <c r="G11" s="6">
        <v>328.2</v>
      </c>
      <c r="H11" s="6" t="s">
        <v>75</v>
      </c>
      <c r="I11" s="7" t="s">
        <v>97</v>
      </c>
      <c r="J11" s="7"/>
      <c r="K11" s="3"/>
      <c r="L11" s="3"/>
      <c r="M11" s="3" t="s">
        <v>98</v>
      </c>
      <c r="N11" s="3"/>
      <c r="O11" s="3"/>
      <c r="P11" s="3"/>
      <c r="Q11" s="3"/>
      <c r="R11" s="6" t="s">
        <v>82</v>
      </c>
      <c r="S11" s="7"/>
      <c r="T11" s="7"/>
      <c r="U11" s="7"/>
      <c r="V11" s="6"/>
      <c r="W11" s="11"/>
      <c r="X11" s="6"/>
      <c r="Y11" s="6"/>
      <c r="Z11" s="6"/>
      <c r="AA11" s="6"/>
      <c r="AB11" s="8"/>
      <c r="AC11" s="8"/>
      <c r="AD11" s="6" t="s">
        <v>266</v>
      </c>
      <c r="AE11" s="6"/>
      <c r="AF11" s="9"/>
    </row>
    <row r="12" spans="1:32" s="10" customFormat="1" ht="47.25" x14ac:dyDescent="0.25">
      <c r="A12" s="3">
        <v>10</v>
      </c>
      <c r="B12" s="3" t="s">
        <v>102</v>
      </c>
      <c r="C12" s="5" t="s">
        <v>113</v>
      </c>
      <c r="D12" s="4" t="s">
        <v>109</v>
      </c>
      <c r="E12" s="6">
        <v>18</v>
      </c>
      <c r="F12" s="6">
        <v>42</v>
      </c>
      <c r="G12" s="6">
        <v>318.5</v>
      </c>
      <c r="H12" s="6" t="s">
        <v>75</v>
      </c>
      <c r="I12" s="7" t="s">
        <v>97</v>
      </c>
      <c r="J12" s="7"/>
      <c r="K12" s="3"/>
      <c r="L12" s="3"/>
      <c r="M12" s="3" t="s">
        <v>98</v>
      </c>
      <c r="N12" s="3"/>
      <c r="O12" s="3"/>
      <c r="P12" s="3"/>
      <c r="Q12" s="3"/>
      <c r="R12" s="6" t="s">
        <v>82</v>
      </c>
      <c r="S12" s="7"/>
      <c r="T12" s="7"/>
      <c r="U12" s="7"/>
      <c r="V12" s="6"/>
      <c r="W12" s="11"/>
      <c r="X12" s="6"/>
      <c r="Y12" s="6"/>
      <c r="Z12" s="6"/>
      <c r="AA12" s="6"/>
      <c r="AB12" s="8"/>
      <c r="AC12" s="8"/>
      <c r="AD12" s="6" t="s">
        <v>266</v>
      </c>
      <c r="AE12" s="6"/>
      <c r="AF12" s="9"/>
    </row>
    <row r="13" spans="1:32" s="10" customFormat="1" ht="47.25" x14ac:dyDescent="0.25">
      <c r="A13" s="3">
        <v>11</v>
      </c>
      <c r="B13" s="3" t="s">
        <v>102</v>
      </c>
      <c r="C13" s="5" t="s">
        <v>114</v>
      </c>
      <c r="D13" s="4" t="s">
        <v>109</v>
      </c>
      <c r="E13" s="6">
        <v>18</v>
      </c>
      <c r="F13" s="6">
        <v>41</v>
      </c>
      <c r="G13" s="6">
        <v>306.2</v>
      </c>
      <c r="H13" s="6" t="s">
        <v>51</v>
      </c>
      <c r="I13" s="7" t="s">
        <v>97</v>
      </c>
      <c r="J13" s="7"/>
      <c r="K13" s="3"/>
      <c r="L13" s="3"/>
      <c r="M13" s="3" t="s">
        <v>98</v>
      </c>
      <c r="N13" s="3"/>
      <c r="O13" s="3"/>
      <c r="P13" s="3"/>
      <c r="Q13" s="3"/>
      <c r="R13" s="6" t="s">
        <v>82</v>
      </c>
      <c r="S13" s="7"/>
      <c r="T13" s="7"/>
      <c r="U13" s="7"/>
      <c r="V13" s="6"/>
      <c r="W13" s="11"/>
      <c r="X13" s="6"/>
      <c r="Y13" s="6"/>
      <c r="Z13" s="6"/>
      <c r="AA13" s="6"/>
      <c r="AB13" s="8"/>
      <c r="AC13" s="8"/>
      <c r="AD13" s="6" t="s">
        <v>266</v>
      </c>
      <c r="AE13" s="6"/>
      <c r="AF13" s="9"/>
    </row>
    <row r="14" spans="1:32" s="10" customFormat="1" ht="31.5" x14ac:dyDescent="0.25">
      <c r="A14" s="3">
        <v>12</v>
      </c>
      <c r="B14" s="3" t="s">
        <v>102</v>
      </c>
      <c r="C14" s="5" t="s">
        <v>118</v>
      </c>
      <c r="D14" s="4" t="s">
        <v>119</v>
      </c>
      <c r="E14" s="6">
        <v>29</v>
      </c>
      <c r="F14" s="6">
        <v>300</v>
      </c>
      <c r="G14" s="6">
        <v>611.29999999999995</v>
      </c>
      <c r="H14" s="6" t="s">
        <v>51</v>
      </c>
      <c r="I14" s="7" t="s">
        <v>120</v>
      </c>
      <c r="J14" s="7"/>
      <c r="K14" s="3"/>
      <c r="L14" s="3" t="s">
        <v>62</v>
      </c>
      <c r="M14" s="3"/>
      <c r="N14" s="3"/>
      <c r="O14" s="3"/>
      <c r="P14" s="3"/>
      <c r="Q14" s="3"/>
      <c r="R14" s="6" t="s">
        <v>82</v>
      </c>
      <c r="S14" s="7">
        <v>45705</v>
      </c>
      <c r="T14" s="7">
        <v>45755</v>
      </c>
      <c r="U14" s="7">
        <v>45755</v>
      </c>
      <c r="V14" s="20">
        <v>2073</v>
      </c>
      <c r="W14" s="11">
        <v>961551</v>
      </c>
      <c r="X14" s="6"/>
      <c r="Y14" s="6"/>
      <c r="Z14" s="6"/>
      <c r="AA14" s="6"/>
      <c r="AB14" s="8"/>
      <c r="AC14" s="8"/>
      <c r="AD14" s="6"/>
      <c r="AE14" s="6"/>
      <c r="AF14" s="9"/>
    </row>
    <row r="15" spans="1:32" s="10" customFormat="1" ht="31.5" x14ac:dyDescent="0.25">
      <c r="A15" s="3">
        <v>13</v>
      </c>
      <c r="B15" s="3" t="s">
        <v>102</v>
      </c>
      <c r="C15" s="5" t="s">
        <v>121</v>
      </c>
      <c r="D15" s="4" t="s">
        <v>122</v>
      </c>
      <c r="E15" s="6">
        <v>16</v>
      </c>
      <c r="F15" s="6">
        <v>253</v>
      </c>
      <c r="G15" s="6">
        <v>1176.7</v>
      </c>
      <c r="H15" s="6" t="s">
        <v>75</v>
      </c>
      <c r="I15" s="7" t="s">
        <v>120</v>
      </c>
      <c r="J15" s="7"/>
      <c r="K15" s="3"/>
      <c r="L15" s="3"/>
      <c r="M15" s="3" t="s">
        <v>1</v>
      </c>
      <c r="N15" s="3"/>
      <c r="O15" s="3"/>
      <c r="P15" s="3"/>
      <c r="Q15" s="3"/>
      <c r="R15" s="6" t="s">
        <v>82</v>
      </c>
      <c r="S15" s="7"/>
      <c r="T15" s="7"/>
      <c r="U15" s="7"/>
      <c r="V15" s="6"/>
      <c r="W15" s="11"/>
      <c r="X15" s="6"/>
      <c r="Y15" s="6"/>
      <c r="Z15" s="6"/>
      <c r="AA15" s="6"/>
      <c r="AB15" s="8"/>
      <c r="AC15" s="8"/>
      <c r="AD15" s="6"/>
      <c r="AE15" s="6"/>
      <c r="AF15" s="9"/>
    </row>
    <row r="16" spans="1:32" s="10" customFormat="1" ht="63" x14ac:dyDescent="0.25">
      <c r="A16" s="3">
        <v>14</v>
      </c>
      <c r="B16" s="3" t="s">
        <v>102</v>
      </c>
      <c r="C16" s="5" t="s">
        <v>123</v>
      </c>
      <c r="D16" s="4" t="s">
        <v>124</v>
      </c>
      <c r="E16" s="6">
        <v>23</v>
      </c>
      <c r="F16" s="6">
        <v>5</v>
      </c>
      <c r="G16" s="6">
        <v>110</v>
      </c>
      <c r="H16" s="6" t="s">
        <v>55</v>
      </c>
      <c r="I16" s="7" t="s">
        <v>578</v>
      </c>
      <c r="J16" s="7"/>
      <c r="K16" s="3"/>
      <c r="L16" s="3"/>
      <c r="M16" s="3"/>
      <c r="N16" s="3"/>
      <c r="O16" s="3"/>
      <c r="P16" s="3"/>
      <c r="Q16" s="3" t="s">
        <v>52</v>
      </c>
      <c r="R16" s="6" t="s">
        <v>82</v>
      </c>
      <c r="S16" s="21">
        <v>45709</v>
      </c>
      <c r="T16" s="21">
        <v>45709</v>
      </c>
      <c r="U16" s="21">
        <v>45709</v>
      </c>
      <c r="V16" s="3">
        <v>969</v>
      </c>
      <c r="W16" s="22">
        <v>1416978</v>
      </c>
      <c r="X16" s="6"/>
      <c r="Y16" s="6"/>
      <c r="Z16" s="6"/>
      <c r="AA16" s="6"/>
      <c r="AB16" s="8"/>
      <c r="AC16" s="8" t="s">
        <v>637</v>
      </c>
      <c r="AD16" s="6" t="s">
        <v>302</v>
      </c>
      <c r="AE16" s="6"/>
      <c r="AF16" s="9"/>
    </row>
    <row r="17" spans="1:32" s="10" customFormat="1" ht="31.5" x14ac:dyDescent="0.25">
      <c r="A17" s="3">
        <v>15</v>
      </c>
      <c r="B17" s="3" t="s">
        <v>102</v>
      </c>
      <c r="C17" s="5" t="s">
        <v>125</v>
      </c>
      <c r="D17" s="5" t="s">
        <v>126</v>
      </c>
      <c r="E17" s="6">
        <v>16</v>
      </c>
      <c r="F17" s="6">
        <v>358</v>
      </c>
      <c r="G17" s="6">
        <v>462.4</v>
      </c>
      <c r="H17" s="6" t="s">
        <v>51</v>
      </c>
      <c r="I17" s="7" t="s">
        <v>163</v>
      </c>
      <c r="J17" s="7"/>
      <c r="K17" s="3"/>
      <c r="L17" s="3" t="s">
        <v>62</v>
      </c>
      <c r="M17" s="3"/>
      <c r="N17" s="3"/>
      <c r="O17" s="3"/>
      <c r="P17" s="3"/>
      <c r="Q17" s="3"/>
      <c r="R17" s="6" t="s">
        <v>82</v>
      </c>
      <c r="S17" s="7">
        <v>45705</v>
      </c>
      <c r="T17" s="7">
        <v>45707</v>
      </c>
      <c r="U17" s="7">
        <v>45707</v>
      </c>
      <c r="V17" s="6">
        <v>891</v>
      </c>
      <c r="W17" s="11">
        <v>961551</v>
      </c>
      <c r="X17" s="6"/>
      <c r="Y17" s="6"/>
      <c r="Z17" s="6"/>
      <c r="AA17" s="6" t="s">
        <v>1728</v>
      </c>
      <c r="AB17" s="8" t="s">
        <v>1729</v>
      </c>
      <c r="AC17" s="8"/>
      <c r="AD17" s="6"/>
      <c r="AE17" s="6"/>
      <c r="AF17" s="9"/>
    </row>
    <row r="18" spans="1:32" s="10" customFormat="1" ht="31.5" x14ac:dyDescent="0.25">
      <c r="A18" s="3">
        <v>16</v>
      </c>
      <c r="B18" s="3" t="s">
        <v>102</v>
      </c>
      <c r="C18" s="5" t="s">
        <v>127</v>
      </c>
      <c r="D18" s="4" t="s">
        <v>128</v>
      </c>
      <c r="E18" s="6">
        <v>47</v>
      </c>
      <c r="F18" s="6">
        <v>202</v>
      </c>
      <c r="G18" s="6">
        <v>3000</v>
      </c>
      <c r="H18" s="6" t="s">
        <v>51</v>
      </c>
      <c r="I18" s="7" t="s">
        <v>163</v>
      </c>
      <c r="J18" s="7"/>
      <c r="K18" s="3"/>
      <c r="L18" s="3" t="s">
        <v>62</v>
      </c>
      <c r="M18" s="3"/>
      <c r="N18" s="3"/>
      <c r="O18" s="3"/>
      <c r="P18" s="3"/>
      <c r="Q18" s="3"/>
      <c r="R18" s="6" t="s">
        <v>82</v>
      </c>
      <c r="S18" s="7">
        <v>45705</v>
      </c>
      <c r="T18" s="7"/>
      <c r="U18" s="7"/>
      <c r="V18" s="6"/>
      <c r="W18" s="11"/>
      <c r="X18" s="6"/>
      <c r="Y18" s="6"/>
      <c r="Z18" s="6"/>
      <c r="AA18" s="6"/>
      <c r="AB18" s="8"/>
      <c r="AC18" s="8"/>
      <c r="AD18" s="6"/>
      <c r="AE18" s="6"/>
      <c r="AF18" s="9"/>
    </row>
    <row r="19" spans="1:32" s="10" customFormat="1" ht="15.75" x14ac:dyDescent="0.25">
      <c r="A19" s="3">
        <v>17</v>
      </c>
      <c r="B19" s="3" t="s">
        <v>102</v>
      </c>
      <c r="C19" s="5" t="s">
        <v>181</v>
      </c>
      <c r="D19" s="4" t="s">
        <v>182</v>
      </c>
      <c r="E19" s="6">
        <v>38</v>
      </c>
      <c r="F19" s="6">
        <v>45</v>
      </c>
      <c r="G19" s="6">
        <v>2345.3000000000002</v>
      </c>
      <c r="H19" s="6" t="s">
        <v>51</v>
      </c>
      <c r="I19" s="7">
        <v>45663</v>
      </c>
      <c r="J19" s="7"/>
      <c r="K19" s="3" t="s">
        <v>76</v>
      </c>
      <c r="L19" s="3"/>
      <c r="M19" s="3"/>
      <c r="N19" s="3"/>
      <c r="O19" s="3"/>
      <c r="P19" s="3"/>
      <c r="Q19" s="3"/>
      <c r="R19" s="6" t="s">
        <v>82</v>
      </c>
      <c r="S19" s="7">
        <v>45705</v>
      </c>
      <c r="T19" s="7">
        <v>45705</v>
      </c>
      <c r="U19" s="7">
        <v>45705</v>
      </c>
      <c r="V19" s="8">
        <v>839</v>
      </c>
      <c r="W19" s="11">
        <v>3427348</v>
      </c>
      <c r="X19" s="6"/>
      <c r="Y19" s="6"/>
      <c r="Z19" s="6"/>
      <c r="AA19" s="6"/>
      <c r="AB19" s="6" t="s">
        <v>648</v>
      </c>
      <c r="AC19" s="8" t="s">
        <v>644</v>
      </c>
      <c r="AD19" s="6"/>
      <c r="AE19" s="6"/>
      <c r="AF19" s="9"/>
    </row>
    <row r="20" spans="1:32" s="10" customFormat="1" ht="31.5" x14ac:dyDescent="0.25">
      <c r="A20" s="3">
        <v>18</v>
      </c>
      <c r="B20" s="3" t="s">
        <v>102</v>
      </c>
      <c r="C20" s="5" t="s">
        <v>237</v>
      </c>
      <c r="D20" s="4" t="s">
        <v>238</v>
      </c>
      <c r="E20" s="6">
        <v>52</v>
      </c>
      <c r="F20" s="6">
        <v>70</v>
      </c>
      <c r="G20" s="6">
        <v>677.9</v>
      </c>
      <c r="H20" s="6" t="s">
        <v>75</v>
      </c>
      <c r="I20" s="7">
        <v>45666</v>
      </c>
      <c r="J20" s="7"/>
      <c r="K20" s="3" t="s">
        <v>153</v>
      </c>
      <c r="L20" s="3"/>
      <c r="M20" s="3"/>
      <c r="N20" s="3"/>
      <c r="O20" s="3"/>
      <c r="P20" s="3"/>
      <c r="Q20" s="3"/>
      <c r="R20" s="6" t="s">
        <v>82</v>
      </c>
      <c r="S20" s="7">
        <v>45705</v>
      </c>
      <c r="T20" s="7">
        <v>45709</v>
      </c>
      <c r="U20" s="7">
        <v>45709</v>
      </c>
      <c r="V20" s="6">
        <v>977</v>
      </c>
      <c r="W20" s="11">
        <v>1619454</v>
      </c>
      <c r="X20" s="6"/>
      <c r="Y20" s="6"/>
      <c r="Z20" s="6"/>
      <c r="AA20" s="6" t="s">
        <v>728</v>
      </c>
      <c r="AB20" s="8" t="s">
        <v>729</v>
      </c>
      <c r="AC20" s="8"/>
      <c r="AD20" s="6"/>
      <c r="AE20" s="6"/>
      <c r="AF20" s="9"/>
    </row>
    <row r="21" spans="1:32" s="10" customFormat="1" ht="31.5" x14ac:dyDescent="0.25">
      <c r="A21" s="3">
        <v>19</v>
      </c>
      <c r="B21" s="3" t="s">
        <v>102</v>
      </c>
      <c r="C21" s="5" t="s">
        <v>142</v>
      </c>
      <c r="D21" s="4" t="s">
        <v>238</v>
      </c>
      <c r="E21" s="6">
        <v>52</v>
      </c>
      <c r="F21" s="6">
        <v>65</v>
      </c>
      <c r="G21" s="6">
        <v>695.8</v>
      </c>
      <c r="H21" s="6" t="s">
        <v>75</v>
      </c>
      <c r="I21" s="7">
        <v>45666</v>
      </c>
      <c r="J21" s="7"/>
      <c r="K21" s="3" t="s">
        <v>153</v>
      </c>
      <c r="L21" s="3"/>
      <c r="M21" s="3"/>
      <c r="N21" s="3"/>
      <c r="O21" s="3"/>
      <c r="P21" s="3"/>
      <c r="Q21" s="3"/>
      <c r="R21" s="6" t="s">
        <v>82</v>
      </c>
      <c r="S21" s="7">
        <v>45705</v>
      </c>
      <c r="T21" s="7">
        <v>45709</v>
      </c>
      <c r="U21" s="7">
        <v>45709</v>
      </c>
      <c r="V21" s="6">
        <v>978</v>
      </c>
      <c r="W21" s="11">
        <v>1923102</v>
      </c>
      <c r="X21" s="6"/>
      <c r="Y21" s="6"/>
      <c r="Z21" s="6"/>
      <c r="AA21" s="6" t="s">
        <v>728</v>
      </c>
      <c r="AB21" s="8" t="s">
        <v>729</v>
      </c>
      <c r="AC21" s="8"/>
      <c r="AD21" s="6"/>
      <c r="AE21" s="6"/>
      <c r="AF21" s="9"/>
    </row>
    <row r="22" spans="1:32" s="10" customFormat="1" ht="15.75" x14ac:dyDescent="0.25">
      <c r="A22" s="3">
        <v>20</v>
      </c>
      <c r="B22" s="3" t="s">
        <v>102</v>
      </c>
      <c r="C22" s="5" t="s">
        <v>247</v>
      </c>
      <c r="D22" s="4" t="s">
        <v>246</v>
      </c>
      <c r="E22" s="6">
        <v>15</v>
      </c>
      <c r="F22" s="6">
        <v>365</v>
      </c>
      <c r="G22" s="6">
        <v>48.5</v>
      </c>
      <c r="H22" s="6" t="s">
        <v>55</v>
      </c>
      <c r="I22" s="7">
        <v>45667</v>
      </c>
      <c r="J22" s="7"/>
      <c r="K22" s="3"/>
      <c r="L22" s="3"/>
      <c r="M22" s="3" t="s">
        <v>1</v>
      </c>
      <c r="N22" s="3"/>
      <c r="O22" s="3"/>
      <c r="P22" s="3"/>
      <c r="Q22" s="3"/>
      <c r="R22" s="6" t="s">
        <v>82</v>
      </c>
      <c r="S22" s="7">
        <v>45707</v>
      </c>
      <c r="T22" s="7">
        <v>45793</v>
      </c>
      <c r="U22" s="7">
        <v>45793</v>
      </c>
      <c r="V22" s="6">
        <v>659</v>
      </c>
      <c r="W22" s="11">
        <v>809727</v>
      </c>
      <c r="X22" s="6"/>
      <c r="Y22" s="6"/>
      <c r="Z22" s="6"/>
      <c r="AA22" s="6"/>
      <c r="AB22" s="8"/>
      <c r="AC22" s="8"/>
      <c r="AD22" s="6"/>
      <c r="AE22" s="6"/>
      <c r="AF22" s="9"/>
    </row>
    <row r="23" spans="1:32" s="10" customFormat="1" ht="31.5" x14ac:dyDescent="0.25">
      <c r="A23" s="3">
        <v>21</v>
      </c>
      <c r="B23" s="3" t="s">
        <v>102</v>
      </c>
      <c r="C23" s="5" t="s">
        <v>245</v>
      </c>
      <c r="D23" s="4" t="s">
        <v>246</v>
      </c>
      <c r="E23" s="6">
        <v>15</v>
      </c>
      <c r="F23" s="6">
        <v>157</v>
      </c>
      <c r="G23" s="6">
        <v>120</v>
      </c>
      <c r="H23" s="6" t="s">
        <v>55</v>
      </c>
      <c r="I23" s="7">
        <v>45667</v>
      </c>
      <c r="J23" s="7"/>
      <c r="K23" s="3"/>
      <c r="L23" s="3"/>
      <c r="M23" s="3" t="s">
        <v>1</v>
      </c>
      <c r="N23" s="3"/>
      <c r="O23" s="3"/>
      <c r="P23" s="3"/>
      <c r="Q23" s="3"/>
      <c r="R23" s="6" t="s">
        <v>82</v>
      </c>
      <c r="S23" s="7">
        <v>45707</v>
      </c>
      <c r="T23" s="7">
        <v>45793</v>
      </c>
      <c r="U23" s="7">
        <v>45793</v>
      </c>
      <c r="V23" s="6">
        <v>658</v>
      </c>
      <c r="W23" s="11">
        <v>961551</v>
      </c>
      <c r="X23" s="6"/>
      <c r="Y23" s="6"/>
      <c r="Z23" s="6"/>
      <c r="AA23" s="6"/>
      <c r="AB23" s="8"/>
      <c r="AC23" s="8"/>
      <c r="AD23" s="6"/>
      <c r="AE23" s="6"/>
      <c r="AF23" s="9"/>
    </row>
    <row r="24" spans="1:32" s="10" customFormat="1" ht="63" x14ac:dyDescent="0.25">
      <c r="A24" s="3">
        <v>22</v>
      </c>
      <c r="B24" s="3" t="s">
        <v>102</v>
      </c>
      <c r="C24" s="5" t="s">
        <v>283</v>
      </c>
      <c r="D24" s="4" t="s">
        <v>284</v>
      </c>
      <c r="E24" s="6">
        <v>61</v>
      </c>
      <c r="F24" s="6">
        <v>206</v>
      </c>
      <c r="G24" s="6">
        <v>849.9</v>
      </c>
      <c r="H24" s="6" t="s">
        <v>75</v>
      </c>
      <c r="I24" s="7"/>
      <c r="J24" s="7"/>
      <c r="K24" s="3"/>
      <c r="L24" s="3"/>
      <c r="M24" s="3"/>
      <c r="N24" s="3"/>
      <c r="O24" s="3"/>
      <c r="P24" s="3"/>
      <c r="Q24" s="3"/>
      <c r="R24" s="6" t="s">
        <v>190</v>
      </c>
      <c r="S24" s="7">
        <v>45650</v>
      </c>
      <c r="T24" s="7"/>
      <c r="U24" s="7"/>
      <c r="V24" s="6"/>
      <c r="W24" s="11"/>
      <c r="X24" s="6"/>
      <c r="Y24" s="6"/>
      <c r="Z24" s="6"/>
      <c r="AA24" s="6" t="s">
        <v>285</v>
      </c>
      <c r="AB24" s="8"/>
      <c r="AC24" s="8" t="s">
        <v>317</v>
      </c>
      <c r="AD24" s="6" t="s">
        <v>499</v>
      </c>
      <c r="AE24" s="6"/>
      <c r="AF24" s="9"/>
    </row>
    <row r="25" spans="1:32" s="10" customFormat="1" ht="47.25" x14ac:dyDescent="0.25">
      <c r="A25" s="3">
        <v>23</v>
      </c>
      <c r="B25" s="3" t="s">
        <v>102</v>
      </c>
      <c r="C25" s="5" t="s">
        <v>305</v>
      </c>
      <c r="D25" s="4" t="s">
        <v>306</v>
      </c>
      <c r="E25" s="6">
        <v>11</v>
      </c>
      <c r="F25" s="6">
        <v>462</v>
      </c>
      <c r="G25" s="6">
        <v>126.5</v>
      </c>
      <c r="H25" s="6" t="s">
        <v>51</v>
      </c>
      <c r="I25" s="7" t="s">
        <v>380</v>
      </c>
      <c r="J25" s="7"/>
      <c r="K25" s="3"/>
      <c r="L25" s="3"/>
      <c r="M25" s="3" t="s">
        <v>1</v>
      </c>
      <c r="N25" s="3"/>
      <c r="O25" s="3"/>
      <c r="P25" s="3"/>
      <c r="Q25" s="3"/>
      <c r="R25" s="6" t="s">
        <v>82</v>
      </c>
      <c r="S25" s="7">
        <v>45723</v>
      </c>
      <c r="T25" s="7">
        <v>45726</v>
      </c>
      <c r="U25" s="7">
        <v>45726</v>
      </c>
      <c r="V25" s="6">
        <v>1341</v>
      </c>
      <c r="W25" s="11">
        <v>809727</v>
      </c>
      <c r="X25" s="6"/>
      <c r="Y25" s="6"/>
      <c r="Z25" s="6"/>
      <c r="AA25" s="6"/>
      <c r="AB25" s="8" t="s">
        <v>1108</v>
      </c>
      <c r="AC25" s="8" t="s">
        <v>381</v>
      </c>
      <c r="AD25" s="6" t="s">
        <v>344</v>
      </c>
      <c r="AE25" s="6"/>
      <c r="AF25" s="9"/>
    </row>
    <row r="26" spans="1:32" s="10" customFormat="1" ht="31.5" x14ac:dyDescent="0.25">
      <c r="A26" s="3">
        <v>24</v>
      </c>
      <c r="B26" s="3" t="s">
        <v>102</v>
      </c>
      <c r="C26" s="5" t="s">
        <v>351</v>
      </c>
      <c r="D26" s="4" t="s">
        <v>352</v>
      </c>
      <c r="E26" s="6">
        <v>32</v>
      </c>
      <c r="F26" s="6">
        <v>321</v>
      </c>
      <c r="G26" s="6">
        <v>340.3</v>
      </c>
      <c r="H26" s="6" t="s">
        <v>51</v>
      </c>
      <c r="I26" s="7">
        <v>45679</v>
      </c>
      <c r="J26" s="7"/>
      <c r="K26" s="3"/>
      <c r="L26" s="3"/>
      <c r="M26" s="3"/>
      <c r="N26" s="3"/>
      <c r="O26" s="3"/>
      <c r="P26" s="3"/>
      <c r="Q26" s="3"/>
      <c r="R26" s="6" t="s">
        <v>190</v>
      </c>
      <c r="S26" s="7">
        <v>45632</v>
      </c>
      <c r="T26" s="7"/>
      <c r="U26" s="7"/>
      <c r="V26" s="6"/>
      <c r="W26" s="11"/>
      <c r="X26" s="6"/>
      <c r="Y26" s="6"/>
      <c r="Z26" s="6"/>
      <c r="AA26" s="6" t="s">
        <v>353</v>
      </c>
      <c r="AB26" s="8"/>
      <c r="AC26" s="8" t="s">
        <v>354</v>
      </c>
      <c r="AD26" s="6"/>
      <c r="AE26" s="6"/>
      <c r="AF26" s="9"/>
    </row>
    <row r="27" spans="1:32" ht="16.5" x14ac:dyDescent="0.25">
      <c r="A27" s="12"/>
      <c r="B27" s="73" t="s">
        <v>365</v>
      </c>
      <c r="C27" s="74"/>
      <c r="D27" s="74"/>
      <c r="E27" s="74"/>
      <c r="F27" s="74"/>
      <c r="G27" s="74"/>
      <c r="H27" s="75"/>
      <c r="I27" s="13"/>
      <c r="J27" s="13"/>
      <c r="K27" s="14">
        <f>COUNTIF(K3:K26,"CQ")+COUNTIF(K3:K26,"CN")+COUNTIF(K3:K26,"CT")</f>
        <v>5</v>
      </c>
      <c r="L27" s="14">
        <f>COUNTIF(L3:L26,"CMĐ")</f>
        <v>3</v>
      </c>
      <c r="M27" s="14">
        <f>COUNTIF(M3:M26,"XMDT")+COUNTIF(M3:M26,"Mốc")</f>
        <v>12</v>
      </c>
      <c r="N27" s="14">
        <f>COUNTIF(N26,"THÁn")</f>
        <v>0</v>
      </c>
      <c r="O27" s="14">
        <f>COUNTIF(O26,"TÒA")</f>
        <v>0</v>
      </c>
      <c r="P27" s="14">
        <f>COUNTIF(P3:P26,"Cấp GCN")</f>
        <v>1</v>
      </c>
      <c r="Q27" s="14">
        <f>COUNTIF(Q3:Q26,"SHN")</f>
        <v>1</v>
      </c>
      <c r="R27" s="15"/>
      <c r="S27" s="13"/>
      <c r="T27" s="15"/>
      <c r="U27" s="15"/>
      <c r="V27" s="16"/>
      <c r="W27" s="11"/>
      <c r="X27" s="17"/>
      <c r="Y27" s="2"/>
      <c r="AE27" s="14">
        <f>COUNTIF(AE26,"kt")</f>
        <v>0</v>
      </c>
    </row>
    <row r="28" spans="1:32" s="10" customFormat="1" ht="15.75" x14ac:dyDescent="0.25">
      <c r="A28" s="3">
        <v>25</v>
      </c>
      <c r="B28" s="3" t="s">
        <v>102</v>
      </c>
      <c r="C28" s="5" t="s">
        <v>425</v>
      </c>
      <c r="D28" s="4" t="s">
        <v>426</v>
      </c>
      <c r="E28" s="6">
        <v>16</v>
      </c>
      <c r="F28" s="6">
        <v>269</v>
      </c>
      <c r="G28" s="6">
        <v>220.8</v>
      </c>
      <c r="H28" s="6" t="s">
        <v>55</v>
      </c>
      <c r="I28" s="7">
        <v>45695</v>
      </c>
      <c r="J28" s="7"/>
      <c r="K28" s="3"/>
      <c r="L28" s="3"/>
      <c r="M28" s="3" t="s">
        <v>1</v>
      </c>
      <c r="N28" s="3"/>
      <c r="O28" s="3"/>
      <c r="P28" s="3"/>
      <c r="Q28" s="3"/>
      <c r="R28" s="6" t="s">
        <v>82</v>
      </c>
      <c r="S28" s="7">
        <v>45729</v>
      </c>
      <c r="T28" s="7">
        <v>45740</v>
      </c>
      <c r="U28" s="7">
        <v>45740</v>
      </c>
      <c r="V28" s="6">
        <v>1677</v>
      </c>
      <c r="W28" s="11">
        <v>961551</v>
      </c>
      <c r="X28" s="6"/>
      <c r="Y28" s="6"/>
      <c r="Z28" s="6"/>
      <c r="AA28" s="6"/>
      <c r="AB28" s="8"/>
      <c r="AC28" s="8"/>
      <c r="AD28" s="6"/>
      <c r="AE28" s="6"/>
      <c r="AF28" s="9"/>
    </row>
    <row r="29" spans="1:32" s="10" customFormat="1" ht="31.5" x14ac:dyDescent="0.25">
      <c r="A29" s="3">
        <v>26</v>
      </c>
      <c r="B29" s="3" t="s">
        <v>102</v>
      </c>
      <c r="C29" s="5" t="s">
        <v>445</v>
      </c>
      <c r="D29" s="4"/>
      <c r="E29" s="6">
        <v>38</v>
      </c>
      <c r="F29" s="6">
        <v>157</v>
      </c>
      <c r="G29" s="6">
        <v>353.4</v>
      </c>
      <c r="H29" s="6" t="s">
        <v>75</v>
      </c>
      <c r="I29" s="7"/>
      <c r="J29" s="7"/>
      <c r="K29" s="3"/>
      <c r="L29" s="3"/>
      <c r="M29" s="3"/>
      <c r="N29" s="3"/>
      <c r="O29" s="3"/>
      <c r="P29" s="3"/>
      <c r="Q29" s="3"/>
      <c r="R29" s="15" t="s">
        <v>190</v>
      </c>
      <c r="S29" s="7">
        <v>45651</v>
      </c>
      <c r="T29" s="6"/>
      <c r="U29" s="6"/>
      <c r="V29" s="6"/>
      <c r="W29" s="11"/>
      <c r="X29" s="6"/>
      <c r="Y29" s="6"/>
      <c r="Z29" s="6"/>
      <c r="AA29" s="6" t="s">
        <v>442</v>
      </c>
      <c r="AB29" s="8" t="s">
        <v>446</v>
      </c>
      <c r="AC29" s="8"/>
      <c r="AD29" s="6"/>
      <c r="AE29" s="6"/>
      <c r="AF29" s="9"/>
    </row>
    <row r="30" spans="1:32" s="10" customFormat="1" ht="47.25" x14ac:dyDescent="0.25">
      <c r="A30" s="3">
        <v>27</v>
      </c>
      <c r="B30" s="3" t="s">
        <v>102</v>
      </c>
      <c r="C30" s="5" t="s">
        <v>481</v>
      </c>
      <c r="D30" s="4" t="s">
        <v>119</v>
      </c>
      <c r="E30" s="6">
        <v>29</v>
      </c>
      <c r="F30" s="6">
        <v>555</v>
      </c>
      <c r="G30" s="6">
        <v>505.1</v>
      </c>
      <c r="H30" s="6" t="s">
        <v>51</v>
      </c>
      <c r="I30" s="7">
        <v>45699</v>
      </c>
      <c r="J30" s="7"/>
      <c r="K30" s="3"/>
      <c r="L30" s="3" t="s">
        <v>62</v>
      </c>
      <c r="M30" s="3"/>
      <c r="N30" s="3"/>
      <c r="O30" s="3"/>
      <c r="P30" s="3"/>
      <c r="Q30" s="3"/>
      <c r="R30" s="6" t="s">
        <v>82</v>
      </c>
      <c r="S30" s="7"/>
      <c r="T30" s="7"/>
      <c r="U30" s="7"/>
      <c r="V30" s="6"/>
      <c r="W30" s="11"/>
      <c r="X30" s="6"/>
      <c r="Y30" s="6"/>
      <c r="Z30" s="6"/>
      <c r="AA30" s="6"/>
      <c r="AB30" s="8"/>
      <c r="AC30" s="8"/>
      <c r="AD30" s="6" t="s">
        <v>715</v>
      </c>
      <c r="AE30" s="6"/>
      <c r="AF30" s="9"/>
    </row>
    <row r="31" spans="1:32" s="10" customFormat="1" ht="31.5" x14ac:dyDescent="0.25">
      <c r="A31" s="3">
        <v>28</v>
      </c>
      <c r="B31" s="3" t="s">
        <v>102</v>
      </c>
      <c r="C31" s="5" t="s">
        <v>542</v>
      </c>
      <c r="D31" s="4" t="s">
        <v>543</v>
      </c>
      <c r="E31" s="6">
        <v>23</v>
      </c>
      <c r="F31" s="6">
        <v>50</v>
      </c>
      <c r="G31" s="6">
        <v>85.1</v>
      </c>
      <c r="H31" s="6" t="s">
        <v>55</v>
      </c>
      <c r="I31" s="7">
        <v>45702</v>
      </c>
      <c r="J31" s="7"/>
      <c r="K31" s="3"/>
      <c r="L31" s="3"/>
      <c r="M31" s="3"/>
      <c r="N31" s="3"/>
      <c r="O31" s="3"/>
      <c r="P31" s="3"/>
      <c r="Q31" s="3" t="s">
        <v>52</v>
      </c>
      <c r="R31" s="6" t="s">
        <v>82</v>
      </c>
      <c r="S31" s="7">
        <v>45811</v>
      </c>
      <c r="T31" s="7">
        <v>45813</v>
      </c>
      <c r="U31" s="7">
        <v>45813</v>
      </c>
      <c r="V31" s="20">
        <v>1293</v>
      </c>
      <c r="W31" s="11">
        <v>2833958</v>
      </c>
      <c r="X31" s="6"/>
      <c r="Y31" s="6"/>
      <c r="Z31" s="6"/>
      <c r="AA31" s="6"/>
      <c r="AB31" s="8" t="s">
        <v>2373</v>
      </c>
      <c r="AC31" s="8" t="s">
        <v>832</v>
      </c>
      <c r="AD31" s="6" t="s">
        <v>879</v>
      </c>
      <c r="AE31" s="6"/>
      <c r="AF31" s="9"/>
    </row>
    <row r="32" spans="1:32" s="10" customFormat="1" ht="31.5" x14ac:dyDescent="0.25">
      <c r="A32" s="3">
        <v>29</v>
      </c>
      <c r="B32" s="3" t="s">
        <v>102</v>
      </c>
      <c r="C32" s="5" t="s">
        <v>561</v>
      </c>
      <c r="D32" s="4" t="s">
        <v>562</v>
      </c>
      <c r="E32" s="6">
        <v>16</v>
      </c>
      <c r="F32" s="6">
        <v>268</v>
      </c>
      <c r="G32" s="6">
        <v>217.5</v>
      </c>
      <c r="H32" s="6" t="s">
        <v>55</v>
      </c>
      <c r="I32" s="7">
        <v>45705</v>
      </c>
      <c r="J32" s="7"/>
      <c r="K32" s="3"/>
      <c r="L32" s="3"/>
      <c r="M32" s="3" t="s">
        <v>1</v>
      </c>
      <c r="N32" s="3"/>
      <c r="O32" s="3"/>
      <c r="P32" s="3"/>
      <c r="Q32" s="3"/>
      <c r="R32" s="6" t="s">
        <v>82</v>
      </c>
      <c r="S32" s="7">
        <v>45757</v>
      </c>
      <c r="T32" s="7">
        <v>45758</v>
      </c>
      <c r="U32" s="7">
        <v>45758</v>
      </c>
      <c r="V32" s="6">
        <v>2177</v>
      </c>
      <c r="W32" s="11">
        <v>961551</v>
      </c>
      <c r="X32" s="6"/>
      <c r="Y32" s="6"/>
      <c r="Z32" s="6"/>
      <c r="AA32" s="6"/>
      <c r="AB32" s="8"/>
      <c r="AC32" s="8"/>
      <c r="AD32" s="6" t="s">
        <v>1645</v>
      </c>
      <c r="AE32" s="6"/>
      <c r="AF32" s="9"/>
    </row>
    <row r="33" spans="1:32" s="10" customFormat="1" ht="31.5" x14ac:dyDescent="0.25">
      <c r="A33" s="3">
        <v>30</v>
      </c>
      <c r="B33" s="3" t="s">
        <v>102</v>
      </c>
      <c r="C33" s="5" t="s">
        <v>574</v>
      </c>
      <c r="D33" s="4" t="s">
        <v>575</v>
      </c>
      <c r="E33" s="6">
        <v>46</v>
      </c>
      <c r="F33" s="6">
        <v>74</v>
      </c>
      <c r="G33" s="6">
        <v>301.2</v>
      </c>
      <c r="H33" s="6" t="s">
        <v>51</v>
      </c>
      <c r="I33" s="7">
        <v>45705</v>
      </c>
      <c r="J33" s="7"/>
      <c r="K33" s="3"/>
      <c r="L33" s="3" t="s">
        <v>62</v>
      </c>
      <c r="M33" s="3"/>
      <c r="N33" s="3"/>
      <c r="O33" s="3"/>
      <c r="P33" s="3"/>
      <c r="Q33" s="3"/>
      <c r="R33" s="6" t="s">
        <v>82</v>
      </c>
      <c r="S33" s="7">
        <v>45716</v>
      </c>
      <c r="T33" s="7">
        <v>45720</v>
      </c>
      <c r="U33" s="7">
        <v>45720</v>
      </c>
      <c r="V33" s="6">
        <v>1205</v>
      </c>
      <c r="W33" s="11">
        <v>961551</v>
      </c>
      <c r="X33" s="6"/>
      <c r="Y33" s="6"/>
      <c r="Z33" s="6"/>
      <c r="AA33" s="6" t="s">
        <v>1387</v>
      </c>
      <c r="AB33" s="8" t="s">
        <v>1395</v>
      </c>
      <c r="AC33" s="8"/>
      <c r="AD33" s="6"/>
      <c r="AE33" s="6"/>
      <c r="AF33" s="9"/>
    </row>
    <row r="34" spans="1:32" s="10" customFormat="1" ht="35.25" customHeight="1" x14ac:dyDescent="0.25">
      <c r="A34" s="3">
        <v>31</v>
      </c>
      <c r="B34" s="3" t="s">
        <v>102</v>
      </c>
      <c r="C34" s="5" t="s">
        <v>576</v>
      </c>
      <c r="D34" s="4" t="s">
        <v>577</v>
      </c>
      <c r="E34" s="6">
        <v>63</v>
      </c>
      <c r="F34" s="6">
        <v>171</v>
      </c>
      <c r="G34" s="6">
        <v>83.8</v>
      </c>
      <c r="H34" s="6" t="s">
        <v>55</v>
      </c>
      <c r="I34" s="7">
        <v>45706</v>
      </c>
      <c r="J34" s="7"/>
      <c r="K34" s="3"/>
      <c r="L34" s="3"/>
      <c r="M34" s="3"/>
      <c r="N34" s="3"/>
      <c r="O34" s="3"/>
      <c r="P34" s="3"/>
      <c r="Q34" s="3" t="s">
        <v>52</v>
      </c>
      <c r="R34" s="6" t="s">
        <v>82</v>
      </c>
      <c r="S34" s="7">
        <v>45716</v>
      </c>
      <c r="T34" s="7">
        <v>45719</v>
      </c>
      <c r="U34" s="7">
        <v>45719</v>
      </c>
      <c r="V34" s="20">
        <v>1174</v>
      </c>
      <c r="W34" s="11">
        <v>1416978</v>
      </c>
      <c r="X34" s="6"/>
      <c r="Y34" s="6"/>
      <c r="Z34" s="6"/>
      <c r="AA34" s="6"/>
      <c r="AB34" s="8"/>
      <c r="AC34" s="8" t="s">
        <v>2286</v>
      </c>
      <c r="AD34" s="6"/>
      <c r="AE34" s="6"/>
      <c r="AF34" s="9"/>
    </row>
    <row r="35" spans="1:32" s="10" customFormat="1" ht="31.5" x14ac:dyDescent="0.25">
      <c r="A35" s="3">
        <v>32</v>
      </c>
      <c r="B35" s="3" t="s">
        <v>102</v>
      </c>
      <c r="C35" s="5" t="s">
        <v>584</v>
      </c>
      <c r="D35" s="4" t="s">
        <v>585</v>
      </c>
      <c r="E35" s="6">
        <v>19</v>
      </c>
      <c r="F35" s="6">
        <v>439</v>
      </c>
      <c r="G35" s="6">
        <v>190.6</v>
      </c>
      <c r="H35" s="6" t="s">
        <v>586</v>
      </c>
      <c r="I35" s="7">
        <v>45706</v>
      </c>
      <c r="J35" s="7"/>
      <c r="K35" s="3"/>
      <c r="L35" s="3" t="s">
        <v>62</v>
      </c>
      <c r="M35" s="3"/>
      <c r="N35" s="3"/>
      <c r="O35" s="3"/>
      <c r="P35" s="3"/>
      <c r="Q35" s="3"/>
      <c r="R35" s="6" t="s">
        <v>82</v>
      </c>
      <c r="S35" s="7">
        <v>45716</v>
      </c>
      <c r="T35" s="7">
        <v>45719</v>
      </c>
      <c r="U35" s="7">
        <v>45719</v>
      </c>
      <c r="V35" s="20">
        <v>1185</v>
      </c>
      <c r="W35" s="11">
        <v>809727</v>
      </c>
      <c r="X35" s="6"/>
      <c r="Y35" s="6"/>
      <c r="Z35" s="6"/>
      <c r="AA35" s="6" t="s">
        <v>1387</v>
      </c>
      <c r="AB35" s="8" t="s">
        <v>1395</v>
      </c>
      <c r="AC35" s="8"/>
      <c r="AD35" s="6"/>
      <c r="AE35" s="6"/>
      <c r="AF35" s="9"/>
    </row>
    <row r="36" spans="1:32" s="10" customFormat="1" ht="15.75" x14ac:dyDescent="0.25">
      <c r="A36" s="3">
        <v>33</v>
      </c>
      <c r="B36" s="3" t="s">
        <v>102</v>
      </c>
      <c r="C36" s="5" t="s">
        <v>595</v>
      </c>
      <c r="D36" s="4" t="s">
        <v>596</v>
      </c>
      <c r="E36" s="6">
        <v>41</v>
      </c>
      <c r="F36" s="6">
        <v>70</v>
      </c>
      <c r="G36" s="6">
        <v>137.9</v>
      </c>
      <c r="H36" s="6" t="s">
        <v>51</v>
      </c>
      <c r="I36" s="7">
        <v>45706</v>
      </c>
      <c r="J36" s="7"/>
      <c r="K36" s="3"/>
      <c r="L36" s="3" t="s">
        <v>62</v>
      </c>
      <c r="M36" s="3"/>
      <c r="N36" s="3"/>
      <c r="O36" s="3"/>
      <c r="P36" s="3"/>
      <c r="Q36" s="3"/>
      <c r="R36" s="6" t="s">
        <v>82</v>
      </c>
      <c r="S36" s="7">
        <v>45743</v>
      </c>
      <c r="T36" s="7">
        <v>45744</v>
      </c>
      <c r="U36" s="7">
        <v>45744</v>
      </c>
      <c r="V36" s="6">
        <v>1840</v>
      </c>
      <c r="W36" s="11">
        <v>961551</v>
      </c>
      <c r="X36" s="6"/>
      <c r="Y36" s="6"/>
      <c r="Z36" s="6"/>
      <c r="AA36" s="6"/>
      <c r="AB36" s="8"/>
      <c r="AC36" s="8"/>
      <c r="AD36" s="6"/>
      <c r="AE36" s="6"/>
      <c r="AF36" s="9"/>
    </row>
    <row r="37" spans="1:32" s="10" customFormat="1" ht="47.25" x14ac:dyDescent="0.25">
      <c r="A37" s="3">
        <v>34</v>
      </c>
      <c r="B37" s="3" t="s">
        <v>102</v>
      </c>
      <c r="C37" s="5" t="s">
        <v>609</v>
      </c>
      <c r="D37" s="4" t="s">
        <v>610</v>
      </c>
      <c r="E37" s="6">
        <v>22</v>
      </c>
      <c r="F37" s="6">
        <v>7</v>
      </c>
      <c r="G37" s="6">
        <v>771.9</v>
      </c>
      <c r="H37" s="6"/>
      <c r="I37" s="7">
        <v>45707</v>
      </c>
      <c r="J37" s="7"/>
      <c r="K37" s="3"/>
      <c r="L37" s="3"/>
      <c r="M37" s="3"/>
      <c r="N37" s="3"/>
      <c r="O37" s="3"/>
      <c r="P37" s="3" t="s">
        <v>81</v>
      </c>
      <c r="Q37" s="3"/>
      <c r="R37" s="6" t="s">
        <v>82</v>
      </c>
      <c r="S37" s="7">
        <v>45819</v>
      </c>
      <c r="T37" s="7">
        <v>45820</v>
      </c>
      <c r="U37" s="7">
        <v>45820</v>
      </c>
      <c r="V37" s="6">
        <v>1471</v>
      </c>
      <c r="W37" s="11">
        <v>1248329</v>
      </c>
      <c r="X37" s="6"/>
      <c r="Y37" s="6"/>
      <c r="Z37" s="6"/>
      <c r="AA37" s="6"/>
      <c r="AB37" s="8"/>
      <c r="AC37" s="8"/>
      <c r="AD37" s="6"/>
      <c r="AE37" s="6"/>
      <c r="AF37" s="9"/>
    </row>
    <row r="38" spans="1:32" s="10" customFormat="1" ht="31.5" x14ac:dyDescent="0.25">
      <c r="A38" s="3">
        <v>35</v>
      </c>
      <c r="B38" s="3" t="s">
        <v>102</v>
      </c>
      <c r="C38" s="5" t="s">
        <v>613</v>
      </c>
      <c r="D38" s="4" t="s">
        <v>614</v>
      </c>
      <c r="E38" s="6">
        <v>23</v>
      </c>
      <c r="F38" s="6">
        <v>75</v>
      </c>
      <c r="G38" s="6">
        <v>92.7</v>
      </c>
      <c r="H38" s="6" t="s">
        <v>55</v>
      </c>
      <c r="I38" s="7">
        <v>45707</v>
      </c>
      <c r="J38" s="7"/>
      <c r="K38" s="3"/>
      <c r="L38" s="3"/>
      <c r="M38" s="3"/>
      <c r="N38" s="3"/>
      <c r="O38" s="3"/>
      <c r="P38" s="3"/>
      <c r="Q38" s="3" t="s">
        <v>52</v>
      </c>
      <c r="R38" s="6" t="s">
        <v>82</v>
      </c>
      <c r="S38" s="7">
        <v>45722</v>
      </c>
      <c r="T38" s="7">
        <v>45726</v>
      </c>
      <c r="U38" s="7">
        <v>45726</v>
      </c>
      <c r="V38" s="6">
        <v>1339</v>
      </c>
      <c r="W38" s="11">
        <v>1416978</v>
      </c>
      <c r="X38" s="6"/>
      <c r="Y38" s="6"/>
      <c r="Z38" s="6"/>
      <c r="AA38" s="6"/>
      <c r="AB38" s="8"/>
      <c r="AC38" s="8"/>
      <c r="AD38" s="6" t="s">
        <v>1972</v>
      </c>
      <c r="AE38" s="6"/>
      <c r="AF38" s="9"/>
    </row>
    <row r="39" spans="1:32" s="10" customFormat="1" ht="47.25" x14ac:dyDescent="0.25">
      <c r="A39" s="3">
        <v>36</v>
      </c>
      <c r="B39" s="3" t="s">
        <v>102</v>
      </c>
      <c r="C39" s="5" t="s">
        <v>625</v>
      </c>
      <c r="D39" s="4" t="s">
        <v>205</v>
      </c>
      <c r="E39" s="6">
        <v>26</v>
      </c>
      <c r="F39" s="6">
        <v>124</v>
      </c>
      <c r="G39" s="3">
        <v>107.2</v>
      </c>
      <c r="H39" s="3" t="s">
        <v>75</v>
      </c>
      <c r="I39" s="7">
        <v>45708</v>
      </c>
      <c r="J39" s="7"/>
      <c r="K39" s="3"/>
      <c r="L39" s="3"/>
      <c r="M39" s="3" t="s">
        <v>1</v>
      </c>
      <c r="N39" s="3"/>
      <c r="O39" s="3"/>
      <c r="P39" s="3"/>
      <c r="Q39" s="3"/>
      <c r="R39" s="6" t="s">
        <v>82</v>
      </c>
      <c r="S39" s="7">
        <v>45786</v>
      </c>
      <c r="T39" s="7">
        <v>45786</v>
      </c>
      <c r="U39" s="7">
        <v>45786</v>
      </c>
      <c r="V39" s="6">
        <v>486</v>
      </c>
      <c r="W39" s="11">
        <v>961551</v>
      </c>
      <c r="X39" s="6"/>
      <c r="Y39" s="6"/>
      <c r="Z39" s="6"/>
      <c r="AA39" s="6"/>
      <c r="AB39" s="8"/>
      <c r="AC39" s="8"/>
      <c r="AD39" s="8"/>
      <c r="AE39" s="6"/>
      <c r="AF39" s="9"/>
    </row>
    <row r="40" spans="1:32" s="10" customFormat="1" ht="15.75" x14ac:dyDescent="0.25">
      <c r="A40" s="3">
        <v>37</v>
      </c>
      <c r="B40" s="3" t="s">
        <v>102</v>
      </c>
      <c r="C40" s="5" t="s">
        <v>638</v>
      </c>
      <c r="D40" s="4" t="s">
        <v>639</v>
      </c>
      <c r="E40" s="6">
        <v>37</v>
      </c>
      <c r="F40" s="6">
        <v>136</v>
      </c>
      <c r="G40" s="6">
        <v>159.1</v>
      </c>
      <c r="H40" s="3" t="s">
        <v>75</v>
      </c>
      <c r="I40" s="7">
        <v>45709</v>
      </c>
      <c r="J40" s="7"/>
      <c r="K40" s="3"/>
      <c r="L40" s="3" t="s">
        <v>62</v>
      </c>
      <c r="M40" s="3"/>
      <c r="N40" s="3"/>
      <c r="O40" s="3"/>
      <c r="P40" s="3"/>
      <c r="Q40" s="3"/>
      <c r="R40" s="6" t="s">
        <v>82</v>
      </c>
      <c r="S40" s="7">
        <v>45735</v>
      </c>
      <c r="T40" s="6"/>
      <c r="U40" s="6"/>
      <c r="V40" s="6"/>
      <c r="W40" s="11"/>
      <c r="X40" s="6"/>
      <c r="Y40" s="6"/>
      <c r="Z40" s="6"/>
      <c r="AA40" s="6"/>
      <c r="AB40" s="8"/>
      <c r="AC40" s="8"/>
      <c r="AD40" s="6"/>
      <c r="AE40" s="6"/>
      <c r="AF40" s="9"/>
    </row>
    <row r="41" spans="1:32" s="10" customFormat="1" ht="31.5" x14ac:dyDescent="0.25">
      <c r="A41" s="3">
        <v>38</v>
      </c>
      <c r="B41" s="3" t="s">
        <v>102</v>
      </c>
      <c r="C41" s="5" t="s">
        <v>651</v>
      </c>
      <c r="D41" s="4" t="s">
        <v>652</v>
      </c>
      <c r="E41" s="6">
        <v>37</v>
      </c>
      <c r="F41" s="6">
        <v>405</v>
      </c>
      <c r="G41" s="6">
        <v>1641.5</v>
      </c>
      <c r="H41" s="3" t="s">
        <v>75</v>
      </c>
      <c r="I41" s="7"/>
      <c r="J41" s="7"/>
      <c r="K41" s="3"/>
      <c r="L41" s="3"/>
      <c r="M41" s="3"/>
      <c r="N41" s="3"/>
      <c r="O41" s="3"/>
      <c r="P41" s="3"/>
      <c r="Q41" s="3"/>
      <c r="R41" s="15" t="s">
        <v>190</v>
      </c>
      <c r="S41" s="7">
        <v>45653</v>
      </c>
      <c r="T41" s="6"/>
      <c r="U41" s="6"/>
      <c r="V41" s="6"/>
      <c r="W41" s="11"/>
      <c r="X41" s="6"/>
      <c r="Y41" s="6"/>
      <c r="Z41" s="6"/>
      <c r="AA41" s="6" t="s">
        <v>642</v>
      </c>
      <c r="AB41" s="8" t="s">
        <v>644</v>
      </c>
      <c r="AC41" s="8"/>
      <c r="AD41" s="6"/>
      <c r="AE41" s="6"/>
      <c r="AF41" s="9"/>
    </row>
    <row r="42" spans="1:32" s="10" customFormat="1" ht="31.5" x14ac:dyDescent="0.25">
      <c r="A42" s="3">
        <v>39</v>
      </c>
      <c r="B42" s="3" t="s">
        <v>102</v>
      </c>
      <c r="C42" s="5" t="s">
        <v>655</v>
      </c>
      <c r="D42" s="4" t="s">
        <v>656</v>
      </c>
      <c r="E42" s="6">
        <v>49</v>
      </c>
      <c r="F42" s="6">
        <v>48</v>
      </c>
      <c r="G42" s="6">
        <v>453.4</v>
      </c>
      <c r="H42" s="6" t="s">
        <v>51</v>
      </c>
      <c r="I42" s="7">
        <v>45712</v>
      </c>
      <c r="J42" s="7"/>
      <c r="K42" s="3"/>
      <c r="L42" s="3" t="s">
        <v>62</v>
      </c>
      <c r="M42" s="3"/>
      <c r="N42" s="3"/>
      <c r="O42" s="3"/>
      <c r="P42" s="3"/>
      <c r="Q42" s="3"/>
      <c r="R42" s="15" t="s">
        <v>82</v>
      </c>
      <c r="S42" s="7">
        <v>45735</v>
      </c>
      <c r="T42" s="7">
        <v>45736</v>
      </c>
      <c r="U42" s="7">
        <v>45736</v>
      </c>
      <c r="V42" s="6">
        <v>1609</v>
      </c>
      <c r="W42" s="11">
        <v>961551</v>
      </c>
      <c r="X42" s="6"/>
      <c r="Y42" s="6"/>
      <c r="Z42" s="6"/>
      <c r="AA42" s="6" t="s">
        <v>1540</v>
      </c>
      <c r="AB42" s="8" t="s">
        <v>1547</v>
      </c>
      <c r="AC42" s="8"/>
      <c r="AD42" s="6"/>
      <c r="AE42" s="6"/>
      <c r="AF42" s="9"/>
    </row>
    <row r="43" spans="1:32" s="10" customFormat="1" ht="31.5" x14ac:dyDescent="0.25">
      <c r="A43" s="3">
        <v>40</v>
      </c>
      <c r="B43" s="3" t="s">
        <v>102</v>
      </c>
      <c r="C43" s="5" t="s">
        <v>668</v>
      </c>
      <c r="D43" s="4" t="s">
        <v>669</v>
      </c>
      <c r="E43" s="6">
        <v>64</v>
      </c>
      <c r="F43" s="6">
        <v>50</v>
      </c>
      <c r="G43" s="6">
        <v>1080.3</v>
      </c>
      <c r="H43" s="6" t="s">
        <v>75</v>
      </c>
      <c r="I43" s="7">
        <v>45712</v>
      </c>
      <c r="J43" s="7"/>
      <c r="K43" s="3"/>
      <c r="L43" s="3"/>
      <c r="M43" s="3"/>
      <c r="N43" s="3"/>
      <c r="O43" s="3"/>
      <c r="P43" s="3"/>
      <c r="Q43" s="3" t="s">
        <v>52</v>
      </c>
      <c r="R43" s="15" t="s">
        <v>82</v>
      </c>
      <c r="S43" s="7">
        <v>45825</v>
      </c>
      <c r="T43" s="7">
        <v>45828</v>
      </c>
      <c r="U43" s="7">
        <v>45828</v>
      </c>
      <c r="V43" s="6">
        <v>1761</v>
      </c>
      <c r="W43" s="11">
        <v>1682662</v>
      </c>
      <c r="X43" s="6"/>
      <c r="Y43" s="6"/>
      <c r="Z43" s="6"/>
      <c r="AA43" s="6"/>
      <c r="AB43" s="8"/>
      <c r="AC43" s="8"/>
      <c r="AD43" s="6" t="s">
        <v>2724</v>
      </c>
      <c r="AE43" s="6"/>
      <c r="AF43" s="9"/>
    </row>
    <row r="44" spans="1:32" s="10" customFormat="1" ht="16.5" x14ac:dyDescent="0.25">
      <c r="A44" s="3">
        <v>41</v>
      </c>
      <c r="B44" s="3" t="s">
        <v>102</v>
      </c>
      <c r="C44" s="5" t="s">
        <v>671</v>
      </c>
      <c r="D44" s="4" t="s">
        <v>607</v>
      </c>
      <c r="E44" s="6">
        <v>46</v>
      </c>
      <c r="F44" s="6">
        <v>25</v>
      </c>
      <c r="G44" s="6">
        <v>1001.1</v>
      </c>
      <c r="H44" s="6" t="s">
        <v>75</v>
      </c>
      <c r="I44" s="7">
        <v>45709</v>
      </c>
      <c r="J44" s="7"/>
      <c r="K44" s="3"/>
      <c r="L44" s="3"/>
      <c r="M44" s="3"/>
      <c r="N44" s="3"/>
      <c r="O44" s="3"/>
      <c r="P44" s="3"/>
      <c r="Q44" s="3" t="s">
        <v>52</v>
      </c>
      <c r="R44" s="15" t="s">
        <v>82</v>
      </c>
      <c r="S44" s="6"/>
      <c r="T44" s="6"/>
      <c r="U44" s="6"/>
      <c r="V44" s="6"/>
      <c r="W44" s="11"/>
      <c r="X44" s="6"/>
      <c r="Y44" s="6"/>
      <c r="Z44" s="6"/>
      <c r="AA44" s="6"/>
      <c r="AB44" s="8"/>
      <c r="AC44" s="8"/>
      <c r="AD44" s="6"/>
      <c r="AE44" s="6"/>
      <c r="AF44" s="9"/>
    </row>
    <row r="45" spans="1:32" ht="16.5" x14ac:dyDescent="0.25">
      <c r="A45" s="12"/>
      <c r="B45" s="73" t="s">
        <v>706</v>
      </c>
      <c r="C45" s="74"/>
      <c r="D45" s="74"/>
      <c r="E45" s="74"/>
      <c r="F45" s="74"/>
      <c r="G45" s="74"/>
      <c r="H45" s="75"/>
      <c r="I45" s="13"/>
      <c r="J45" s="13"/>
      <c r="K45" s="14">
        <f>COUNTIF(K28:K44,"CQ")+COUNTIF(K14,"CN")+COUNTIF(K14,"TK")</f>
        <v>0</v>
      </c>
      <c r="L45" s="14">
        <f>COUNTIF(L28:L44,"CMĐ")</f>
        <v>6</v>
      </c>
      <c r="M45" s="14">
        <f>COUNTIF(M28:M44,"XMDT")+COUNTIF(M28:M44,"Mốc")</f>
        <v>3</v>
      </c>
      <c r="N45" s="14">
        <f>COUNTIF(N14,"THÁn")</f>
        <v>0</v>
      </c>
      <c r="O45" s="14">
        <f>COUNTIF(O14,"TÒA")</f>
        <v>0</v>
      </c>
      <c r="P45" s="14">
        <f>COUNTIF(P28:P44,"Cấp GCN")</f>
        <v>1</v>
      </c>
      <c r="Q45" s="14">
        <f>COUNTIF(Q28:Q44,"SHN")</f>
        <v>5</v>
      </c>
      <c r="R45" s="15"/>
      <c r="S45" s="13"/>
      <c r="T45" s="15"/>
      <c r="U45" s="15"/>
      <c r="V45" s="16"/>
      <c r="W45" s="11"/>
      <c r="X45" s="17"/>
      <c r="Y45" s="2"/>
      <c r="AE45" s="14">
        <f>COUNTIF(AE14,"kt")</f>
        <v>0</v>
      </c>
    </row>
    <row r="46" spans="1:32" s="10" customFormat="1" ht="31.5" x14ac:dyDescent="0.25">
      <c r="A46" s="3">
        <v>42</v>
      </c>
      <c r="B46" s="3" t="s">
        <v>102</v>
      </c>
      <c r="C46" s="5" t="s">
        <v>761</v>
      </c>
      <c r="D46" s="4" t="s">
        <v>762</v>
      </c>
      <c r="E46" s="6">
        <v>44</v>
      </c>
      <c r="F46" s="6">
        <v>21</v>
      </c>
      <c r="G46" s="6">
        <v>1190.7</v>
      </c>
      <c r="H46" s="6" t="s">
        <v>51</v>
      </c>
      <c r="I46" s="7">
        <v>45715</v>
      </c>
      <c r="J46" s="7"/>
      <c r="K46" s="3"/>
      <c r="L46" s="3"/>
      <c r="M46" s="3" t="s">
        <v>1</v>
      </c>
      <c r="N46" s="3"/>
      <c r="O46" s="3"/>
      <c r="P46" s="3"/>
      <c r="Q46" s="3"/>
      <c r="R46" s="15" t="s">
        <v>82</v>
      </c>
      <c r="S46" s="7">
        <v>45758</v>
      </c>
      <c r="T46" s="7">
        <v>45768</v>
      </c>
      <c r="U46" s="7">
        <v>45768</v>
      </c>
      <c r="V46" s="6">
        <v>4</v>
      </c>
      <c r="W46" s="11">
        <v>1713674</v>
      </c>
      <c r="X46" s="6"/>
      <c r="Y46" s="6"/>
      <c r="Z46" s="6"/>
      <c r="AA46" s="6"/>
      <c r="AB46" s="8"/>
      <c r="AC46" s="8"/>
      <c r="AD46" s="6" t="s">
        <v>1667</v>
      </c>
      <c r="AE46" s="6"/>
      <c r="AF46" s="9"/>
    </row>
    <row r="47" spans="1:32" s="10" customFormat="1" ht="31.5" x14ac:dyDescent="0.25">
      <c r="A47" s="3">
        <v>43</v>
      </c>
      <c r="B47" s="3" t="s">
        <v>102</v>
      </c>
      <c r="C47" s="5" t="s">
        <v>779</v>
      </c>
      <c r="D47" s="4" t="s">
        <v>780</v>
      </c>
      <c r="E47" s="6">
        <v>41</v>
      </c>
      <c r="F47" s="6">
        <v>57</v>
      </c>
      <c r="G47" s="6">
        <v>183.2</v>
      </c>
      <c r="H47" s="6" t="s">
        <v>51</v>
      </c>
      <c r="I47" s="7">
        <v>45716</v>
      </c>
      <c r="J47" s="7"/>
      <c r="K47" s="3"/>
      <c r="L47" s="3" t="s">
        <v>62</v>
      </c>
      <c r="M47" s="3"/>
      <c r="N47" s="3"/>
      <c r="O47" s="3"/>
      <c r="P47" s="3"/>
      <c r="Q47" s="3"/>
      <c r="R47" s="15" t="s">
        <v>82</v>
      </c>
      <c r="S47" s="7">
        <v>45743</v>
      </c>
      <c r="T47" s="7">
        <v>45744</v>
      </c>
      <c r="U47" s="7">
        <v>45744</v>
      </c>
      <c r="V47" s="6">
        <v>1819</v>
      </c>
      <c r="W47" s="11">
        <v>961551</v>
      </c>
      <c r="X47" s="6"/>
      <c r="Y47" s="6"/>
      <c r="Z47" s="6"/>
      <c r="AA47" s="6" t="s">
        <v>1777</v>
      </c>
      <c r="AB47" s="8" t="s">
        <v>1778</v>
      </c>
      <c r="AC47" s="8"/>
      <c r="AD47" s="6"/>
      <c r="AE47" s="6"/>
      <c r="AF47" s="9"/>
    </row>
    <row r="48" spans="1:32" s="10" customFormat="1" ht="16.5" x14ac:dyDescent="0.25">
      <c r="A48" s="3">
        <v>44</v>
      </c>
      <c r="B48" s="3" t="s">
        <v>102</v>
      </c>
      <c r="C48" s="5" t="s">
        <v>267</v>
      </c>
      <c r="D48" s="4" t="s">
        <v>787</v>
      </c>
      <c r="E48" s="6">
        <v>47</v>
      </c>
      <c r="F48" s="6">
        <v>45</v>
      </c>
      <c r="G48" s="6">
        <v>195.8</v>
      </c>
      <c r="H48" s="6" t="s">
        <v>75</v>
      </c>
      <c r="I48" s="7">
        <v>45716</v>
      </c>
      <c r="J48" s="7"/>
      <c r="K48" s="3"/>
      <c r="L48" s="3" t="s">
        <v>62</v>
      </c>
      <c r="M48" s="3"/>
      <c r="N48" s="3"/>
      <c r="O48" s="3"/>
      <c r="P48" s="3"/>
      <c r="Q48" s="3"/>
      <c r="R48" s="15" t="s">
        <v>82</v>
      </c>
      <c r="S48" s="7">
        <v>45743</v>
      </c>
      <c r="T48" s="7">
        <v>45755</v>
      </c>
      <c r="U48" s="7">
        <v>45755</v>
      </c>
      <c r="V48" s="20">
        <v>2066</v>
      </c>
      <c r="W48" s="11">
        <v>961551</v>
      </c>
      <c r="X48" s="6"/>
      <c r="Y48" s="6"/>
      <c r="Z48" s="6"/>
      <c r="AA48" s="6"/>
      <c r="AB48" s="8"/>
      <c r="AC48" s="8"/>
      <c r="AD48" s="6"/>
      <c r="AE48" s="6"/>
      <c r="AF48" s="9"/>
    </row>
    <row r="49" spans="1:32" s="10" customFormat="1" ht="36.75" customHeight="1" x14ac:dyDescent="0.25">
      <c r="A49" s="3">
        <v>45</v>
      </c>
      <c r="B49" s="3" t="s">
        <v>102</v>
      </c>
      <c r="C49" s="5" t="s">
        <v>788</v>
      </c>
      <c r="D49" s="4" t="s">
        <v>607</v>
      </c>
      <c r="E49" s="4" t="s">
        <v>789</v>
      </c>
      <c r="F49" s="6">
        <v>430</v>
      </c>
      <c r="G49" s="6">
        <v>95.8</v>
      </c>
      <c r="H49" s="6" t="s">
        <v>55</v>
      </c>
      <c r="I49" s="7">
        <v>45716</v>
      </c>
      <c r="J49" s="7"/>
      <c r="K49" s="3"/>
      <c r="L49" s="3"/>
      <c r="M49" s="3"/>
      <c r="N49" s="3"/>
      <c r="O49" s="3"/>
      <c r="P49" s="3"/>
      <c r="Q49" s="3" t="s">
        <v>52</v>
      </c>
      <c r="R49" s="15" t="s">
        <v>82</v>
      </c>
      <c r="S49" s="7">
        <v>45756</v>
      </c>
      <c r="T49" s="7">
        <v>45763</v>
      </c>
      <c r="U49" s="7">
        <v>45763</v>
      </c>
      <c r="V49" s="6">
        <v>2307</v>
      </c>
      <c r="W49" s="11">
        <v>1416978</v>
      </c>
      <c r="X49" s="6"/>
      <c r="Y49" s="6"/>
      <c r="Z49" s="6"/>
      <c r="AA49" s="6"/>
      <c r="AB49" s="8"/>
      <c r="AC49" s="8"/>
      <c r="AD49" s="6" t="s">
        <v>1792</v>
      </c>
      <c r="AE49" s="6"/>
      <c r="AF49" s="9"/>
    </row>
    <row r="50" spans="1:32" s="10" customFormat="1" ht="31.5" x14ac:dyDescent="0.25">
      <c r="A50" s="3">
        <v>46</v>
      </c>
      <c r="B50" s="3" t="s">
        <v>102</v>
      </c>
      <c r="C50" s="5" t="s">
        <v>795</v>
      </c>
      <c r="D50" s="4" t="s">
        <v>796</v>
      </c>
      <c r="E50" s="6">
        <v>49</v>
      </c>
      <c r="F50" s="6">
        <v>71</v>
      </c>
      <c r="G50" s="6">
        <v>1701.7</v>
      </c>
      <c r="H50" s="6" t="s">
        <v>51</v>
      </c>
      <c r="I50" s="7">
        <v>45716</v>
      </c>
      <c r="J50" s="7"/>
      <c r="K50" s="3"/>
      <c r="L50" s="3" t="s">
        <v>62</v>
      </c>
      <c r="M50" s="3"/>
      <c r="N50" s="3"/>
      <c r="O50" s="3"/>
      <c r="P50" s="3"/>
      <c r="Q50" s="3"/>
      <c r="R50" s="15" t="s">
        <v>82</v>
      </c>
      <c r="S50" s="7">
        <v>45737</v>
      </c>
      <c r="T50" s="7">
        <v>45741</v>
      </c>
      <c r="U50" s="7">
        <v>45741</v>
      </c>
      <c r="V50" s="6">
        <v>1716</v>
      </c>
      <c r="W50" s="11">
        <v>961551</v>
      </c>
      <c r="X50" s="6"/>
      <c r="Y50" s="6"/>
      <c r="Z50" s="6"/>
      <c r="AA50" s="6" t="s">
        <v>2391</v>
      </c>
      <c r="AB50" s="8" t="s">
        <v>2430</v>
      </c>
      <c r="AC50" s="8"/>
      <c r="AD50" s="6"/>
      <c r="AE50" s="6"/>
      <c r="AF50" s="9"/>
    </row>
    <row r="51" spans="1:32" s="10" customFormat="1" ht="31.5" x14ac:dyDescent="0.25">
      <c r="A51" s="3">
        <v>47</v>
      </c>
      <c r="B51" s="3" t="s">
        <v>102</v>
      </c>
      <c r="C51" s="5" t="s">
        <v>807</v>
      </c>
      <c r="D51" s="4" t="s">
        <v>808</v>
      </c>
      <c r="E51" s="6">
        <v>22</v>
      </c>
      <c r="F51" s="6">
        <v>515</v>
      </c>
      <c r="G51" s="6">
        <v>552.79999999999995</v>
      </c>
      <c r="H51" s="6" t="s">
        <v>51</v>
      </c>
      <c r="I51" s="7">
        <v>45719</v>
      </c>
      <c r="J51" s="7"/>
      <c r="K51" s="3"/>
      <c r="L51" s="3" t="s">
        <v>62</v>
      </c>
      <c r="M51" s="3"/>
      <c r="N51" s="3"/>
      <c r="O51" s="3"/>
      <c r="P51" s="3"/>
      <c r="Q51" s="3"/>
      <c r="R51" s="15" t="s">
        <v>82</v>
      </c>
      <c r="S51" s="7">
        <v>45736</v>
      </c>
      <c r="T51" s="7">
        <v>45737</v>
      </c>
      <c r="U51" s="7">
        <v>45737</v>
      </c>
      <c r="V51" s="6">
        <v>1661</v>
      </c>
      <c r="W51" s="11">
        <v>1019155</v>
      </c>
      <c r="X51" s="6"/>
      <c r="Y51" s="6"/>
      <c r="Z51" s="6"/>
      <c r="AA51" s="6" t="s">
        <v>1914</v>
      </c>
      <c r="AB51" s="8" t="s">
        <v>2431</v>
      </c>
      <c r="AC51" s="8"/>
      <c r="AD51" s="6"/>
      <c r="AE51" s="6"/>
      <c r="AF51" s="9"/>
    </row>
    <row r="52" spans="1:32" s="10" customFormat="1" ht="33.75" customHeight="1" x14ac:dyDescent="0.25">
      <c r="A52" s="3">
        <v>48</v>
      </c>
      <c r="B52" s="3" t="s">
        <v>102</v>
      </c>
      <c r="C52" s="5" t="s">
        <v>865</v>
      </c>
      <c r="D52" s="4" t="s">
        <v>866</v>
      </c>
      <c r="E52" s="6">
        <v>32</v>
      </c>
      <c r="F52" s="6">
        <v>43</v>
      </c>
      <c r="G52" s="6">
        <v>3199.9</v>
      </c>
      <c r="H52" s="6" t="s">
        <v>75</v>
      </c>
      <c r="I52" s="7">
        <v>45721</v>
      </c>
      <c r="J52" s="7"/>
      <c r="K52" s="3" t="s">
        <v>153</v>
      </c>
      <c r="L52" s="3"/>
      <c r="M52" s="3"/>
      <c r="N52" s="3"/>
      <c r="O52" s="3"/>
      <c r="P52" s="3"/>
      <c r="Q52" s="3"/>
      <c r="R52" s="15" t="s">
        <v>82</v>
      </c>
      <c r="S52" s="7">
        <v>45825</v>
      </c>
      <c r="T52" s="7">
        <v>45826</v>
      </c>
      <c r="U52" s="7">
        <v>45826</v>
      </c>
      <c r="V52" s="6">
        <v>1635</v>
      </c>
      <c r="W52" s="11">
        <v>1019155</v>
      </c>
      <c r="X52" s="6"/>
      <c r="Y52" s="6"/>
      <c r="Z52" s="6"/>
      <c r="AA52" s="6" t="s">
        <v>2700</v>
      </c>
      <c r="AB52" s="8" t="s">
        <v>2701</v>
      </c>
      <c r="AC52" s="8" t="s">
        <v>993</v>
      </c>
      <c r="AD52" s="6" t="s">
        <v>2681</v>
      </c>
      <c r="AE52" s="6"/>
      <c r="AF52" s="9" t="s">
        <v>867</v>
      </c>
    </row>
    <row r="53" spans="1:32" s="10" customFormat="1" ht="16.5" x14ac:dyDescent="0.25">
      <c r="A53" s="3">
        <v>49</v>
      </c>
      <c r="B53" s="3" t="s">
        <v>102</v>
      </c>
      <c r="C53" s="5" t="s">
        <v>941</v>
      </c>
      <c r="D53" s="4" t="s">
        <v>942</v>
      </c>
      <c r="E53" s="6">
        <v>27</v>
      </c>
      <c r="F53" s="6">
        <v>393</v>
      </c>
      <c r="G53" s="6">
        <v>215.5</v>
      </c>
      <c r="H53" s="6" t="s">
        <v>51</v>
      </c>
      <c r="I53" s="7">
        <v>45726</v>
      </c>
      <c r="J53" s="7"/>
      <c r="K53" s="3"/>
      <c r="L53" s="3" t="s">
        <v>62</v>
      </c>
      <c r="M53" s="3"/>
      <c r="N53" s="3"/>
      <c r="O53" s="3"/>
      <c r="P53" s="3"/>
      <c r="Q53" s="3"/>
      <c r="R53" s="15" t="s">
        <v>82</v>
      </c>
      <c r="S53" s="7" t="s">
        <v>2594</v>
      </c>
      <c r="T53" s="7">
        <v>45743</v>
      </c>
      <c r="U53" s="7">
        <v>45743</v>
      </c>
      <c r="V53" s="6">
        <v>1804</v>
      </c>
      <c r="W53" s="11">
        <v>961551</v>
      </c>
      <c r="X53" s="6"/>
      <c r="Y53" s="6"/>
      <c r="Z53" s="6"/>
      <c r="AA53" s="6"/>
      <c r="AB53" s="8"/>
      <c r="AC53" s="8"/>
      <c r="AD53" s="6"/>
      <c r="AE53" s="6"/>
      <c r="AF53" s="9"/>
    </row>
    <row r="54" spans="1:32" s="10" customFormat="1" ht="31.5" x14ac:dyDescent="0.25">
      <c r="A54" s="3">
        <v>50</v>
      </c>
      <c r="B54" s="3" t="s">
        <v>102</v>
      </c>
      <c r="C54" s="5" t="s">
        <v>961</v>
      </c>
      <c r="D54" s="4" t="s">
        <v>962</v>
      </c>
      <c r="E54" s="6">
        <v>68</v>
      </c>
      <c r="F54" s="6" t="s">
        <v>963</v>
      </c>
      <c r="G54" s="6" t="s">
        <v>964</v>
      </c>
      <c r="H54" s="6" t="s">
        <v>55</v>
      </c>
      <c r="I54" s="7">
        <v>45727</v>
      </c>
      <c r="J54" s="7"/>
      <c r="K54" s="3"/>
      <c r="L54" s="3"/>
      <c r="M54" s="3"/>
      <c r="N54" s="3"/>
      <c r="O54" s="3"/>
      <c r="P54" s="3"/>
      <c r="Q54" s="3" t="s">
        <v>52</v>
      </c>
      <c r="R54" s="15" t="s">
        <v>82</v>
      </c>
      <c r="S54" s="7">
        <v>45757</v>
      </c>
      <c r="T54" s="7">
        <v>45758</v>
      </c>
      <c r="U54" s="7">
        <v>45758</v>
      </c>
      <c r="V54" s="6">
        <v>2184</v>
      </c>
      <c r="W54" s="11">
        <v>1682662</v>
      </c>
      <c r="X54" s="6"/>
      <c r="Y54" s="6"/>
      <c r="Z54" s="6"/>
      <c r="AA54" s="6"/>
      <c r="AB54" s="8"/>
      <c r="AC54" s="8"/>
      <c r="AD54" s="6" t="s">
        <v>1562</v>
      </c>
      <c r="AE54" s="6"/>
      <c r="AF54" s="9"/>
    </row>
    <row r="55" spans="1:32" s="10" customFormat="1" ht="47.25" x14ac:dyDescent="0.25">
      <c r="A55" s="3">
        <v>51</v>
      </c>
      <c r="B55" s="3" t="s">
        <v>102</v>
      </c>
      <c r="C55" s="5" t="s">
        <v>989</v>
      </c>
      <c r="D55" s="4" t="s">
        <v>990</v>
      </c>
      <c r="E55" s="6">
        <v>11</v>
      </c>
      <c r="F55" s="6">
        <v>349</v>
      </c>
      <c r="G55" s="6">
        <v>145.30000000000001</v>
      </c>
      <c r="H55" s="6" t="s">
        <v>55</v>
      </c>
      <c r="I55" s="7">
        <v>45728</v>
      </c>
      <c r="J55" s="7"/>
      <c r="K55" s="3"/>
      <c r="L55" s="3"/>
      <c r="M55" s="3" t="s">
        <v>1</v>
      </c>
      <c r="N55" s="3"/>
      <c r="O55" s="3"/>
      <c r="P55" s="3"/>
      <c r="Q55" s="3"/>
      <c r="R55" s="15" t="s">
        <v>82</v>
      </c>
      <c r="S55" s="6"/>
      <c r="T55" s="6"/>
      <c r="U55" s="6"/>
      <c r="V55" s="6"/>
      <c r="W55" s="11"/>
      <c r="X55" s="6"/>
      <c r="Y55" s="6"/>
      <c r="Z55" s="6"/>
      <c r="AA55" s="6"/>
      <c r="AB55" s="8"/>
      <c r="AC55" s="8"/>
      <c r="AD55" s="6" t="s">
        <v>1208</v>
      </c>
      <c r="AE55" s="6"/>
      <c r="AF55" s="9"/>
    </row>
    <row r="56" spans="1:32" s="10" customFormat="1" ht="74.25" customHeight="1" x14ac:dyDescent="0.25">
      <c r="A56" s="3">
        <v>52</v>
      </c>
      <c r="B56" s="3" t="s">
        <v>102</v>
      </c>
      <c r="C56" s="5" t="s">
        <v>1026</v>
      </c>
      <c r="D56" s="4" t="s">
        <v>1027</v>
      </c>
      <c r="E56" s="6">
        <v>47</v>
      </c>
      <c r="F56" s="6">
        <v>203</v>
      </c>
      <c r="G56" s="6">
        <v>2000</v>
      </c>
      <c r="H56" s="6" t="s">
        <v>51</v>
      </c>
      <c r="I56" s="7" t="s">
        <v>1436</v>
      </c>
      <c r="J56" s="7"/>
      <c r="K56" s="3"/>
      <c r="L56" s="3" t="s">
        <v>62</v>
      </c>
      <c r="M56" s="3"/>
      <c r="N56" s="3"/>
      <c r="O56" s="3"/>
      <c r="P56" s="3"/>
      <c r="Q56" s="3"/>
      <c r="R56" s="15" t="s">
        <v>82</v>
      </c>
      <c r="S56" s="6"/>
      <c r="T56" s="6"/>
      <c r="U56" s="6"/>
      <c r="V56" s="6"/>
      <c r="W56" s="11"/>
      <c r="X56" s="6"/>
      <c r="Y56" s="6"/>
      <c r="Z56" s="6"/>
      <c r="AA56" s="6"/>
      <c r="AB56" s="8"/>
      <c r="AC56" s="8" t="s">
        <v>1318</v>
      </c>
      <c r="AD56" s="6" t="s">
        <v>1317</v>
      </c>
      <c r="AE56" s="6" t="s">
        <v>999</v>
      </c>
      <c r="AF56" s="9"/>
    </row>
    <row r="57" spans="1:32" s="10" customFormat="1" ht="31.5" x14ac:dyDescent="0.25">
      <c r="A57" s="3">
        <v>53</v>
      </c>
      <c r="B57" s="3" t="s">
        <v>102</v>
      </c>
      <c r="C57" s="5" t="s">
        <v>1035</v>
      </c>
      <c r="D57" s="4" t="s">
        <v>1036</v>
      </c>
      <c r="E57" s="6">
        <v>32</v>
      </c>
      <c r="F57" s="6">
        <v>298</v>
      </c>
      <c r="G57" s="6">
        <v>241.6</v>
      </c>
      <c r="H57" s="6" t="s">
        <v>55</v>
      </c>
      <c r="I57" s="7">
        <v>45730</v>
      </c>
      <c r="J57" s="7"/>
      <c r="K57" s="3" t="s">
        <v>153</v>
      </c>
      <c r="L57" s="3"/>
      <c r="M57" s="3"/>
      <c r="N57" s="3"/>
      <c r="O57" s="3"/>
      <c r="P57" s="3"/>
      <c r="Q57" s="3"/>
      <c r="R57" s="15" t="s">
        <v>82</v>
      </c>
      <c r="S57" s="7">
        <v>45756</v>
      </c>
      <c r="T57" s="7">
        <v>45761</v>
      </c>
      <c r="U57" s="7">
        <v>45761</v>
      </c>
      <c r="V57" s="6">
        <v>2204</v>
      </c>
      <c r="W57" s="11">
        <v>1923102</v>
      </c>
      <c r="X57" s="6"/>
      <c r="Y57" s="6"/>
      <c r="Z57" s="6"/>
      <c r="AA57" s="6" t="s">
        <v>2068</v>
      </c>
      <c r="AB57" s="8" t="s">
        <v>2069</v>
      </c>
      <c r="AC57" s="8"/>
      <c r="AD57" s="6" t="s">
        <v>1319</v>
      </c>
      <c r="AE57" s="6"/>
      <c r="AF57" s="9"/>
    </row>
    <row r="58" spans="1:32" s="10" customFormat="1" ht="16.5" x14ac:dyDescent="0.25">
      <c r="A58" s="3">
        <v>54</v>
      </c>
      <c r="B58" s="3" t="s">
        <v>102</v>
      </c>
      <c r="C58" s="5" t="s">
        <v>1044</v>
      </c>
      <c r="D58" s="4" t="s">
        <v>1045</v>
      </c>
      <c r="E58" s="6">
        <v>41</v>
      </c>
      <c r="F58" s="6">
        <v>147</v>
      </c>
      <c r="G58" s="6">
        <v>96.6</v>
      </c>
      <c r="H58" s="6" t="s">
        <v>51</v>
      </c>
      <c r="I58" s="7">
        <v>45730</v>
      </c>
      <c r="J58" s="7"/>
      <c r="K58" s="3"/>
      <c r="L58" s="3" t="s">
        <v>62</v>
      </c>
      <c r="M58" s="3"/>
      <c r="N58" s="3"/>
      <c r="O58" s="3"/>
      <c r="P58" s="3"/>
      <c r="Q58" s="3"/>
      <c r="R58" s="15" t="s">
        <v>82</v>
      </c>
      <c r="S58" s="7">
        <v>45748</v>
      </c>
      <c r="T58" s="7">
        <v>45749</v>
      </c>
      <c r="U58" s="7">
        <v>45749</v>
      </c>
      <c r="V58" s="6">
        <v>1934</v>
      </c>
      <c r="W58" s="11">
        <v>809727</v>
      </c>
      <c r="X58" s="6"/>
      <c r="Y58" s="6"/>
      <c r="Z58" s="6"/>
      <c r="AA58" s="6"/>
      <c r="AB58" s="8"/>
      <c r="AC58" s="8"/>
      <c r="AD58" s="6"/>
      <c r="AE58" s="6"/>
      <c r="AF58" s="9"/>
    </row>
    <row r="59" spans="1:32" s="10" customFormat="1" ht="31.5" x14ac:dyDescent="0.25">
      <c r="A59" s="3">
        <v>55</v>
      </c>
      <c r="B59" s="3" t="s">
        <v>102</v>
      </c>
      <c r="C59" s="5" t="s">
        <v>1046</v>
      </c>
      <c r="D59" s="4" t="s">
        <v>1047</v>
      </c>
      <c r="E59" s="6">
        <v>43</v>
      </c>
      <c r="F59" s="6">
        <v>87</v>
      </c>
      <c r="G59" s="6">
        <v>740.2</v>
      </c>
      <c r="H59" s="6" t="s">
        <v>51</v>
      </c>
      <c r="I59" s="7">
        <v>45730</v>
      </c>
      <c r="J59" s="7"/>
      <c r="K59" s="3" t="s">
        <v>76</v>
      </c>
      <c r="L59" s="3"/>
      <c r="M59" s="3"/>
      <c r="N59" s="3"/>
      <c r="O59" s="3"/>
      <c r="P59" s="3"/>
      <c r="Q59" s="3"/>
      <c r="R59" s="15" t="s">
        <v>82</v>
      </c>
      <c r="S59" s="7">
        <v>45751</v>
      </c>
      <c r="T59" s="7">
        <v>45751</v>
      </c>
      <c r="U59" s="7">
        <v>45751</v>
      </c>
      <c r="V59" s="6">
        <v>2040</v>
      </c>
      <c r="W59" s="11">
        <v>2038310</v>
      </c>
      <c r="X59" s="6"/>
      <c r="Y59" s="6"/>
      <c r="Z59" s="6"/>
      <c r="AA59" s="6" t="s">
        <v>1521</v>
      </c>
      <c r="AB59" s="8" t="s">
        <v>1522</v>
      </c>
      <c r="AC59" s="8"/>
      <c r="AD59" s="6"/>
      <c r="AE59" s="6"/>
      <c r="AF59" s="9"/>
    </row>
    <row r="60" spans="1:32" s="10" customFormat="1" ht="70.5" customHeight="1" x14ac:dyDescent="0.25">
      <c r="A60" s="3">
        <v>56</v>
      </c>
      <c r="B60" s="3" t="s">
        <v>102</v>
      </c>
      <c r="C60" s="5" t="s">
        <v>1058</v>
      </c>
      <c r="D60" s="4" t="s">
        <v>1059</v>
      </c>
      <c r="E60" s="6">
        <v>31</v>
      </c>
      <c r="F60" s="6">
        <v>197</v>
      </c>
      <c r="G60" s="6">
        <v>109</v>
      </c>
      <c r="H60" s="6" t="s">
        <v>51</v>
      </c>
      <c r="I60" s="7">
        <v>45733</v>
      </c>
      <c r="J60" s="7"/>
      <c r="K60" s="3"/>
      <c r="L60" s="3"/>
      <c r="M60" s="3" t="s">
        <v>98</v>
      </c>
      <c r="N60" s="3"/>
      <c r="O60" s="3"/>
      <c r="P60" s="3"/>
      <c r="Q60" s="3"/>
      <c r="R60" s="15" t="s">
        <v>82</v>
      </c>
      <c r="S60" s="7">
        <v>45737</v>
      </c>
      <c r="T60" s="7">
        <v>45740</v>
      </c>
      <c r="U60" s="7">
        <v>45740</v>
      </c>
      <c r="V60" s="6">
        <v>1691</v>
      </c>
      <c r="W60" s="11">
        <v>2583973</v>
      </c>
      <c r="X60" s="6"/>
      <c r="Y60" s="6"/>
      <c r="Z60" s="6"/>
      <c r="AA60" s="6"/>
      <c r="AB60" s="8"/>
      <c r="AC60" s="8"/>
      <c r="AD60" s="6" t="s">
        <v>1065</v>
      </c>
      <c r="AE60" s="6"/>
      <c r="AF60" s="9"/>
    </row>
    <row r="61" spans="1:32" s="10" customFormat="1" ht="16.5" x14ac:dyDescent="0.25">
      <c r="A61" s="3">
        <v>57</v>
      </c>
      <c r="B61" s="3" t="s">
        <v>102</v>
      </c>
      <c r="C61" s="5" t="s">
        <v>1062</v>
      </c>
      <c r="D61" s="4"/>
      <c r="E61" s="6">
        <v>19</v>
      </c>
      <c r="F61" s="6">
        <v>326</v>
      </c>
      <c r="G61" s="6">
        <v>1466.9</v>
      </c>
      <c r="H61" s="6" t="s">
        <v>75</v>
      </c>
      <c r="I61" s="7">
        <v>45733</v>
      </c>
      <c r="J61" s="7"/>
      <c r="K61" s="3"/>
      <c r="L61" s="3" t="s">
        <v>62</v>
      </c>
      <c r="M61" s="3"/>
      <c r="N61" s="3"/>
      <c r="O61" s="3"/>
      <c r="P61" s="3"/>
      <c r="Q61" s="3"/>
      <c r="R61" s="15" t="s">
        <v>82</v>
      </c>
      <c r="S61" s="7">
        <v>45740</v>
      </c>
      <c r="T61" s="7">
        <v>45741</v>
      </c>
      <c r="U61" s="7">
        <v>45741</v>
      </c>
      <c r="V61" s="6">
        <v>1730</v>
      </c>
      <c r="W61" s="11">
        <v>1019155</v>
      </c>
      <c r="X61" s="6"/>
      <c r="Y61" s="6"/>
      <c r="Z61" s="6"/>
      <c r="AA61" s="6"/>
      <c r="AB61" s="8"/>
      <c r="AC61" s="8"/>
      <c r="AD61" s="6"/>
      <c r="AE61" s="6"/>
      <c r="AF61" s="9" t="s">
        <v>1087</v>
      </c>
    </row>
    <row r="62" spans="1:32" s="10" customFormat="1" ht="47.25" x14ac:dyDescent="0.25">
      <c r="A62" s="3">
        <v>58</v>
      </c>
      <c r="B62" s="3" t="s">
        <v>102</v>
      </c>
      <c r="C62" s="5" t="s">
        <v>1063</v>
      </c>
      <c r="D62" s="4" t="s">
        <v>1064</v>
      </c>
      <c r="E62" s="6">
        <v>30</v>
      </c>
      <c r="F62" s="6">
        <v>289</v>
      </c>
      <c r="G62" s="6">
        <v>74.3</v>
      </c>
      <c r="H62" s="6" t="s">
        <v>51</v>
      </c>
      <c r="I62" s="7" t="s">
        <v>2257</v>
      </c>
      <c r="J62" s="7"/>
      <c r="K62" s="3"/>
      <c r="L62" s="3"/>
      <c r="M62" s="3" t="s">
        <v>1</v>
      </c>
      <c r="N62" s="3"/>
      <c r="O62" s="3"/>
      <c r="P62" s="3"/>
      <c r="Q62" s="3"/>
      <c r="R62" s="15" t="s">
        <v>82</v>
      </c>
      <c r="S62" s="6"/>
      <c r="T62" s="6"/>
      <c r="U62" s="6"/>
      <c r="V62" s="6"/>
      <c r="W62" s="11"/>
      <c r="X62" s="6"/>
      <c r="Y62" s="6"/>
      <c r="Z62" s="6"/>
      <c r="AA62" s="6"/>
      <c r="AB62" s="8"/>
      <c r="AC62" s="6" t="s">
        <v>2617</v>
      </c>
      <c r="AD62" s="6" t="s">
        <v>1364</v>
      </c>
      <c r="AE62" s="6"/>
      <c r="AF62" s="9"/>
    </row>
    <row r="63" spans="1:32" s="10" customFormat="1" ht="31.5" x14ac:dyDescent="0.25">
      <c r="A63" s="3">
        <v>59</v>
      </c>
      <c r="B63" s="3" t="s">
        <v>102</v>
      </c>
      <c r="C63" s="5" t="s">
        <v>1083</v>
      </c>
      <c r="D63" s="4" t="s">
        <v>1084</v>
      </c>
      <c r="E63" s="6">
        <v>66</v>
      </c>
      <c r="F63" s="6">
        <v>244</v>
      </c>
      <c r="G63" s="6">
        <v>58.5</v>
      </c>
      <c r="H63" s="6" t="s">
        <v>55</v>
      </c>
      <c r="I63" s="7">
        <v>45733</v>
      </c>
      <c r="J63" s="7"/>
      <c r="K63" s="3"/>
      <c r="L63" s="3"/>
      <c r="M63" s="3"/>
      <c r="N63" s="3"/>
      <c r="O63" s="3"/>
      <c r="P63" s="3"/>
      <c r="Q63" s="3" t="s">
        <v>52</v>
      </c>
      <c r="R63" s="15" t="s">
        <v>82</v>
      </c>
      <c r="S63" s="7">
        <v>45748</v>
      </c>
      <c r="T63" s="7">
        <v>45748</v>
      </c>
      <c r="U63" s="7">
        <v>45748</v>
      </c>
      <c r="V63" s="6">
        <v>1921</v>
      </c>
      <c r="W63" s="11">
        <v>2125468</v>
      </c>
      <c r="X63" s="6"/>
      <c r="Y63" s="6"/>
      <c r="Z63" s="6"/>
      <c r="AA63" s="6"/>
      <c r="AB63" s="8"/>
      <c r="AC63" s="8"/>
      <c r="AD63" s="6" t="s">
        <v>1384</v>
      </c>
      <c r="AE63" s="6"/>
      <c r="AF63" s="9" t="s">
        <v>1085</v>
      </c>
    </row>
    <row r="64" spans="1:32" s="10" customFormat="1" ht="31.5" x14ac:dyDescent="0.25">
      <c r="A64" s="3">
        <v>60</v>
      </c>
      <c r="B64" s="3" t="s">
        <v>102</v>
      </c>
      <c r="C64" s="5" t="s">
        <v>1083</v>
      </c>
      <c r="D64" s="4" t="s">
        <v>1084</v>
      </c>
      <c r="E64" s="6">
        <v>66</v>
      </c>
      <c r="F64" s="6">
        <v>227</v>
      </c>
      <c r="G64" s="6">
        <v>59.5</v>
      </c>
      <c r="H64" s="6" t="s">
        <v>55</v>
      </c>
      <c r="I64" s="7">
        <v>45733</v>
      </c>
      <c r="J64" s="7"/>
      <c r="K64" s="3"/>
      <c r="L64" s="3"/>
      <c r="M64" s="3"/>
      <c r="N64" s="3"/>
      <c r="O64" s="3"/>
      <c r="P64" s="3"/>
      <c r="Q64" s="3" t="s">
        <v>52</v>
      </c>
      <c r="R64" s="15" t="s">
        <v>82</v>
      </c>
      <c r="S64" s="7">
        <v>45748</v>
      </c>
      <c r="T64" s="7">
        <v>45748</v>
      </c>
      <c r="U64" s="7">
        <v>45748</v>
      </c>
      <c r="V64" s="6">
        <v>1923</v>
      </c>
      <c r="W64" s="11">
        <v>2125468</v>
      </c>
      <c r="X64" s="6"/>
      <c r="Y64" s="6"/>
      <c r="Z64" s="6"/>
      <c r="AA64" s="6"/>
      <c r="AB64" s="8"/>
      <c r="AC64" s="8"/>
      <c r="AD64" s="6" t="s">
        <v>1384</v>
      </c>
      <c r="AE64" s="6"/>
      <c r="AF64" s="9" t="s">
        <v>1085</v>
      </c>
    </row>
    <row r="65" spans="1:32" s="10" customFormat="1" ht="31.5" x14ac:dyDescent="0.25">
      <c r="A65" s="3">
        <v>61</v>
      </c>
      <c r="B65" s="3" t="s">
        <v>102</v>
      </c>
      <c r="C65" s="5" t="s">
        <v>1106</v>
      </c>
      <c r="D65" s="4" t="s">
        <v>1107</v>
      </c>
      <c r="E65" s="6">
        <v>11</v>
      </c>
      <c r="F65" s="6">
        <v>242</v>
      </c>
      <c r="G65" s="6">
        <v>125.9</v>
      </c>
      <c r="H65" s="6" t="s">
        <v>51</v>
      </c>
      <c r="I65" s="7">
        <v>45735</v>
      </c>
      <c r="J65" s="7"/>
      <c r="K65" s="3"/>
      <c r="L65" s="3"/>
      <c r="M65" s="3" t="s">
        <v>1</v>
      </c>
      <c r="N65" s="3"/>
      <c r="O65" s="3"/>
      <c r="P65" s="3"/>
      <c r="Q65" s="3"/>
      <c r="R65" s="15" t="s">
        <v>82</v>
      </c>
      <c r="S65" s="7">
        <v>45811</v>
      </c>
      <c r="T65" s="7">
        <v>45817</v>
      </c>
      <c r="U65" s="7">
        <v>45817</v>
      </c>
      <c r="V65" s="20">
        <v>1365</v>
      </c>
      <c r="W65" s="11">
        <v>961551</v>
      </c>
      <c r="X65" s="6"/>
      <c r="Y65" s="6"/>
      <c r="Z65" s="6"/>
      <c r="AA65" s="6"/>
      <c r="AB65" s="8"/>
      <c r="AC65" s="8"/>
      <c r="AD65" s="6" t="s">
        <v>2538</v>
      </c>
      <c r="AE65" s="6"/>
      <c r="AF65" s="9"/>
    </row>
    <row r="66" spans="1:32" s="10" customFormat="1" ht="16.5" x14ac:dyDescent="0.25">
      <c r="A66" s="3">
        <v>62</v>
      </c>
      <c r="B66" s="3" t="s">
        <v>102</v>
      </c>
      <c r="C66" s="5" t="s">
        <v>1130</v>
      </c>
      <c r="D66" s="4" t="s">
        <v>124</v>
      </c>
      <c r="E66" s="6">
        <v>33</v>
      </c>
      <c r="F66" s="6">
        <v>21</v>
      </c>
      <c r="G66" s="6">
        <v>694.7</v>
      </c>
      <c r="H66" s="6" t="s">
        <v>75</v>
      </c>
      <c r="I66" s="7">
        <v>45735</v>
      </c>
      <c r="J66" s="7"/>
      <c r="K66" s="3" t="s">
        <v>76</v>
      </c>
      <c r="L66" s="3"/>
      <c r="M66" s="3"/>
      <c r="N66" s="3"/>
      <c r="O66" s="3"/>
      <c r="P66" s="3"/>
      <c r="Q66" s="3"/>
      <c r="R66" s="15" t="s">
        <v>82</v>
      </c>
      <c r="S66" s="7">
        <v>45756</v>
      </c>
      <c r="T66" s="7">
        <v>45811</v>
      </c>
      <c r="U66" s="7">
        <v>45811</v>
      </c>
      <c r="V66" s="6">
        <v>1193</v>
      </c>
      <c r="W66" s="11">
        <v>961551</v>
      </c>
      <c r="X66" s="6"/>
      <c r="Y66" s="6"/>
      <c r="Z66" s="6"/>
      <c r="AA66" s="6"/>
      <c r="AB66" s="8"/>
      <c r="AC66" s="8"/>
      <c r="AD66" s="6"/>
      <c r="AE66" s="6"/>
      <c r="AF66" s="9" t="s">
        <v>867</v>
      </c>
    </row>
    <row r="67" spans="1:32" s="10" customFormat="1" ht="31.5" x14ac:dyDescent="0.25">
      <c r="A67" s="3">
        <v>63</v>
      </c>
      <c r="B67" s="3" t="s">
        <v>102</v>
      </c>
      <c r="C67" s="5" t="s">
        <v>1139</v>
      </c>
      <c r="D67" s="4" t="s">
        <v>1140</v>
      </c>
      <c r="E67" s="6">
        <v>22</v>
      </c>
      <c r="F67" s="6">
        <v>136</v>
      </c>
      <c r="G67" s="6">
        <v>566.4</v>
      </c>
      <c r="H67" s="6" t="s">
        <v>51</v>
      </c>
      <c r="I67" s="7">
        <v>45736</v>
      </c>
      <c r="J67" s="7"/>
      <c r="K67" s="3"/>
      <c r="L67" s="3" t="s">
        <v>62</v>
      </c>
      <c r="M67" s="3"/>
      <c r="N67" s="3"/>
      <c r="O67" s="3"/>
      <c r="P67" s="3"/>
      <c r="Q67" s="3"/>
      <c r="R67" s="15" t="s">
        <v>82</v>
      </c>
      <c r="S67" s="6"/>
      <c r="T67" s="6"/>
      <c r="U67" s="6"/>
      <c r="V67" s="6"/>
      <c r="W67" s="11"/>
      <c r="X67" s="6"/>
      <c r="Y67" s="6"/>
      <c r="Z67" s="6"/>
      <c r="AA67" s="6"/>
      <c r="AB67" s="8"/>
      <c r="AC67" s="8"/>
      <c r="AD67" s="6" t="s">
        <v>1141</v>
      </c>
      <c r="AE67" s="6"/>
      <c r="AF67" s="9"/>
    </row>
    <row r="68" spans="1:32" s="10" customFormat="1" ht="31.5" x14ac:dyDescent="0.25">
      <c r="A68" s="3">
        <v>64</v>
      </c>
      <c r="B68" s="3" t="s">
        <v>102</v>
      </c>
      <c r="C68" s="5" t="s">
        <v>1142</v>
      </c>
      <c r="D68" s="4" t="s">
        <v>607</v>
      </c>
      <c r="E68" s="6">
        <v>36</v>
      </c>
      <c r="F68" s="6">
        <v>73</v>
      </c>
      <c r="G68" s="6">
        <v>465</v>
      </c>
      <c r="H68" s="6" t="s">
        <v>51</v>
      </c>
      <c r="I68" s="7">
        <v>45736</v>
      </c>
      <c r="J68" s="7"/>
      <c r="K68" s="3"/>
      <c r="L68" s="3" t="s">
        <v>62</v>
      </c>
      <c r="M68" s="3"/>
      <c r="N68" s="3"/>
      <c r="O68" s="3"/>
      <c r="P68" s="3"/>
      <c r="Q68" s="3"/>
      <c r="R68" s="15" t="s">
        <v>82</v>
      </c>
      <c r="S68" s="7">
        <v>45756</v>
      </c>
      <c r="T68" s="7">
        <v>45758</v>
      </c>
      <c r="U68" s="7">
        <v>45758</v>
      </c>
      <c r="V68" s="6">
        <v>2158</v>
      </c>
      <c r="W68" s="11">
        <v>961551</v>
      </c>
      <c r="X68" s="6"/>
      <c r="Y68" s="6"/>
      <c r="Z68" s="6"/>
      <c r="AA68" s="6" t="s">
        <v>2072</v>
      </c>
      <c r="AB68" s="8" t="s">
        <v>2074</v>
      </c>
      <c r="AC68" s="8"/>
      <c r="AD68" s="6"/>
      <c r="AE68" s="6"/>
      <c r="AF68" s="9"/>
    </row>
    <row r="69" spans="1:32" s="10" customFormat="1" ht="31.5" x14ac:dyDescent="0.25">
      <c r="A69" s="3">
        <v>65</v>
      </c>
      <c r="B69" s="3" t="s">
        <v>102</v>
      </c>
      <c r="C69" s="5" t="s">
        <v>1143</v>
      </c>
      <c r="D69" s="4" t="s">
        <v>1144</v>
      </c>
      <c r="E69" s="6">
        <v>33</v>
      </c>
      <c r="F69" s="6">
        <v>62</v>
      </c>
      <c r="G69" s="6">
        <v>2105.6</v>
      </c>
      <c r="H69" s="6" t="s">
        <v>51</v>
      </c>
      <c r="I69" s="7">
        <v>45736</v>
      </c>
      <c r="J69" s="7"/>
      <c r="K69" s="3"/>
      <c r="L69" s="3" t="s">
        <v>62</v>
      </c>
      <c r="M69" s="3"/>
      <c r="N69" s="3"/>
      <c r="O69" s="3"/>
      <c r="P69" s="3"/>
      <c r="Q69" s="3"/>
      <c r="R69" s="15" t="s">
        <v>82</v>
      </c>
      <c r="S69" s="7">
        <v>45757</v>
      </c>
      <c r="T69" s="7">
        <v>45758</v>
      </c>
      <c r="U69" s="7">
        <v>45758</v>
      </c>
      <c r="V69" s="6">
        <v>2175</v>
      </c>
      <c r="W69" s="11">
        <v>961551</v>
      </c>
      <c r="X69" s="6"/>
      <c r="Y69" s="6"/>
      <c r="Z69" s="6"/>
      <c r="AA69" s="6" t="s">
        <v>1845</v>
      </c>
      <c r="AB69" s="8" t="s">
        <v>1846</v>
      </c>
      <c r="AC69" s="8"/>
      <c r="AD69" s="6"/>
      <c r="AE69" s="6"/>
      <c r="AF69" s="9"/>
    </row>
    <row r="70" spans="1:32" s="10" customFormat="1" ht="31.5" x14ac:dyDescent="0.25">
      <c r="A70" s="3">
        <v>66</v>
      </c>
      <c r="B70" s="3" t="s">
        <v>102</v>
      </c>
      <c r="C70" s="5" t="s">
        <v>142</v>
      </c>
      <c r="D70" s="4" t="s">
        <v>238</v>
      </c>
      <c r="E70" s="6">
        <v>52</v>
      </c>
      <c r="F70" s="6">
        <v>73</v>
      </c>
      <c r="G70" s="6">
        <v>411.2</v>
      </c>
      <c r="H70" s="6" t="s">
        <v>75</v>
      </c>
      <c r="I70" s="7">
        <v>45737</v>
      </c>
      <c r="J70" s="7"/>
      <c r="K70" s="3" t="s">
        <v>76</v>
      </c>
      <c r="L70" s="3"/>
      <c r="M70" s="3"/>
      <c r="N70" s="3"/>
      <c r="O70" s="3"/>
      <c r="P70" s="3"/>
      <c r="Q70" s="3"/>
      <c r="R70" s="15" t="s">
        <v>82</v>
      </c>
      <c r="S70" s="7">
        <v>45786</v>
      </c>
      <c r="T70" s="7">
        <v>45786</v>
      </c>
      <c r="U70" s="7">
        <v>45786</v>
      </c>
      <c r="V70" s="6">
        <v>510</v>
      </c>
      <c r="W70" s="11">
        <v>1923102</v>
      </c>
      <c r="X70" s="6"/>
      <c r="Y70" s="6"/>
      <c r="Z70" s="6"/>
      <c r="AA70" s="6" t="s">
        <v>1988</v>
      </c>
      <c r="AB70" s="8" t="s">
        <v>1980</v>
      </c>
      <c r="AC70" s="8"/>
      <c r="AD70" s="6"/>
      <c r="AE70" s="6"/>
      <c r="AF70" s="9"/>
    </row>
    <row r="71" spans="1:32" s="10" customFormat="1" ht="31.5" x14ac:dyDescent="0.25">
      <c r="A71" s="3">
        <v>67</v>
      </c>
      <c r="B71" s="3" t="s">
        <v>102</v>
      </c>
      <c r="C71" s="5" t="s">
        <v>237</v>
      </c>
      <c r="D71" s="4" t="s">
        <v>238</v>
      </c>
      <c r="E71" s="6">
        <v>52</v>
      </c>
      <c r="F71" s="6">
        <v>76</v>
      </c>
      <c r="G71" s="6">
        <v>509.1</v>
      </c>
      <c r="H71" s="6" t="s">
        <v>75</v>
      </c>
      <c r="I71" s="7">
        <v>45737</v>
      </c>
      <c r="J71" s="7"/>
      <c r="K71" s="3" t="s">
        <v>76</v>
      </c>
      <c r="L71" s="3"/>
      <c r="M71" s="3"/>
      <c r="N71" s="3"/>
      <c r="O71" s="3"/>
      <c r="P71" s="3"/>
      <c r="Q71" s="3"/>
      <c r="R71" s="15" t="s">
        <v>82</v>
      </c>
      <c r="S71" s="7">
        <v>45786</v>
      </c>
      <c r="T71" s="7">
        <v>45786</v>
      </c>
      <c r="U71" s="7">
        <v>45786</v>
      </c>
      <c r="V71" s="6">
        <v>509</v>
      </c>
      <c r="W71" s="11">
        <v>1619454</v>
      </c>
      <c r="X71" s="6"/>
      <c r="Y71" s="6"/>
      <c r="Z71" s="6"/>
      <c r="AA71" s="6" t="s">
        <v>1988</v>
      </c>
      <c r="AB71" s="8" t="s">
        <v>1980</v>
      </c>
      <c r="AC71" s="8"/>
      <c r="AD71" s="6"/>
      <c r="AE71" s="6"/>
      <c r="AF71" s="9"/>
    </row>
    <row r="72" spans="1:32" s="10" customFormat="1" ht="31.5" x14ac:dyDescent="0.25">
      <c r="A72" s="3">
        <v>68</v>
      </c>
      <c r="B72" s="3" t="s">
        <v>102</v>
      </c>
      <c r="C72" s="5" t="s">
        <v>1182</v>
      </c>
      <c r="D72" s="4" t="s">
        <v>519</v>
      </c>
      <c r="E72" s="6">
        <v>41</v>
      </c>
      <c r="F72" s="6">
        <v>58</v>
      </c>
      <c r="G72" s="6">
        <v>271.10000000000002</v>
      </c>
      <c r="H72" s="6" t="s">
        <v>51</v>
      </c>
      <c r="I72" s="7">
        <v>45740</v>
      </c>
      <c r="J72" s="7"/>
      <c r="K72" s="3"/>
      <c r="L72" s="3" t="s">
        <v>62</v>
      </c>
      <c r="M72" s="3"/>
      <c r="N72" s="3"/>
      <c r="O72" s="3"/>
      <c r="P72" s="3"/>
      <c r="Q72" s="3"/>
      <c r="R72" s="15" t="s">
        <v>82</v>
      </c>
      <c r="S72" s="6"/>
      <c r="T72" s="6"/>
      <c r="U72" s="6"/>
      <c r="V72" s="6"/>
      <c r="W72" s="11"/>
      <c r="X72" s="6"/>
      <c r="Y72" s="6"/>
      <c r="Z72" s="6"/>
      <c r="AA72" s="6"/>
      <c r="AB72" s="8"/>
      <c r="AC72" s="8" t="s">
        <v>1508</v>
      </c>
      <c r="AD72" s="6"/>
      <c r="AE72" s="6"/>
      <c r="AF72" s="9"/>
    </row>
    <row r="73" spans="1:32" s="10" customFormat="1" ht="31.5" x14ac:dyDescent="0.25">
      <c r="A73" s="3">
        <v>69</v>
      </c>
      <c r="B73" s="18" t="s">
        <v>1209</v>
      </c>
      <c r="C73" s="5" t="s">
        <v>1028</v>
      </c>
      <c r="D73" s="4" t="s">
        <v>1029</v>
      </c>
      <c r="E73" s="6" t="s">
        <v>1030</v>
      </c>
      <c r="F73" s="6" t="s">
        <v>1031</v>
      </c>
      <c r="G73" s="6">
        <v>583.6</v>
      </c>
      <c r="H73" s="6" t="s">
        <v>51</v>
      </c>
      <c r="I73" s="7">
        <v>45729</v>
      </c>
      <c r="J73" s="7"/>
      <c r="K73" s="3"/>
      <c r="L73" s="3"/>
      <c r="M73" s="3"/>
      <c r="N73" s="3"/>
      <c r="O73" s="3"/>
      <c r="P73" s="3"/>
      <c r="Q73" s="3" t="s">
        <v>52</v>
      </c>
      <c r="R73" s="15" t="s">
        <v>82</v>
      </c>
      <c r="S73" s="7">
        <v>45740</v>
      </c>
      <c r="T73" s="7">
        <v>45741</v>
      </c>
      <c r="U73" s="7">
        <v>45741</v>
      </c>
      <c r="V73" s="6">
        <v>1721</v>
      </c>
      <c r="W73" s="11">
        <v>1682662</v>
      </c>
      <c r="X73" s="6"/>
      <c r="Y73" s="6"/>
      <c r="Z73" s="6"/>
      <c r="AA73" s="6"/>
      <c r="AB73" s="8"/>
      <c r="AC73" s="8"/>
      <c r="AD73" s="6"/>
      <c r="AE73" s="6"/>
      <c r="AF73" s="9"/>
    </row>
    <row r="74" spans="1:32" s="10" customFormat="1" ht="31.5" x14ac:dyDescent="0.25">
      <c r="A74" s="3">
        <v>70</v>
      </c>
      <c r="B74" s="18" t="s">
        <v>1209</v>
      </c>
      <c r="C74" s="5" t="s">
        <v>1220</v>
      </c>
      <c r="D74" s="4" t="s">
        <v>942</v>
      </c>
      <c r="E74" s="6">
        <v>40</v>
      </c>
      <c r="F74" s="6">
        <v>37</v>
      </c>
      <c r="G74" s="6">
        <v>5034.2</v>
      </c>
      <c r="H74" s="6" t="s">
        <v>199</v>
      </c>
      <c r="I74" s="7"/>
      <c r="J74" s="7"/>
      <c r="K74" s="3"/>
      <c r="L74" s="3"/>
      <c r="M74" s="3"/>
      <c r="N74" s="3"/>
      <c r="O74" s="3"/>
      <c r="P74" s="3"/>
      <c r="Q74" s="3"/>
      <c r="R74" s="15" t="s">
        <v>190</v>
      </c>
      <c r="S74" s="7">
        <v>45646</v>
      </c>
      <c r="T74" s="6"/>
      <c r="U74" s="6"/>
      <c r="V74" s="6"/>
      <c r="W74" s="11"/>
      <c r="X74" s="6"/>
      <c r="Y74" s="6"/>
      <c r="Z74" s="6"/>
      <c r="AA74" s="6" t="s">
        <v>1221</v>
      </c>
      <c r="AB74" s="8" t="s">
        <v>1219</v>
      </c>
      <c r="AC74" s="8"/>
      <c r="AD74" s="6"/>
      <c r="AE74" s="6"/>
      <c r="AF74" s="9"/>
    </row>
    <row r="75" spans="1:32" s="10" customFormat="1" ht="31.5" x14ac:dyDescent="0.25">
      <c r="A75" s="3">
        <v>71</v>
      </c>
      <c r="B75" s="18" t="s">
        <v>1209</v>
      </c>
      <c r="C75" s="5" t="s">
        <v>1224</v>
      </c>
      <c r="D75" s="4"/>
      <c r="E75" s="6">
        <v>39</v>
      </c>
      <c r="F75" s="6">
        <v>98</v>
      </c>
      <c r="G75" s="6">
        <v>1136.3</v>
      </c>
      <c r="H75" s="6" t="s">
        <v>75</v>
      </c>
      <c r="I75" s="7"/>
      <c r="J75" s="7"/>
      <c r="K75" s="3"/>
      <c r="L75" s="3"/>
      <c r="M75" s="3"/>
      <c r="N75" s="3"/>
      <c r="O75" s="3"/>
      <c r="P75" s="3"/>
      <c r="Q75" s="3"/>
      <c r="R75" s="15" t="s">
        <v>190</v>
      </c>
      <c r="S75" s="7">
        <v>45700</v>
      </c>
      <c r="T75" s="6"/>
      <c r="U75" s="6"/>
      <c r="V75" s="6"/>
      <c r="W75" s="11"/>
      <c r="X75" s="6"/>
      <c r="Y75" s="6"/>
      <c r="Z75" s="6"/>
      <c r="AA75" s="6" t="s">
        <v>1222</v>
      </c>
      <c r="AB75" s="8" t="s">
        <v>1225</v>
      </c>
      <c r="AC75" s="8"/>
      <c r="AD75" s="6"/>
      <c r="AE75" s="6"/>
      <c r="AF75" s="9"/>
    </row>
    <row r="76" spans="1:32" s="10" customFormat="1" ht="31.5" x14ac:dyDescent="0.25">
      <c r="A76" s="3">
        <v>72</v>
      </c>
      <c r="B76" s="18" t="s">
        <v>1209</v>
      </c>
      <c r="C76" s="5" t="s">
        <v>1269</v>
      </c>
      <c r="D76" s="4" t="s">
        <v>1288</v>
      </c>
      <c r="E76" s="6">
        <v>72</v>
      </c>
      <c r="F76" s="6">
        <v>21</v>
      </c>
      <c r="G76" s="6">
        <v>100</v>
      </c>
      <c r="H76" s="6" t="s">
        <v>55</v>
      </c>
      <c r="I76" s="7">
        <v>45742</v>
      </c>
      <c r="J76" s="7"/>
      <c r="K76" s="3"/>
      <c r="L76" s="3"/>
      <c r="M76" s="3"/>
      <c r="N76" s="3"/>
      <c r="O76" s="3"/>
      <c r="P76" s="3"/>
      <c r="Q76" s="3" t="s">
        <v>52</v>
      </c>
      <c r="R76" s="15" t="s">
        <v>82</v>
      </c>
      <c r="S76" s="7">
        <v>45765</v>
      </c>
      <c r="T76" s="7">
        <v>45769</v>
      </c>
      <c r="U76" s="7">
        <v>45769</v>
      </c>
      <c r="V76" s="6">
        <v>71</v>
      </c>
      <c r="W76" s="11">
        <v>1416978</v>
      </c>
      <c r="X76" s="6"/>
      <c r="Y76" s="6"/>
      <c r="Z76" s="6"/>
      <c r="AA76" s="6"/>
      <c r="AB76" s="8"/>
      <c r="AC76" s="8"/>
      <c r="AD76" s="6" t="s">
        <v>1710</v>
      </c>
      <c r="AE76" s="6"/>
      <c r="AF76" s="9"/>
    </row>
    <row r="77" spans="1:32" s="10" customFormat="1" ht="47.25" x14ac:dyDescent="0.25">
      <c r="A77" s="3">
        <v>73</v>
      </c>
      <c r="B77" s="18" t="s">
        <v>1209</v>
      </c>
      <c r="C77" s="5" t="s">
        <v>1269</v>
      </c>
      <c r="D77" s="4" t="s">
        <v>1288</v>
      </c>
      <c r="E77" s="6">
        <v>72</v>
      </c>
      <c r="F77" s="6">
        <v>36</v>
      </c>
      <c r="G77" s="6">
        <v>125</v>
      </c>
      <c r="H77" s="6" t="s">
        <v>55</v>
      </c>
      <c r="I77" s="7">
        <v>45742</v>
      </c>
      <c r="J77" s="7"/>
      <c r="K77" s="3"/>
      <c r="L77" s="3"/>
      <c r="M77" s="3"/>
      <c r="N77" s="3"/>
      <c r="O77" s="3"/>
      <c r="P77" s="3"/>
      <c r="Q77" s="3" t="s">
        <v>52</v>
      </c>
      <c r="R77" s="15" t="s">
        <v>82</v>
      </c>
      <c r="S77" s="7"/>
      <c r="T77" s="6"/>
      <c r="U77" s="6"/>
      <c r="V77" s="6"/>
      <c r="W77" s="11"/>
      <c r="X77" s="6"/>
      <c r="Y77" s="6"/>
      <c r="Z77" s="6"/>
      <c r="AA77" s="6"/>
      <c r="AB77" s="8"/>
      <c r="AC77" s="8"/>
      <c r="AD77" s="6" t="s">
        <v>1632</v>
      </c>
      <c r="AE77" s="6"/>
      <c r="AF77" s="9"/>
    </row>
    <row r="78" spans="1:32" s="10" customFormat="1" ht="31.5" x14ac:dyDescent="0.25">
      <c r="A78" s="3">
        <v>74</v>
      </c>
      <c r="B78" s="18" t="s">
        <v>1209</v>
      </c>
      <c r="C78" s="5" t="s">
        <v>1282</v>
      </c>
      <c r="D78" s="4" t="s">
        <v>1283</v>
      </c>
      <c r="E78" s="6">
        <v>22</v>
      </c>
      <c r="F78" s="6">
        <v>70</v>
      </c>
      <c r="G78" s="6">
        <v>787</v>
      </c>
      <c r="H78" s="6" t="s">
        <v>75</v>
      </c>
      <c r="I78" s="7">
        <v>45742</v>
      </c>
      <c r="J78" s="7"/>
      <c r="K78" s="3" t="s">
        <v>153</v>
      </c>
      <c r="L78" s="3"/>
      <c r="M78" s="3"/>
      <c r="N78" s="3"/>
      <c r="O78" s="3"/>
      <c r="P78" s="3"/>
      <c r="Q78" s="3"/>
      <c r="R78" s="15" t="s">
        <v>82</v>
      </c>
      <c r="S78" s="7">
        <v>45757</v>
      </c>
      <c r="T78" s="7">
        <v>45758</v>
      </c>
      <c r="U78" s="7">
        <v>45758</v>
      </c>
      <c r="V78" s="6">
        <v>2165</v>
      </c>
      <c r="W78" s="11">
        <v>961551</v>
      </c>
      <c r="X78" s="6"/>
      <c r="Y78" s="6"/>
      <c r="Z78" s="6"/>
      <c r="AA78" s="6" t="s">
        <v>1762</v>
      </c>
      <c r="AB78" s="8" t="s">
        <v>1763</v>
      </c>
      <c r="AC78" s="8"/>
      <c r="AD78" s="6"/>
      <c r="AE78" s="6"/>
      <c r="AF78" s="9" t="s">
        <v>1284</v>
      </c>
    </row>
    <row r="79" spans="1:32" ht="16.5" x14ac:dyDescent="0.25">
      <c r="A79" s="12"/>
      <c r="B79" s="73" t="s">
        <v>1258</v>
      </c>
      <c r="C79" s="74"/>
      <c r="D79" s="74"/>
      <c r="E79" s="74"/>
      <c r="F79" s="74"/>
      <c r="G79" s="74"/>
      <c r="H79" s="75"/>
      <c r="I79" s="13"/>
      <c r="J79" s="13"/>
      <c r="K79" s="14">
        <f>COUNTIF(K46:K78,"CQ")+COUNTIF(K46:K78,"CT")+COUNTIF(K48,"TK")</f>
        <v>7</v>
      </c>
      <c r="L79" s="14">
        <f>COUNTIF(L46:L78,"CMĐ")</f>
        <v>12</v>
      </c>
      <c r="M79" s="14">
        <f>COUNTIF(M46:M78,"XMDT")+COUNTIF(M46:M78,"Mốc")</f>
        <v>5</v>
      </c>
      <c r="N79" s="14">
        <f>COUNTIF(N48,"THÁn")</f>
        <v>0</v>
      </c>
      <c r="O79" s="14">
        <f>COUNTIF(O48,"TÒA")</f>
        <v>0</v>
      </c>
      <c r="P79" s="14">
        <f>COUNTIF(P62:P78,"Cấp GCN")</f>
        <v>0</v>
      </c>
      <c r="Q79" s="14">
        <f>COUNTIF(Q46:Q78,"SHN")</f>
        <v>7</v>
      </c>
      <c r="R79" s="15"/>
      <c r="S79" s="13"/>
      <c r="T79" s="15"/>
      <c r="U79" s="15"/>
      <c r="V79" s="16"/>
      <c r="W79" s="11"/>
      <c r="X79" s="17"/>
      <c r="Y79" s="2"/>
      <c r="AE79" s="14">
        <f>COUNTIF(AE48,"kt")</f>
        <v>0</v>
      </c>
    </row>
    <row r="80" spans="1:32" s="10" customFormat="1" ht="31.5" x14ac:dyDescent="0.25">
      <c r="A80" s="3">
        <v>75</v>
      </c>
      <c r="B80" s="3" t="s">
        <v>1209</v>
      </c>
      <c r="C80" s="5" t="s">
        <v>1315</v>
      </c>
      <c r="D80" s="4"/>
      <c r="E80" s="6">
        <v>38</v>
      </c>
      <c r="F80" s="6">
        <v>219</v>
      </c>
      <c r="G80" s="6">
        <v>762.1</v>
      </c>
      <c r="H80" s="6" t="s">
        <v>75</v>
      </c>
      <c r="I80" s="7"/>
      <c r="J80" s="7"/>
      <c r="K80" s="3"/>
      <c r="L80" s="3"/>
      <c r="M80" s="3"/>
      <c r="N80" s="3"/>
      <c r="O80" s="3"/>
      <c r="P80" s="3"/>
      <c r="Q80" s="3"/>
      <c r="R80" s="15" t="s">
        <v>190</v>
      </c>
      <c r="S80" s="7">
        <v>45730</v>
      </c>
      <c r="T80" s="6"/>
      <c r="U80" s="6"/>
      <c r="V80" s="6"/>
      <c r="W80" s="11"/>
      <c r="X80" s="6"/>
      <c r="Y80" s="6"/>
      <c r="Z80" s="6"/>
      <c r="AA80" s="6" t="s">
        <v>1316</v>
      </c>
      <c r="AB80" s="8" t="s">
        <v>1305</v>
      </c>
      <c r="AC80" s="8"/>
      <c r="AD80" s="6"/>
      <c r="AE80" s="6"/>
      <c r="AF80" s="9"/>
    </row>
    <row r="81" spans="1:32" s="10" customFormat="1" ht="16.5" x14ac:dyDescent="0.25">
      <c r="A81" s="3">
        <v>76</v>
      </c>
      <c r="B81" s="3" t="s">
        <v>1209</v>
      </c>
      <c r="C81" s="5" t="s">
        <v>1062</v>
      </c>
      <c r="D81" s="4"/>
      <c r="E81" s="6">
        <v>19</v>
      </c>
      <c r="F81" s="6">
        <v>66</v>
      </c>
      <c r="G81" s="6">
        <v>170.3</v>
      </c>
      <c r="H81" s="6" t="s">
        <v>51</v>
      </c>
      <c r="I81" s="7">
        <v>45747</v>
      </c>
      <c r="J81" s="7"/>
      <c r="K81" s="3"/>
      <c r="L81" s="3"/>
      <c r="M81" s="3" t="s">
        <v>1</v>
      </c>
      <c r="N81" s="3"/>
      <c r="O81" s="3"/>
      <c r="P81" s="3"/>
      <c r="Q81" s="3"/>
      <c r="R81" s="15" t="s">
        <v>82</v>
      </c>
      <c r="S81" s="6"/>
      <c r="T81" s="6"/>
      <c r="U81" s="6"/>
      <c r="V81" s="6"/>
      <c r="W81" s="11"/>
      <c r="X81" s="6"/>
      <c r="Y81" s="6"/>
      <c r="Z81" s="6"/>
      <c r="AA81" s="6"/>
      <c r="AB81" s="8"/>
      <c r="AC81" s="8"/>
      <c r="AD81" s="6"/>
      <c r="AE81" s="6"/>
      <c r="AF81" s="9" t="s">
        <v>1087</v>
      </c>
    </row>
    <row r="82" spans="1:32" s="10" customFormat="1" ht="16.5" x14ac:dyDescent="0.25">
      <c r="A82" s="3">
        <v>77</v>
      </c>
      <c r="B82" s="3" t="s">
        <v>1209</v>
      </c>
      <c r="C82" s="5" t="s">
        <v>1336</v>
      </c>
      <c r="D82" s="4" t="s">
        <v>1337</v>
      </c>
      <c r="E82" s="6">
        <v>32</v>
      </c>
      <c r="F82" s="6">
        <v>316</v>
      </c>
      <c r="G82" s="6">
        <v>186.2</v>
      </c>
      <c r="H82" s="6" t="s">
        <v>51</v>
      </c>
      <c r="I82" s="7">
        <v>45748</v>
      </c>
      <c r="J82" s="7"/>
      <c r="K82" s="3"/>
      <c r="L82" s="3"/>
      <c r="M82" s="3" t="s">
        <v>98</v>
      </c>
      <c r="N82" s="3"/>
      <c r="O82" s="3"/>
      <c r="P82" s="3"/>
      <c r="Q82" s="3"/>
      <c r="R82" s="15" t="s">
        <v>82</v>
      </c>
      <c r="S82" s="7">
        <v>45749</v>
      </c>
      <c r="T82" s="7">
        <v>45751</v>
      </c>
      <c r="U82" s="7">
        <v>45751</v>
      </c>
      <c r="V82" s="6">
        <v>2023</v>
      </c>
      <c r="W82" s="11">
        <v>2583973</v>
      </c>
      <c r="X82" s="6"/>
      <c r="Y82" s="6"/>
      <c r="Z82" s="6"/>
      <c r="AA82" s="6"/>
      <c r="AB82" s="8"/>
      <c r="AC82" s="8"/>
      <c r="AD82" s="6"/>
      <c r="AE82" s="6"/>
      <c r="AF82" s="9"/>
    </row>
    <row r="83" spans="1:32" s="10" customFormat="1" ht="16.5" x14ac:dyDescent="0.25">
      <c r="A83" s="3">
        <v>78</v>
      </c>
      <c r="B83" s="3" t="s">
        <v>1209</v>
      </c>
      <c r="C83" s="5" t="s">
        <v>1346</v>
      </c>
      <c r="D83" s="4" t="s">
        <v>1334</v>
      </c>
      <c r="E83" s="6">
        <v>28</v>
      </c>
      <c r="F83" s="6">
        <v>200</v>
      </c>
      <c r="G83" s="6">
        <v>3122.5</v>
      </c>
      <c r="H83" s="6" t="s">
        <v>75</v>
      </c>
      <c r="I83" s="7">
        <v>45748</v>
      </c>
      <c r="J83" s="7"/>
      <c r="K83" s="3"/>
      <c r="L83" s="3"/>
      <c r="M83" s="3"/>
      <c r="N83" s="3"/>
      <c r="O83" s="3"/>
      <c r="P83" s="3"/>
      <c r="Q83" s="3" t="s">
        <v>52</v>
      </c>
      <c r="R83" s="15" t="s">
        <v>82</v>
      </c>
      <c r="S83" s="6"/>
      <c r="T83" s="6"/>
      <c r="U83" s="6"/>
      <c r="V83" s="6"/>
      <c r="W83" s="11"/>
      <c r="X83" s="6"/>
      <c r="Y83" s="6"/>
      <c r="Z83" s="6"/>
      <c r="AA83" s="6"/>
      <c r="AB83" s="8"/>
      <c r="AC83" s="8"/>
      <c r="AD83" s="6"/>
      <c r="AE83" s="6"/>
      <c r="AF83" s="9" t="s">
        <v>1087</v>
      </c>
    </row>
    <row r="84" spans="1:32" s="10" customFormat="1" ht="47.25" x14ac:dyDescent="0.25">
      <c r="A84" s="3">
        <v>79</v>
      </c>
      <c r="B84" s="3" t="s">
        <v>1209</v>
      </c>
      <c r="C84" s="5" t="s">
        <v>1353</v>
      </c>
      <c r="D84" s="4" t="s">
        <v>1354</v>
      </c>
      <c r="E84" s="6">
        <v>27</v>
      </c>
      <c r="F84" s="6">
        <v>271</v>
      </c>
      <c r="G84" s="6">
        <v>123.8</v>
      </c>
      <c r="H84" s="6" t="s">
        <v>51</v>
      </c>
      <c r="I84" s="7">
        <v>45748</v>
      </c>
      <c r="J84" s="7"/>
      <c r="K84" s="3"/>
      <c r="L84" s="3"/>
      <c r="M84" s="3" t="s">
        <v>1</v>
      </c>
      <c r="N84" s="3"/>
      <c r="O84" s="3"/>
      <c r="P84" s="3"/>
      <c r="Q84" s="3"/>
      <c r="R84" s="15" t="s">
        <v>82</v>
      </c>
      <c r="S84" s="6"/>
      <c r="T84" s="6"/>
      <c r="U84" s="6"/>
      <c r="V84" s="6"/>
      <c r="W84" s="11"/>
      <c r="X84" s="6"/>
      <c r="Y84" s="6"/>
      <c r="Z84" s="6"/>
      <c r="AA84" s="6"/>
      <c r="AB84" s="8"/>
      <c r="AC84" s="6" t="s">
        <v>2386</v>
      </c>
      <c r="AD84" s="6" t="s">
        <v>1632</v>
      </c>
      <c r="AE84" s="6"/>
      <c r="AF84" s="9"/>
    </row>
    <row r="85" spans="1:32" s="10" customFormat="1" ht="47.25" x14ac:dyDescent="0.25">
      <c r="A85" s="3">
        <v>80</v>
      </c>
      <c r="B85" s="3" t="s">
        <v>1209</v>
      </c>
      <c r="C85" s="5" t="s">
        <v>1355</v>
      </c>
      <c r="D85" s="4" t="s">
        <v>1354</v>
      </c>
      <c r="E85" s="6">
        <v>22</v>
      </c>
      <c r="F85" s="6">
        <v>593</v>
      </c>
      <c r="G85" s="6">
        <v>126.5</v>
      </c>
      <c r="H85" s="6" t="s">
        <v>51</v>
      </c>
      <c r="I85" s="7">
        <v>45748</v>
      </c>
      <c r="J85" s="7"/>
      <c r="K85" s="3"/>
      <c r="L85" s="3"/>
      <c r="M85" s="3" t="s">
        <v>1</v>
      </c>
      <c r="N85" s="3"/>
      <c r="O85" s="3"/>
      <c r="P85" s="3"/>
      <c r="Q85" s="3"/>
      <c r="R85" s="15" t="s">
        <v>82</v>
      </c>
      <c r="S85" s="6"/>
      <c r="T85" s="6"/>
      <c r="U85" s="6"/>
      <c r="V85" s="6"/>
      <c r="W85" s="11"/>
      <c r="X85" s="6"/>
      <c r="Y85" s="6"/>
      <c r="Z85" s="6"/>
      <c r="AA85" s="6"/>
      <c r="AB85" s="8"/>
      <c r="AC85" s="6" t="s">
        <v>2386</v>
      </c>
      <c r="AD85" s="6" t="s">
        <v>1632</v>
      </c>
      <c r="AE85" s="6"/>
      <c r="AF85" s="9"/>
    </row>
    <row r="86" spans="1:32" s="10" customFormat="1" ht="65.25" customHeight="1" x14ac:dyDescent="0.25">
      <c r="A86" s="3">
        <v>81</v>
      </c>
      <c r="B86" s="3" t="s">
        <v>1209</v>
      </c>
      <c r="C86" s="5" t="s">
        <v>1366</v>
      </c>
      <c r="D86" s="4" t="s">
        <v>1367</v>
      </c>
      <c r="E86" s="6">
        <v>19</v>
      </c>
      <c r="F86" s="6">
        <v>420</v>
      </c>
      <c r="G86" s="6">
        <v>507.6</v>
      </c>
      <c r="H86" s="6" t="s">
        <v>51</v>
      </c>
      <c r="I86" s="7">
        <v>45748</v>
      </c>
      <c r="J86" s="7"/>
      <c r="K86" s="3"/>
      <c r="L86" s="3"/>
      <c r="M86" s="3" t="s">
        <v>98</v>
      </c>
      <c r="N86" s="3"/>
      <c r="O86" s="3"/>
      <c r="P86" s="3"/>
      <c r="Q86" s="3"/>
      <c r="R86" s="15" t="s">
        <v>82</v>
      </c>
      <c r="S86" s="7">
        <v>45749</v>
      </c>
      <c r="T86" s="7">
        <v>45751</v>
      </c>
      <c r="U86" s="7">
        <v>45751</v>
      </c>
      <c r="V86" s="6">
        <v>2007</v>
      </c>
      <c r="W86" s="11">
        <v>2932904</v>
      </c>
      <c r="X86" s="6"/>
      <c r="Y86" s="6"/>
      <c r="Z86" s="6"/>
      <c r="AA86" s="6"/>
      <c r="AB86" s="8"/>
      <c r="AC86" s="8" t="s">
        <v>1423</v>
      </c>
      <c r="AD86" s="6" t="s">
        <v>1368</v>
      </c>
      <c r="AE86" s="6"/>
      <c r="AF86" s="9"/>
    </row>
    <row r="87" spans="1:32" s="10" customFormat="1" ht="31.5" x14ac:dyDescent="0.25">
      <c r="A87" s="3">
        <v>82</v>
      </c>
      <c r="B87" s="3" t="s">
        <v>1209</v>
      </c>
      <c r="C87" s="5" t="s">
        <v>1421</v>
      </c>
      <c r="D87" s="4" t="s">
        <v>1422</v>
      </c>
      <c r="E87" s="6">
        <v>39</v>
      </c>
      <c r="F87" s="6">
        <v>45</v>
      </c>
      <c r="G87" s="6">
        <v>1066.7</v>
      </c>
      <c r="H87" s="6" t="s">
        <v>51</v>
      </c>
      <c r="I87" s="7">
        <v>45750</v>
      </c>
      <c r="J87" s="7"/>
      <c r="K87" s="3"/>
      <c r="L87" s="3" t="s">
        <v>62</v>
      </c>
      <c r="M87" s="3"/>
      <c r="N87" s="3"/>
      <c r="O87" s="3"/>
      <c r="P87" s="3"/>
      <c r="Q87" s="3"/>
      <c r="R87" s="15" t="s">
        <v>82</v>
      </c>
      <c r="S87" s="7">
        <v>45770</v>
      </c>
      <c r="T87" s="7">
        <v>45771</v>
      </c>
      <c r="U87" s="7">
        <v>45771</v>
      </c>
      <c r="V87" s="6">
        <v>128</v>
      </c>
      <c r="W87" s="11">
        <v>961551</v>
      </c>
      <c r="X87" s="6"/>
      <c r="Y87" s="6"/>
      <c r="Z87" s="6"/>
      <c r="AA87" s="6" t="s">
        <v>2391</v>
      </c>
      <c r="AB87" s="8" t="s">
        <v>2395</v>
      </c>
      <c r="AC87" s="8"/>
      <c r="AD87" s="6"/>
      <c r="AE87" s="6"/>
      <c r="AF87" s="9"/>
    </row>
    <row r="88" spans="1:32" s="10" customFormat="1" ht="31.5" x14ac:dyDescent="0.25">
      <c r="A88" s="3">
        <v>83</v>
      </c>
      <c r="B88" s="3" t="s">
        <v>1209</v>
      </c>
      <c r="C88" s="5" t="s">
        <v>1437</v>
      </c>
      <c r="D88" s="4" t="s">
        <v>1438</v>
      </c>
      <c r="E88" s="6">
        <v>46</v>
      </c>
      <c r="F88" s="6">
        <v>78</v>
      </c>
      <c r="G88" s="6">
        <v>200</v>
      </c>
      <c r="H88" s="6" t="s">
        <v>51</v>
      </c>
      <c r="I88" s="7">
        <v>45751</v>
      </c>
      <c r="J88" s="7"/>
      <c r="K88" s="3"/>
      <c r="L88" s="3" t="s">
        <v>62</v>
      </c>
      <c r="M88" s="3"/>
      <c r="N88" s="3"/>
      <c r="O88" s="3"/>
      <c r="P88" s="3"/>
      <c r="Q88" s="3"/>
      <c r="R88" s="15" t="s">
        <v>82</v>
      </c>
      <c r="S88" s="7">
        <v>45770</v>
      </c>
      <c r="T88" s="7">
        <v>45771</v>
      </c>
      <c r="U88" s="7">
        <v>45771</v>
      </c>
      <c r="V88" s="6">
        <v>153</v>
      </c>
      <c r="W88" s="11">
        <v>809727</v>
      </c>
      <c r="X88" s="6"/>
      <c r="Y88" s="6"/>
      <c r="Z88" s="6"/>
      <c r="AA88" s="6"/>
      <c r="AB88" s="8"/>
      <c r="AC88" s="8" t="s">
        <v>2126</v>
      </c>
      <c r="AD88" s="6" t="s">
        <v>2127</v>
      </c>
      <c r="AE88" s="6"/>
      <c r="AF88" s="9"/>
    </row>
    <row r="89" spans="1:32" s="10" customFormat="1" ht="56.25" customHeight="1" x14ac:dyDescent="0.25">
      <c r="A89" s="3">
        <v>84</v>
      </c>
      <c r="B89" s="3" t="s">
        <v>1209</v>
      </c>
      <c r="C89" s="5" t="s">
        <v>1464</v>
      </c>
      <c r="D89" s="4" t="s">
        <v>1465</v>
      </c>
      <c r="E89" s="6">
        <v>41</v>
      </c>
      <c r="F89" s="6">
        <v>161</v>
      </c>
      <c r="G89" s="6">
        <v>1039.2</v>
      </c>
      <c r="H89" s="6" t="s">
        <v>75</v>
      </c>
      <c r="I89" s="7" t="s">
        <v>1857</v>
      </c>
      <c r="J89" s="7"/>
      <c r="K89" s="3"/>
      <c r="L89" s="3" t="s">
        <v>62</v>
      </c>
      <c r="M89" s="3"/>
      <c r="N89" s="3"/>
      <c r="O89" s="3"/>
      <c r="P89" s="3"/>
      <c r="Q89" s="3"/>
      <c r="R89" s="15" t="s">
        <v>82</v>
      </c>
      <c r="S89" s="6"/>
      <c r="T89" s="6"/>
      <c r="U89" s="6"/>
      <c r="V89" s="6"/>
      <c r="W89" s="11"/>
      <c r="X89" s="6"/>
      <c r="Y89" s="6"/>
      <c r="Z89" s="6"/>
      <c r="AA89" s="6"/>
      <c r="AB89" s="8"/>
      <c r="AC89" s="8"/>
      <c r="AD89" s="6" t="s">
        <v>2118</v>
      </c>
      <c r="AE89" s="6"/>
      <c r="AF89" s="9" t="s">
        <v>1466</v>
      </c>
    </row>
    <row r="90" spans="1:32" s="10" customFormat="1" ht="47.25" x14ac:dyDescent="0.25">
      <c r="A90" s="3">
        <v>85</v>
      </c>
      <c r="B90" s="3" t="s">
        <v>1209</v>
      </c>
      <c r="C90" s="5" t="s">
        <v>1469</v>
      </c>
      <c r="D90" s="4" t="s">
        <v>1470</v>
      </c>
      <c r="E90" s="6">
        <v>22</v>
      </c>
      <c r="F90" s="6">
        <v>169</v>
      </c>
      <c r="G90" s="6">
        <v>755.5</v>
      </c>
      <c r="H90" s="6" t="s">
        <v>51</v>
      </c>
      <c r="I90" s="7">
        <v>45755</v>
      </c>
      <c r="J90" s="7"/>
      <c r="K90" s="3"/>
      <c r="L90" s="3" t="s">
        <v>62</v>
      </c>
      <c r="M90" s="3"/>
      <c r="N90" s="3"/>
      <c r="O90" s="3"/>
      <c r="P90" s="3"/>
      <c r="Q90" s="3"/>
      <c r="R90" s="15" t="s">
        <v>82</v>
      </c>
      <c r="S90" s="6"/>
      <c r="T90" s="6"/>
      <c r="U90" s="6"/>
      <c r="V90" s="6"/>
      <c r="W90" s="11"/>
      <c r="X90" s="6"/>
      <c r="Y90" s="6"/>
      <c r="Z90" s="6"/>
      <c r="AA90" s="6"/>
      <c r="AB90" s="8"/>
      <c r="AC90" s="8"/>
      <c r="AD90" s="6" t="s">
        <v>1632</v>
      </c>
      <c r="AE90" s="6"/>
      <c r="AF90" s="9"/>
    </row>
    <row r="91" spans="1:32" ht="16.5" x14ac:dyDescent="0.25">
      <c r="A91" s="12"/>
      <c r="B91" s="73" t="s">
        <v>1478</v>
      </c>
      <c r="C91" s="74"/>
      <c r="D91" s="74"/>
      <c r="E91" s="74"/>
      <c r="F91" s="74"/>
      <c r="G91" s="74"/>
      <c r="H91" s="75"/>
      <c r="I91" s="13"/>
      <c r="J91" s="13"/>
      <c r="K91" s="14">
        <f>COUNTIF(K80:K90,"CQ")+COUNTIF(K80:K90,"CT")+COUNTIF(K80:K90,"TK")</f>
        <v>0</v>
      </c>
      <c r="L91" s="14">
        <f>COUNTIF(L80:L90,"CMĐ")</f>
        <v>4</v>
      </c>
      <c r="M91" s="14">
        <f>COUNTIF(M80:M90,"XMDT")+COUNTIF(M80:M90,"Mốc")</f>
        <v>5</v>
      </c>
      <c r="N91" s="14">
        <f>COUNTIF(N60,"THÁn")</f>
        <v>0</v>
      </c>
      <c r="O91" s="14">
        <f>COUNTIF(O60,"TÒA")</f>
        <v>0</v>
      </c>
      <c r="P91" s="14">
        <f>COUNTIF(P74:P90,"Cấp GCN")</f>
        <v>0</v>
      </c>
      <c r="Q91" s="14">
        <f>COUNTIF(Q80:Q90,"SHN")</f>
        <v>1</v>
      </c>
      <c r="R91" s="15"/>
      <c r="S91" s="13"/>
      <c r="T91" s="15"/>
      <c r="U91" s="15"/>
      <c r="V91" s="16"/>
      <c r="W91" s="11"/>
      <c r="X91" s="17"/>
      <c r="Y91" s="2"/>
      <c r="AE91" s="14">
        <f>COUNTIF(AE60,"kt")</f>
        <v>0</v>
      </c>
    </row>
    <row r="92" spans="1:32" s="10" customFormat="1" ht="16.5" x14ac:dyDescent="0.25">
      <c r="A92" s="3">
        <v>86</v>
      </c>
      <c r="B92" s="3" t="s">
        <v>1209</v>
      </c>
      <c r="C92" s="5" t="s">
        <v>1635</v>
      </c>
      <c r="D92" s="4" t="s">
        <v>124</v>
      </c>
      <c r="E92" s="6">
        <v>24</v>
      </c>
      <c r="F92" s="6">
        <v>440</v>
      </c>
      <c r="G92" s="6">
        <v>871.3</v>
      </c>
      <c r="H92" s="6" t="s">
        <v>51</v>
      </c>
      <c r="I92" s="7">
        <v>45764</v>
      </c>
      <c r="J92" s="7"/>
      <c r="K92" s="3"/>
      <c r="L92" s="3" t="s">
        <v>62</v>
      </c>
      <c r="M92" s="3"/>
      <c r="N92" s="3"/>
      <c r="O92" s="3"/>
      <c r="P92" s="3"/>
      <c r="Q92" s="3"/>
      <c r="R92" s="15" t="s">
        <v>82</v>
      </c>
      <c r="S92" s="7">
        <v>45807</v>
      </c>
      <c r="T92" s="7">
        <v>45811</v>
      </c>
      <c r="U92" s="7">
        <v>45811</v>
      </c>
      <c r="V92" s="6">
        <v>1194</v>
      </c>
      <c r="W92" s="11">
        <v>1019155</v>
      </c>
      <c r="X92" s="6"/>
      <c r="Y92" s="6"/>
      <c r="Z92" s="6"/>
      <c r="AA92" s="6"/>
      <c r="AB92" s="8"/>
      <c r="AC92" s="8"/>
      <c r="AD92" s="6"/>
      <c r="AE92" s="6"/>
      <c r="AF92" s="9" t="s">
        <v>1636</v>
      </c>
    </row>
    <row r="93" spans="1:32" ht="16.5" x14ac:dyDescent="0.25">
      <c r="A93" s="12"/>
      <c r="B93" s="73" t="s">
        <v>1656</v>
      </c>
      <c r="C93" s="74"/>
      <c r="D93" s="74"/>
      <c r="E93" s="74"/>
      <c r="F93" s="74"/>
      <c r="G93" s="74"/>
      <c r="H93" s="75"/>
      <c r="I93" s="13"/>
      <c r="J93" s="13"/>
      <c r="K93" s="14">
        <f>COUNTIF(K82:K92,"CQ")+COUNTIF(K82:K92,"CT")+COUNTIF(K82:K92,"TK")</f>
        <v>0</v>
      </c>
      <c r="L93" s="14">
        <f>COUNTIF(L92,"CMĐ")</f>
        <v>1</v>
      </c>
      <c r="M93" s="14">
        <f>COUNTIF(M82:M92,"XMDT")+COUNTIF(M82:M92,"Mốc")</f>
        <v>4</v>
      </c>
      <c r="N93" s="14">
        <f>COUNTIF(N62,"THÁn")</f>
        <v>0</v>
      </c>
      <c r="O93" s="14">
        <f>COUNTIF(O62,"TÒA")</f>
        <v>0</v>
      </c>
      <c r="P93" s="14">
        <f>COUNTIF(P76:P92,"Cấp GCN")</f>
        <v>0</v>
      </c>
      <c r="Q93" s="14">
        <f>COUNTIF(Q82:Q92,"SHN")</f>
        <v>1</v>
      </c>
      <c r="R93" s="15"/>
      <c r="S93" s="13"/>
      <c r="T93" s="15"/>
      <c r="U93" s="15"/>
      <c r="V93" s="16"/>
      <c r="W93" s="11"/>
      <c r="X93" s="17"/>
      <c r="Y93" s="2"/>
      <c r="AE93" s="14">
        <f>COUNTIF(AE62,"kt")</f>
        <v>0</v>
      </c>
    </row>
    <row r="94" spans="1:32" s="10" customFormat="1" ht="31.5" x14ac:dyDescent="0.25">
      <c r="A94" s="3">
        <v>87</v>
      </c>
      <c r="B94" s="3" t="s">
        <v>1209</v>
      </c>
      <c r="C94" s="5" t="s">
        <v>1669</v>
      </c>
      <c r="D94" s="4"/>
      <c r="E94" s="6">
        <v>37</v>
      </c>
      <c r="F94" s="6">
        <v>224</v>
      </c>
      <c r="G94" s="6">
        <v>267.5</v>
      </c>
      <c r="H94" s="6" t="s">
        <v>75</v>
      </c>
      <c r="I94" s="7">
        <v>45769</v>
      </c>
      <c r="J94" s="7"/>
      <c r="K94" s="3" t="s">
        <v>823</v>
      </c>
      <c r="L94" s="3"/>
      <c r="M94" s="3"/>
      <c r="N94" s="3"/>
      <c r="O94" s="3"/>
      <c r="P94" s="3"/>
      <c r="Q94" s="3"/>
      <c r="R94" s="15" t="s">
        <v>82</v>
      </c>
      <c r="S94" s="7">
        <v>45825</v>
      </c>
      <c r="T94" s="7">
        <v>45795</v>
      </c>
      <c r="U94" s="7">
        <v>45795</v>
      </c>
      <c r="V94" s="6">
        <v>1637</v>
      </c>
      <c r="W94" s="11">
        <v>809727</v>
      </c>
      <c r="X94" s="6"/>
      <c r="Y94" s="6"/>
      <c r="Z94" s="6"/>
      <c r="AA94" s="6" t="s">
        <v>2626</v>
      </c>
      <c r="AB94" s="8" t="s">
        <v>2627</v>
      </c>
      <c r="AC94" s="8"/>
      <c r="AD94" s="6"/>
      <c r="AE94" s="6"/>
      <c r="AF94" s="9"/>
    </row>
    <row r="95" spans="1:32" s="10" customFormat="1" ht="31.5" x14ac:dyDescent="0.25">
      <c r="A95" s="3">
        <v>88</v>
      </c>
      <c r="B95" s="3" t="s">
        <v>1209</v>
      </c>
      <c r="C95" s="5" t="s">
        <v>1688</v>
      </c>
      <c r="D95" s="4" t="s">
        <v>1689</v>
      </c>
      <c r="E95" s="6">
        <v>28</v>
      </c>
      <c r="F95" s="6">
        <v>73</v>
      </c>
      <c r="G95" s="6">
        <v>1298.8</v>
      </c>
      <c r="H95" s="6" t="s">
        <v>75</v>
      </c>
      <c r="I95" s="7">
        <v>45768</v>
      </c>
      <c r="J95" s="7"/>
      <c r="K95" s="3" t="s">
        <v>76</v>
      </c>
      <c r="L95" s="3"/>
      <c r="M95" s="3"/>
      <c r="N95" s="3"/>
      <c r="O95" s="3"/>
      <c r="P95" s="3"/>
      <c r="Q95" s="3"/>
      <c r="R95" s="15" t="s">
        <v>82</v>
      </c>
      <c r="S95" s="7">
        <v>45835</v>
      </c>
      <c r="T95" s="7">
        <v>45835</v>
      </c>
      <c r="U95" s="7">
        <v>45835</v>
      </c>
      <c r="V95" s="6">
        <v>2022</v>
      </c>
      <c r="W95" s="11">
        <v>1248329</v>
      </c>
      <c r="X95" s="6"/>
      <c r="Y95" s="6"/>
      <c r="Z95" s="6"/>
      <c r="AA95" s="6"/>
      <c r="AB95" s="8"/>
      <c r="AC95" s="8"/>
      <c r="AD95" s="6" t="s">
        <v>1993</v>
      </c>
      <c r="AE95" s="6"/>
      <c r="AF95" s="9"/>
    </row>
    <row r="96" spans="1:32" s="10" customFormat="1" ht="16.5" x14ac:dyDescent="0.25">
      <c r="A96" s="3">
        <v>89</v>
      </c>
      <c r="B96" s="3" t="s">
        <v>1209</v>
      </c>
      <c r="C96" s="5" t="s">
        <v>1696</v>
      </c>
      <c r="D96" s="4" t="s">
        <v>1697</v>
      </c>
      <c r="E96" s="6">
        <v>32</v>
      </c>
      <c r="F96" s="6">
        <v>359</v>
      </c>
      <c r="G96" s="6">
        <v>342.9</v>
      </c>
      <c r="H96" s="6" t="s">
        <v>51</v>
      </c>
      <c r="I96" s="7">
        <v>45768</v>
      </c>
      <c r="J96" s="7"/>
      <c r="K96" s="3"/>
      <c r="L96" s="3" t="s">
        <v>62</v>
      </c>
      <c r="M96" s="3"/>
      <c r="N96" s="3"/>
      <c r="O96" s="3"/>
      <c r="P96" s="3"/>
      <c r="Q96" s="3"/>
      <c r="R96" s="15" t="s">
        <v>82</v>
      </c>
      <c r="S96" s="7">
        <v>45805</v>
      </c>
      <c r="T96" s="7">
        <v>45806</v>
      </c>
      <c r="U96" s="7">
        <v>45806</v>
      </c>
      <c r="V96" s="6">
        <v>1072</v>
      </c>
      <c r="W96" s="11">
        <v>809727</v>
      </c>
      <c r="X96" s="6"/>
      <c r="Y96" s="6"/>
      <c r="Z96" s="6"/>
      <c r="AA96" s="6"/>
      <c r="AB96" s="8"/>
      <c r="AC96" s="8"/>
      <c r="AD96" s="6"/>
      <c r="AE96" s="6"/>
      <c r="AF96" s="9"/>
    </row>
    <row r="97" spans="1:32" s="10" customFormat="1" ht="16.5" x14ac:dyDescent="0.25">
      <c r="A97" s="3">
        <v>90</v>
      </c>
      <c r="B97" s="3" t="s">
        <v>1209</v>
      </c>
      <c r="C97" s="5" t="s">
        <v>1714</v>
      </c>
      <c r="D97" s="4"/>
      <c r="E97" s="6">
        <v>17</v>
      </c>
      <c r="F97" s="6">
        <v>111</v>
      </c>
      <c r="G97" s="6">
        <v>462.5</v>
      </c>
      <c r="H97" s="6" t="s">
        <v>55</v>
      </c>
      <c r="I97" s="7">
        <v>45770</v>
      </c>
      <c r="J97" s="7"/>
      <c r="K97" s="3" t="s">
        <v>76</v>
      </c>
      <c r="L97" s="3"/>
      <c r="M97" s="3"/>
      <c r="N97" s="3"/>
      <c r="O97" s="3"/>
      <c r="P97" s="3"/>
      <c r="Q97" s="3"/>
      <c r="R97" s="15" t="s">
        <v>82</v>
      </c>
      <c r="S97" s="7">
        <v>45805</v>
      </c>
      <c r="T97" s="7">
        <v>45811</v>
      </c>
      <c r="U97" s="7">
        <v>45811</v>
      </c>
      <c r="V97" s="20">
        <v>1213</v>
      </c>
      <c r="W97" s="11">
        <v>1923102</v>
      </c>
      <c r="X97" s="6"/>
      <c r="Y97" s="6"/>
      <c r="Z97" s="6"/>
      <c r="AA97" s="6"/>
      <c r="AB97" s="8" t="s">
        <v>2512</v>
      </c>
      <c r="AC97" s="8" t="s">
        <v>2513</v>
      </c>
      <c r="AD97" s="6"/>
      <c r="AE97" s="6"/>
      <c r="AF97" s="9" t="s">
        <v>1715</v>
      </c>
    </row>
    <row r="98" spans="1:32" s="10" customFormat="1" ht="31.5" x14ac:dyDescent="0.25">
      <c r="A98" s="3">
        <v>91</v>
      </c>
      <c r="B98" s="3" t="s">
        <v>1209</v>
      </c>
      <c r="C98" s="5" t="s">
        <v>1720</v>
      </c>
      <c r="D98" s="4" t="s">
        <v>1721</v>
      </c>
      <c r="E98" s="6">
        <v>38</v>
      </c>
      <c r="F98" s="6">
        <v>64</v>
      </c>
      <c r="G98" s="6">
        <v>137.19999999999999</v>
      </c>
      <c r="H98" s="6" t="s">
        <v>55</v>
      </c>
      <c r="I98" s="7" t="s">
        <v>2160</v>
      </c>
      <c r="J98" s="7"/>
      <c r="K98" s="3"/>
      <c r="L98" s="3"/>
      <c r="M98" s="3"/>
      <c r="N98" s="3"/>
      <c r="O98" s="3"/>
      <c r="P98" s="3"/>
      <c r="Q98" s="3" t="s">
        <v>52</v>
      </c>
      <c r="R98" s="15" t="s">
        <v>82</v>
      </c>
      <c r="S98" s="7">
        <v>45828</v>
      </c>
      <c r="T98" s="7">
        <v>45829</v>
      </c>
      <c r="U98" s="7">
        <v>45829</v>
      </c>
      <c r="V98" s="6">
        <v>1781</v>
      </c>
      <c r="W98" s="11">
        <v>2125468</v>
      </c>
      <c r="X98" s="6"/>
      <c r="Y98" s="6"/>
      <c r="Z98" s="6"/>
      <c r="AA98" s="6"/>
      <c r="AB98" s="8"/>
      <c r="AC98" s="8"/>
      <c r="AD98" s="6" t="s">
        <v>2103</v>
      </c>
      <c r="AE98" s="6"/>
      <c r="AF98" s="9"/>
    </row>
    <row r="99" spans="1:32" s="10" customFormat="1" ht="47.25" x14ac:dyDescent="0.25">
      <c r="A99" s="3">
        <v>92</v>
      </c>
      <c r="B99" s="3" t="s">
        <v>1209</v>
      </c>
      <c r="C99" s="5" t="s">
        <v>1730</v>
      </c>
      <c r="D99" s="4" t="s">
        <v>1731</v>
      </c>
      <c r="E99" s="6">
        <v>63</v>
      </c>
      <c r="F99" s="6">
        <v>226</v>
      </c>
      <c r="G99" s="6">
        <v>113.3</v>
      </c>
      <c r="H99" s="6" t="s">
        <v>55</v>
      </c>
      <c r="I99" s="7">
        <v>45772</v>
      </c>
      <c r="J99" s="7"/>
      <c r="K99" s="3"/>
      <c r="L99" s="3"/>
      <c r="M99" s="3" t="s">
        <v>98</v>
      </c>
      <c r="N99" s="3"/>
      <c r="O99" s="3"/>
      <c r="P99" s="3"/>
      <c r="Q99" s="3"/>
      <c r="R99" s="15" t="s">
        <v>82</v>
      </c>
      <c r="S99" s="7">
        <v>45785</v>
      </c>
      <c r="T99" s="7">
        <v>45796</v>
      </c>
      <c r="U99" s="7">
        <v>45796</v>
      </c>
      <c r="V99" s="6">
        <v>705</v>
      </c>
      <c r="W99" s="11">
        <v>2409508</v>
      </c>
      <c r="X99" s="6"/>
      <c r="Y99" s="6"/>
      <c r="Z99" s="6"/>
      <c r="AA99" s="6"/>
      <c r="AB99" s="8"/>
      <c r="AC99" s="8" t="s">
        <v>1732</v>
      </c>
      <c r="AD99" s="6"/>
      <c r="AE99" s="6"/>
      <c r="AF99" s="9"/>
    </row>
    <row r="100" spans="1:32" s="10" customFormat="1" ht="63" x14ac:dyDescent="0.25">
      <c r="A100" s="3">
        <v>93</v>
      </c>
      <c r="B100" s="3" t="s">
        <v>1209</v>
      </c>
      <c r="C100" s="5" t="s">
        <v>1747</v>
      </c>
      <c r="D100" s="4" t="s">
        <v>491</v>
      </c>
      <c r="E100" s="6">
        <v>38</v>
      </c>
      <c r="F100" s="6">
        <v>105</v>
      </c>
      <c r="G100" s="6">
        <v>1058.5</v>
      </c>
      <c r="H100" s="6"/>
      <c r="I100" s="7">
        <v>45772</v>
      </c>
      <c r="J100" s="7"/>
      <c r="K100" s="3"/>
      <c r="L100" s="3"/>
      <c r="M100" s="3"/>
      <c r="N100" s="3" t="s">
        <v>491</v>
      </c>
      <c r="O100" s="3"/>
      <c r="P100" s="3"/>
      <c r="Q100" s="3"/>
      <c r="R100" s="15" t="s">
        <v>82</v>
      </c>
      <c r="S100" s="6"/>
      <c r="T100" s="6"/>
      <c r="U100" s="6"/>
      <c r="V100" s="6"/>
      <c r="W100" s="11"/>
      <c r="X100" s="6"/>
      <c r="Y100" s="6"/>
      <c r="Z100" s="6"/>
      <c r="AA100" s="6"/>
      <c r="AB100" s="8" t="s">
        <v>1750</v>
      </c>
      <c r="AC100" s="8" t="s">
        <v>1748</v>
      </c>
      <c r="AD100" s="6" t="s">
        <v>1749</v>
      </c>
      <c r="AE100" s="6"/>
      <c r="AF100" s="9"/>
    </row>
    <row r="101" spans="1:32" s="10" customFormat="1" ht="78.75" x14ac:dyDescent="0.25">
      <c r="A101" s="3">
        <v>94</v>
      </c>
      <c r="B101" s="3" t="s">
        <v>1209</v>
      </c>
      <c r="C101" s="5" t="s">
        <v>1771</v>
      </c>
      <c r="D101" s="4" t="s">
        <v>315</v>
      </c>
      <c r="E101" s="6" t="s">
        <v>1772</v>
      </c>
      <c r="F101" s="6" t="s">
        <v>1773</v>
      </c>
      <c r="G101" s="6"/>
      <c r="H101" s="6"/>
      <c r="I101" s="7">
        <v>45773</v>
      </c>
      <c r="J101" s="7"/>
      <c r="K101" s="3"/>
      <c r="L101" s="3"/>
      <c r="M101" s="3"/>
      <c r="N101" s="3"/>
      <c r="O101" s="3" t="s">
        <v>56</v>
      </c>
      <c r="P101" s="3"/>
      <c r="Q101" s="3"/>
      <c r="R101" s="15" t="s">
        <v>82</v>
      </c>
      <c r="S101" s="6"/>
      <c r="T101" s="6"/>
      <c r="U101" s="6"/>
      <c r="V101" s="6"/>
      <c r="W101" s="11"/>
      <c r="X101" s="6"/>
      <c r="Y101" s="6"/>
      <c r="Z101" s="6"/>
      <c r="AA101" s="6"/>
      <c r="AB101" s="8"/>
      <c r="AC101" s="8"/>
      <c r="AD101" s="6" t="s">
        <v>1774</v>
      </c>
      <c r="AE101" s="6"/>
      <c r="AF101" s="9"/>
    </row>
    <row r="102" spans="1:32" ht="16.5" x14ac:dyDescent="0.25">
      <c r="A102" s="12"/>
      <c r="B102" s="73" t="s">
        <v>1782</v>
      </c>
      <c r="C102" s="74"/>
      <c r="D102" s="74"/>
      <c r="E102" s="74"/>
      <c r="F102" s="74"/>
      <c r="G102" s="74"/>
      <c r="H102" s="75"/>
      <c r="I102" s="13"/>
      <c r="J102" s="13"/>
      <c r="K102" s="14">
        <f>COUNTIF(K91:K101,"CQ")+COUNTIF(K91:K101,"CT")+COUNTIF(K94:K101,"IG")</f>
        <v>3</v>
      </c>
      <c r="L102" s="14">
        <f>COUNTIF(L94:L101,"CMĐ")</f>
        <v>1</v>
      </c>
      <c r="M102" s="14">
        <f>COUNTIF(M91:M101,"XMDT")+COUNTIF(M91:M101,"Mốc")</f>
        <v>1</v>
      </c>
      <c r="N102" s="14">
        <f>COUNTIF(N94:N101,"THÁn")</f>
        <v>1</v>
      </c>
      <c r="O102" s="14">
        <f>COUNTIF(O94:O101,"TÒA")</f>
        <v>1</v>
      </c>
      <c r="P102" s="14">
        <f>COUNTIF(P85:P101,"Cấp GCN")</f>
        <v>0</v>
      </c>
      <c r="Q102" s="14">
        <f>COUNTIF(Q91:Q101,"SHN")</f>
        <v>1</v>
      </c>
      <c r="R102" s="15"/>
      <c r="S102" s="13"/>
      <c r="T102" s="15"/>
      <c r="U102" s="15"/>
      <c r="V102" s="16"/>
      <c r="W102" s="11"/>
      <c r="X102" s="17"/>
      <c r="Y102" s="2"/>
      <c r="AE102" s="14">
        <f>COUNTIF(AE71,"kt")</f>
        <v>0</v>
      </c>
    </row>
    <row r="103" spans="1:32" s="10" customFormat="1" ht="47.25" x14ac:dyDescent="0.25">
      <c r="A103" s="3">
        <v>95</v>
      </c>
      <c r="B103" s="3" t="s">
        <v>1209</v>
      </c>
      <c r="C103" s="5" t="s">
        <v>211</v>
      </c>
      <c r="D103" s="4" t="s">
        <v>1821</v>
      </c>
      <c r="E103" s="6">
        <v>33</v>
      </c>
      <c r="F103" s="6">
        <v>96</v>
      </c>
      <c r="G103" s="6">
        <v>273.10000000000002</v>
      </c>
      <c r="H103" s="6" t="s">
        <v>75</v>
      </c>
      <c r="I103" s="7">
        <v>45782</v>
      </c>
      <c r="J103" s="7"/>
      <c r="K103" s="3"/>
      <c r="L103" s="3" t="s">
        <v>62</v>
      </c>
      <c r="M103" s="3"/>
      <c r="N103" s="3"/>
      <c r="O103" s="3"/>
      <c r="P103" s="3"/>
      <c r="Q103" s="3"/>
      <c r="R103" s="15" t="s">
        <v>82</v>
      </c>
      <c r="S103" s="6"/>
      <c r="T103" s="6"/>
      <c r="U103" s="6"/>
      <c r="V103" s="6"/>
      <c r="W103" s="11"/>
      <c r="X103" s="6"/>
      <c r="Y103" s="6"/>
      <c r="Z103" s="6"/>
      <c r="AA103" s="6"/>
      <c r="AB103" s="8"/>
      <c r="AC103" s="8"/>
      <c r="AD103" s="6" t="s">
        <v>2316</v>
      </c>
      <c r="AE103" s="6"/>
      <c r="AF103" s="9"/>
    </row>
    <row r="104" spans="1:32" s="10" customFormat="1" ht="16.5" x14ac:dyDescent="0.25">
      <c r="A104" s="3">
        <v>96</v>
      </c>
      <c r="B104" s="3" t="s">
        <v>1209</v>
      </c>
      <c r="C104" s="5" t="s">
        <v>1858</v>
      </c>
      <c r="D104" s="4" t="s">
        <v>1859</v>
      </c>
      <c r="E104" s="6">
        <v>32</v>
      </c>
      <c r="F104" s="6">
        <v>412</v>
      </c>
      <c r="G104" s="6">
        <v>291.39999999999998</v>
      </c>
      <c r="H104" s="6" t="s">
        <v>51</v>
      </c>
      <c r="I104" s="7">
        <v>45783</v>
      </c>
      <c r="J104" s="7"/>
      <c r="K104" s="3"/>
      <c r="L104" s="3" t="s">
        <v>62</v>
      </c>
      <c r="M104" s="3"/>
      <c r="N104" s="3"/>
      <c r="O104" s="3"/>
      <c r="P104" s="3"/>
      <c r="Q104" s="3"/>
      <c r="R104" s="15" t="s">
        <v>82</v>
      </c>
      <c r="S104" s="7">
        <v>45807</v>
      </c>
      <c r="T104" s="7">
        <v>45832</v>
      </c>
      <c r="U104" s="7">
        <v>45832</v>
      </c>
      <c r="V104" s="6">
        <v>1835</v>
      </c>
      <c r="W104" s="11">
        <v>961551</v>
      </c>
      <c r="X104" s="6"/>
      <c r="Y104" s="6"/>
      <c r="Z104" s="6"/>
      <c r="AA104" s="6"/>
      <c r="AB104" s="8"/>
      <c r="AC104" s="8"/>
      <c r="AD104" s="6"/>
      <c r="AE104" s="6"/>
      <c r="AF104" s="9"/>
    </row>
    <row r="105" spans="1:32" s="10" customFormat="1" ht="16.5" x14ac:dyDescent="0.25">
      <c r="A105" s="3">
        <v>97</v>
      </c>
      <c r="B105" s="3" t="s">
        <v>1209</v>
      </c>
      <c r="C105" s="5" t="s">
        <v>1880</v>
      </c>
      <c r="D105" s="4" t="s">
        <v>1881</v>
      </c>
      <c r="E105" s="6">
        <v>31</v>
      </c>
      <c r="F105" s="6">
        <v>33</v>
      </c>
      <c r="G105" s="6">
        <v>1495.3</v>
      </c>
      <c r="H105" s="6" t="s">
        <v>51</v>
      </c>
      <c r="I105" s="7">
        <v>45784</v>
      </c>
      <c r="J105" s="7"/>
      <c r="K105" s="3"/>
      <c r="L105" s="3" t="s">
        <v>62</v>
      </c>
      <c r="M105" s="3"/>
      <c r="N105" s="3"/>
      <c r="O105" s="3"/>
      <c r="P105" s="3"/>
      <c r="Q105" s="3"/>
      <c r="R105" s="15" t="s">
        <v>82</v>
      </c>
      <c r="S105" s="7">
        <v>45812</v>
      </c>
      <c r="T105" s="6"/>
      <c r="U105" s="6"/>
      <c r="V105" s="6"/>
      <c r="W105" s="11"/>
      <c r="X105" s="6"/>
      <c r="Y105" s="6"/>
      <c r="Z105" s="6"/>
      <c r="AA105" s="6"/>
      <c r="AB105" s="8"/>
      <c r="AC105" s="8"/>
      <c r="AD105" s="6"/>
      <c r="AE105" s="6"/>
      <c r="AF105" s="9"/>
    </row>
    <row r="106" spans="1:32" s="10" customFormat="1" ht="47.25" x14ac:dyDescent="0.25">
      <c r="A106" s="3">
        <v>98</v>
      </c>
      <c r="B106" s="3" t="s">
        <v>1209</v>
      </c>
      <c r="C106" s="5" t="s">
        <v>1884</v>
      </c>
      <c r="D106" s="4"/>
      <c r="E106" s="6">
        <v>37</v>
      </c>
      <c r="F106" s="6">
        <v>223</v>
      </c>
      <c r="G106" s="6">
        <v>802.2</v>
      </c>
      <c r="H106" s="6" t="s">
        <v>75</v>
      </c>
      <c r="I106" s="7">
        <v>45784</v>
      </c>
      <c r="J106" s="7"/>
      <c r="K106" s="3" t="s">
        <v>76</v>
      </c>
      <c r="L106" s="3"/>
      <c r="M106" s="3"/>
      <c r="N106" s="3"/>
      <c r="O106" s="3"/>
      <c r="P106" s="3"/>
      <c r="Q106" s="3"/>
      <c r="R106" s="15" t="s">
        <v>82</v>
      </c>
      <c r="S106" s="6"/>
      <c r="T106" s="6"/>
      <c r="U106" s="6"/>
      <c r="V106" s="6"/>
      <c r="W106" s="11"/>
      <c r="X106" s="6"/>
      <c r="Y106" s="6"/>
      <c r="Z106" s="6"/>
      <c r="AA106" s="6"/>
      <c r="AB106" s="8"/>
      <c r="AC106" s="8"/>
      <c r="AD106" s="6" t="s">
        <v>2292</v>
      </c>
      <c r="AE106" s="6"/>
      <c r="AF106" s="9"/>
    </row>
    <row r="107" spans="1:32" s="10" customFormat="1" ht="47.25" x14ac:dyDescent="0.25">
      <c r="A107" s="3">
        <v>99</v>
      </c>
      <c r="B107" s="3" t="s">
        <v>1209</v>
      </c>
      <c r="C107" s="5" t="s">
        <v>1916</v>
      </c>
      <c r="D107" s="4" t="s">
        <v>375</v>
      </c>
      <c r="E107" s="6">
        <v>68</v>
      </c>
      <c r="F107" s="6">
        <v>57</v>
      </c>
      <c r="G107" s="6">
        <v>100</v>
      </c>
      <c r="H107" s="6" t="s">
        <v>55</v>
      </c>
      <c r="I107" s="7">
        <v>45786</v>
      </c>
      <c r="J107" s="7"/>
      <c r="K107" s="3"/>
      <c r="L107" s="3"/>
      <c r="M107" s="3" t="s">
        <v>98</v>
      </c>
      <c r="N107" s="3"/>
      <c r="O107" s="3"/>
      <c r="P107" s="3"/>
      <c r="Q107" s="3"/>
      <c r="R107" s="15" t="s">
        <v>82</v>
      </c>
      <c r="S107" s="7">
        <v>45789</v>
      </c>
      <c r="T107" s="7">
        <v>45800</v>
      </c>
      <c r="U107" s="7">
        <v>45800</v>
      </c>
      <c r="V107" s="20">
        <v>901</v>
      </c>
      <c r="W107" s="11">
        <v>2583973</v>
      </c>
      <c r="X107" s="6"/>
      <c r="Y107" s="6"/>
      <c r="Z107" s="6"/>
      <c r="AA107" s="6"/>
      <c r="AB107" s="8"/>
      <c r="AC107" s="8"/>
      <c r="AD107" s="6" t="s">
        <v>1917</v>
      </c>
      <c r="AE107" s="6"/>
      <c r="AF107" s="9"/>
    </row>
    <row r="108" spans="1:32" ht="16.5" x14ac:dyDescent="0.25">
      <c r="A108" s="12"/>
      <c r="B108" s="73" t="s">
        <v>1919</v>
      </c>
      <c r="C108" s="74"/>
      <c r="D108" s="74"/>
      <c r="E108" s="74"/>
      <c r="F108" s="74"/>
      <c r="G108" s="74"/>
      <c r="H108" s="75"/>
      <c r="I108" s="13"/>
      <c r="J108" s="13"/>
      <c r="K108" s="14">
        <f>COUNTIF(K103:K107,"CQ")+COUNTIF(K103:K107,"CT")+COUNTIF(K103:K107,"IG")</f>
        <v>1</v>
      </c>
      <c r="L108" s="14">
        <f>COUNTIF(L100:L107,"CMĐ")</f>
        <v>3</v>
      </c>
      <c r="M108" s="14">
        <f>COUNTIF(M103:M107,"XMDT")+COUNTIF(M103:M107,"Mốc")</f>
        <v>1</v>
      </c>
      <c r="N108" s="14">
        <f>COUNTIF(N103:N107,"THÁn")</f>
        <v>0</v>
      </c>
      <c r="O108" s="14">
        <f>COUNTIF(O103:O107,"TÒA")</f>
        <v>0</v>
      </c>
      <c r="P108" s="14">
        <f>COUNTIF(P91:P107,"Cấp GCN")</f>
        <v>0</v>
      </c>
      <c r="Q108" s="14">
        <f>COUNTIF(Q103:Q107,"SHN")</f>
        <v>0</v>
      </c>
      <c r="R108" s="15"/>
      <c r="S108" s="13"/>
      <c r="T108" s="15"/>
      <c r="U108" s="15"/>
      <c r="V108" s="16"/>
      <c r="W108" s="11"/>
      <c r="X108" s="17"/>
      <c r="Y108" s="2"/>
      <c r="AE108" s="14">
        <f>COUNTIF(AE77,"kt")</f>
        <v>0</v>
      </c>
    </row>
    <row r="109" spans="1:32" s="10" customFormat="1" ht="47.25" x14ac:dyDescent="0.25">
      <c r="A109" s="3">
        <v>100</v>
      </c>
      <c r="B109" s="3" t="s">
        <v>1209</v>
      </c>
      <c r="C109" s="5" t="s">
        <v>1928</v>
      </c>
      <c r="D109" s="4" t="s">
        <v>1929</v>
      </c>
      <c r="E109" s="6">
        <v>22</v>
      </c>
      <c r="F109" s="6">
        <v>557</v>
      </c>
      <c r="G109" s="6">
        <v>300</v>
      </c>
      <c r="H109" s="6" t="s">
        <v>55</v>
      </c>
      <c r="I109" s="7">
        <v>45789</v>
      </c>
      <c r="J109" s="7"/>
      <c r="K109" s="3"/>
      <c r="L109" s="3"/>
      <c r="M109" s="3" t="s">
        <v>98</v>
      </c>
      <c r="N109" s="3"/>
      <c r="O109" s="3"/>
      <c r="P109" s="3"/>
      <c r="Q109" s="3"/>
      <c r="R109" s="15" t="s">
        <v>82</v>
      </c>
      <c r="S109" s="7">
        <v>45789</v>
      </c>
      <c r="T109" s="7">
        <v>45798</v>
      </c>
      <c r="U109" s="7">
        <v>45798</v>
      </c>
      <c r="V109" s="20">
        <v>805</v>
      </c>
      <c r="W109" s="11">
        <v>2060577</v>
      </c>
      <c r="X109" s="6"/>
      <c r="Y109" s="6"/>
      <c r="Z109" s="6"/>
      <c r="AA109" s="6"/>
      <c r="AB109" s="8"/>
      <c r="AC109" s="8"/>
      <c r="AD109" s="6" t="s">
        <v>1930</v>
      </c>
      <c r="AE109" s="6"/>
      <c r="AF109" s="9"/>
    </row>
    <row r="110" spans="1:32" s="10" customFormat="1" ht="31.5" x14ac:dyDescent="0.25">
      <c r="A110" s="3">
        <v>101</v>
      </c>
      <c r="B110" s="3" t="s">
        <v>1209</v>
      </c>
      <c r="C110" s="5" t="s">
        <v>1962</v>
      </c>
      <c r="D110" s="4"/>
      <c r="E110" s="6">
        <v>25</v>
      </c>
      <c r="F110" s="6">
        <v>355</v>
      </c>
      <c r="G110" s="6">
        <v>7086.1</v>
      </c>
      <c r="H110" s="6" t="s">
        <v>51</v>
      </c>
      <c r="I110" s="7">
        <v>45790</v>
      </c>
      <c r="J110" s="7"/>
      <c r="K110" s="3"/>
      <c r="L110" s="3"/>
      <c r="M110" s="3"/>
      <c r="N110" s="3"/>
      <c r="O110" s="3"/>
      <c r="P110" s="3"/>
      <c r="Q110" s="3"/>
      <c r="R110" s="15" t="s">
        <v>190</v>
      </c>
      <c r="S110" s="6"/>
      <c r="T110" s="6"/>
      <c r="U110" s="6"/>
      <c r="V110" s="6"/>
      <c r="W110" s="11"/>
      <c r="X110" s="6"/>
      <c r="Y110" s="6"/>
      <c r="Z110" s="6"/>
      <c r="AA110" s="6" t="s">
        <v>1963</v>
      </c>
      <c r="AB110" s="8" t="s">
        <v>1964</v>
      </c>
      <c r="AC110" s="8"/>
      <c r="AD110" s="6"/>
      <c r="AE110" s="6"/>
      <c r="AF110" s="9"/>
    </row>
    <row r="111" spans="1:32" s="10" customFormat="1" ht="31.5" x14ac:dyDescent="0.25">
      <c r="A111" s="3">
        <v>102</v>
      </c>
      <c r="B111" s="3" t="s">
        <v>1209</v>
      </c>
      <c r="C111" s="5" t="s">
        <v>1989</v>
      </c>
      <c r="D111" s="4" t="s">
        <v>1990</v>
      </c>
      <c r="E111" s="6">
        <v>43</v>
      </c>
      <c r="F111" s="6">
        <v>54</v>
      </c>
      <c r="G111" s="6">
        <v>501.9</v>
      </c>
      <c r="H111" s="6" t="s">
        <v>51</v>
      </c>
      <c r="I111" s="7">
        <v>45792</v>
      </c>
      <c r="J111" s="7"/>
      <c r="K111" s="3"/>
      <c r="L111" s="3" t="s">
        <v>62</v>
      </c>
      <c r="M111" s="3"/>
      <c r="N111" s="3"/>
      <c r="O111" s="3"/>
      <c r="P111" s="3"/>
      <c r="Q111" s="3"/>
      <c r="R111" s="15" t="s">
        <v>82</v>
      </c>
      <c r="S111" s="7">
        <v>45812</v>
      </c>
      <c r="T111" s="7">
        <v>45813</v>
      </c>
      <c r="U111" s="7">
        <v>45813</v>
      </c>
      <c r="V111" s="20">
        <v>1272</v>
      </c>
      <c r="W111" s="11">
        <v>961551</v>
      </c>
      <c r="X111" s="6"/>
      <c r="Y111" s="6"/>
      <c r="Z111" s="6"/>
      <c r="AA111" s="6"/>
      <c r="AB111" s="8"/>
      <c r="AC111" s="8"/>
      <c r="AD111" s="6"/>
      <c r="AE111" s="6"/>
      <c r="AF111" s="9"/>
    </row>
    <row r="112" spans="1:32" s="10" customFormat="1" ht="31.5" x14ac:dyDescent="0.25">
      <c r="A112" s="3">
        <v>103</v>
      </c>
      <c r="B112" s="3" t="s">
        <v>1209</v>
      </c>
      <c r="C112" s="5" t="s">
        <v>2044</v>
      </c>
      <c r="D112" s="4" t="s">
        <v>2045</v>
      </c>
      <c r="E112" s="6">
        <v>22</v>
      </c>
      <c r="F112" s="6">
        <v>579</v>
      </c>
      <c r="G112" s="6">
        <v>140</v>
      </c>
      <c r="H112" s="6" t="s">
        <v>55</v>
      </c>
      <c r="I112" s="7">
        <v>45793</v>
      </c>
      <c r="J112" s="7"/>
      <c r="K112" s="3" t="s">
        <v>153</v>
      </c>
      <c r="L112" s="3"/>
      <c r="M112" s="3"/>
      <c r="N112" s="3"/>
      <c r="O112" s="3"/>
      <c r="P112" s="3"/>
      <c r="Q112" s="3"/>
      <c r="R112" s="15" t="s">
        <v>82</v>
      </c>
      <c r="S112" s="7">
        <v>45812</v>
      </c>
      <c r="T112" s="7">
        <v>45817</v>
      </c>
      <c r="U112" s="7">
        <v>45817</v>
      </c>
      <c r="V112" s="20">
        <v>1375</v>
      </c>
      <c r="W112" s="11">
        <v>809727</v>
      </c>
      <c r="X112" s="6"/>
      <c r="Y112" s="6"/>
      <c r="Z112" s="6"/>
      <c r="AA112" s="6" t="s">
        <v>2592</v>
      </c>
      <c r="AB112" s="8" t="s">
        <v>2593</v>
      </c>
      <c r="AC112" s="8"/>
      <c r="AD112" s="6"/>
      <c r="AE112" s="6"/>
      <c r="AF112" s="9"/>
    </row>
    <row r="113" spans="1:32" s="10" customFormat="1" ht="16.5" x14ac:dyDescent="0.25">
      <c r="A113" s="3">
        <v>104</v>
      </c>
      <c r="B113" s="3" t="s">
        <v>1209</v>
      </c>
      <c r="C113" s="5" t="s">
        <v>2090</v>
      </c>
      <c r="D113" s="4" t="s">
        <v>519</v>
      </c>
      <c r="E113" s="6">
        <v>29</v>
      </c>
      <c r="F113" s="6">
        <v>123</v>
      </c>
      <c r="G113" s="6">
        <v>841.9</v>
      </c>
      <c r="H113" s="6" t="s">
        <v>51</v>
      </c>
      <c r="I113" s="7">
        <v>45796</v>
      </c>
      <c r="J113" s="7"/>
      <c r="K113" s="3"/>
      <c r="L113" s="3" t="s">
        <v>62</v>
      </c>
      <c r="M113" s="3"/>
      <c r="N113" s="3"/>
      <c r="O113" s="3"/>
      <c r="P113" s="3"/>
      <c r="Q113" s="3"/>
      <c r="R113" s="15" t="s">
        <v>82</v>
      </c>
      <c r="S113" s="7">
        <v>45812</v>
      </c>
      <c r="T113" s="7">
        <v>45813</v>
      </c>
      <c r="U113" s="7">
        <v>45813</v>
      </c>
      <c r="V113" s="20">
        <v>1270</v>
      </c>
      <c r="W113" s="11">
        <v>809727</v>
      </c>
      <c r="X113" s="6"/>
      <c r="Y113" s="6"/>
      <c r="Z113" s="6"/>
      <c r="AA113" s="6"/>
      <c r="AB113" s="8"/>
      <c r="AC113" s="8"/>
      <c r="AD113" s="6"/>
      <c r="AE113" s="6"/>
      <c r="AF113" s="9"/>
    </row>
    <row r="114" spans="1:32" ht="16.5" x14ac:dyDescent="0.25">
      <c r="A114" s="12"/>
      <c r="B114" s="73" t="s">
        <v>2099</v>
      </c>
      <c r="C114" s="74"/>
      <c r="D114" s="74"/>
      <c r="E114" s="74"/>
      <c r="F114" s="74"/>
      <c r="G114" s="74"/>
      <c r="H114" s="75"/>
      <c r="I114" s="13"/>
      <c r="J114" s="13"/>
      <c r="K114" s="14">
        <f>COUNTIF(K109:K113,"CQ")+COUNTIF(K109:K113,"CT")+COUNTIF(K109:K113,"IG")</f>
        <v>1</v>
      </c>
      <c r="L114" s="14">
        <f>COUNTIF(L106:L113,"CMĐ")</f>
        <v>2</v>
      </c>
      <c r="M114" s="14">
        <f>COUNTIF(M109:M113,"XMDT")+COUNTIF(M109:M113,"Mốc")</f>
        <v>1</v>
      </c>
      <c r="N114" s="14">
        <f>COUNTIF(N109:N113,"THÁn")</f>
        <v>0</v>
      </c>
      <c r="O114" s="14">
        <f>COUNTIF(O109:O113,"TÒA")</f>
        <v>0</v>
      </c>
      <c r="P114" s="14">
        <f>COUNTIF(P97:P113,"Cấp GCN")</f>
        <v>0</v>
      </c>
      <c r="Q114" s="14">
        <f>COUNTIF(Q109:Q113,"SHN")</f>
        <v>0</v>
      </c>
      <c r="R114" s="15"/>
      <c r="S114" s="13"/>
      <c r="T114" s="15"/>
      <c r="U114" s="15"/>
      <c r="V114" s="16"/>
      <c r="W114" s="11"/>
      <c r="X114" s="17"/>
      <c r="Y114" s="2"/>
      <c r="AE114" s="14">
        <f>COUNTIF(AE83,"kt")</f>
        <v>0</v>
      </c>
    </row>
    <row r="115" spans="1:32" s="10" customFormat="1" ht="31.5" x14ac:dyDescent="0.25">
      <c r="A115" s="3">
        <v>105</v>
      </c>
      <c r="B115" s="3" t="s">
        <v>1209</v>
      </c>
      <c r="C115" s="5" t="s">
        <v>761</v>
      </c>
      <c r="D115" s="4" t="s">
        <v>762</v>
      </c>
      <c r="E115" s="6">
        <v>51</v>
      </c>
      <c r="F115" s="6">
        <v>16</v>
      </c>
      <c r="G115" s="6">
        <v>1054</v>
      </c>
      <c r="H115" s="6" t="s">
        <v>75</v>
      </c>
      <c r="I115" s="7">
        <v>45797</v>
      </c>
      <c r="J115" s="7"/>
      <c r="K115" s="3" t="s">
        <v>76</v>
      </c>
      <c r="L115" s="3"/>
      <c r="M115" s="3"/>
      <c r="N115" s="3"/>
      <c r="O115" s="3"/>
      <c r="P115" s="3"/>
      <c r="Q115" s="3"/>
      <c r="R115" s="15" t="s">
        <v>82</v>
      </c>
      <c r="S115" s="7">
        <v>45819</v>
      </c>
      <c r="T115" s="7">
        <v>45829</v>
      </c>
      <c r="U115" s="7">
        <v>45829</v>
      </c>
      <c r="V115" s="6">
        <v>1775</v>
      </c>
      <c r="W115" s="11">
        <v>1019155</v>
      </c>
      <c r="X115" s="6"/>
      <c r="Y115" s="6"/>
      <c r="Z115" s="6"/>
      <c r="AA115" s="6" t="s">
        <v>2677</v>
      </c>
      <c r="AB115" s="8" t="s">
        <v>2676</v>
      </c>
      <c r="AC115" s="8"/>
      <c r="AD115" s="6"/>
      <c r="AE115" s="6"/>
      <c r="AF115" s="9"/>
    </row>
    <row r="116" spans="1:32" s="10" customFormat="1" ht="33.75" customHeight="1" x14ac:dyDescent="0.25">
      <c r="A116" s="3">
        <v>106</v>
      </c>
      <c r="B116" s="3" t="s">
        <v>1209</v>
      </c>
      <c r="C116" s="5" t="s">
        <v>2138</v>
      </c>
      <c r="D116" s="4" t="s">
        <v>1821</v>
      </c>
      <c r="E116" s="6">
        <v>24</v>
      </c>
      <c r="F116" s="6">
        <v>458</v>
      </c>
      <c r="G116" s="6">
        <v>613.20000000000005</v>
      </c>
      <c r="H116" s="6" t="s">
        <v>51</v>
      </c>
      <c r="I116" s="7">
        <v>45798</v>
      </c>
      <c r="J116" s="7"/>
      <c r="K116" s="3"/>
      <c r="L116" s="3" t="s">
        <v>62</v>
      </c>
      <c r="M116" s="3"/>
      <c r="N116" s="3"/>
      <c r="O116" s="3"/>
      <c r="P116" s="3"/>
      <c r="Q116" s="3"/>
      <c r="R116" s="15" t="s">
        <v>82</v>
      </c>
      <c r="S116" s="6"/>
      <c r="T116" s="6"/>
      <c r="U116" s="6"/>
      <c r="V116" s="6"/>
      <c r="W116" s="11"/>
      <c r="X116" s="6"/>
      <c r="Y116" s="6"/>
      <c r="Z116" s="6"/>
      <c r="AA116" s="6"/>
      <c r="AB116" s="8"/>
      <c r="AC116" s="8"/>
      <c r="AD116" s="6"/>
      <c r="AE116" s="6"/>
      <c r="AF116" s="9" t="s">
        <v>1280</v>
      </c>
    </row>
    <row r="117" spans="1:32" s="10" customFormat="1" ht="31.5" x14ac:dyDescent="0.25">
      <c r="A117" s="3">
        <v>107</v>
      </c>
      <c r="B117" s="3" t="s">
        <v>1209</v>
      </c>
      <c r="C117" s="5" t="s">
        <v>2141</v>
      </c>
      <c r="D117" s="4"/>
      <c r="E117" s="6">
        <v>12</v>
      </c>
      <c r="F117" s="6">
        <v>99</v>
      </c>
      <c r="G117" s="6"/>
      <c r="H117" s="6"/>
      <c r="I117" s="7">
        <v>45798</v>
      </c>
      <c r="J117" s="7"/>
      <c r="K117" s="3"/>
      <c r="L117" s="3"/>
      <c r="M117" s="3" t="s">
        <v>1</v>
      </c>
      <c r="N117" s="3"/>
      <c r="O117" s="3"/>
      <c r="P117" s="3"/>
      <c r="Q117" s="3"/>
      <c r="R117" s="15" t="s">
        <v>82</v>
      </c>
      <c r="S117" s="6"/>
      <c r="T117" s="6"/>
      <c r="U117" s="6"/>
      <c r="V117" s="6"/>
      <c r="W117" s="11"/>
      <c r="X117" s="6"/>
      <c r="Y117" s="6"/>
      <c r="Z117" s="6"/>
      <c r="AA117" s="6"/>
      <c r="AB117" s="8"/>
      <c r="AC117" s="8"/>
      <c r="AD117" s="6" t="s">
        <v>2386</v>
      </c>
      <c r="AE117" s="6"/>
      <c r="AF117" s="9" t="s">
        <v>1280</v>
      </c>
    </row>
    <row r="118" spans="1:32" s="10" customFormat="1" ht="16.5" x14ac:dyDescent="0.25">
      <c r="A118" s="3">
        <v>108</v>
      </c>
      <c r="B118" s="3" t="s">
        <v>1209</v>
      </c>
      <c r="C118" s="5" t="s">
        <v>2142</v>
      </c>
      <c r="D118" s="4" t="s">
        <v>2143</v>
      </c>
      <c r="E118" s="6">
        <v>44</v>
      </c>
      <c r="F118" s="6">
        <v>253</v>
      </c>
      <c r="G118" s="6">
        <v>696</v>
      </c>
      <c r="H118" s="6" t="s">
        <v>51</v>
      </c>
      <c r="I118" s="7">
        <v>45798</v>
      </c>
      <c r="J118" s="7"/>
      <c r="K118" s="3"/>
      <c r="L118" s="3" t="s">
        <v>62</v>
      </c>
      <c r="M118" s="3"/>
      <c r="N118" s="3"/>
      <c r="O118" s="3"/>
      <c r="P118" s="3"/>
      <c r="Q118" s="3"/>
      <c r="R118" s="15" t="s">
        <v>82</v>
      </c>
      <c r="S118" s="7">
        <v>45812</v>
      </c>
      <c r="T118" s="7">
        <v>45817</v>
      </c>
      <c r="U118" s="7">
        <v>45817</v>
      </c>
      <c r="V118" s="20">
        <v>1370</v>
      </c>
      <c r="W118" s="11">
        <v>809727</v>
      </c>
      <c r="X118" s="6"/>
      <c r="Y118" s="6"/>
      <c r="Z118" s="6"/>
      <c r="AA118" s="6"/>
      <c r="AB118" s="8"/>
      <c r="AC118" s="8"/>
      <c r="AD118" s="6"/>
      <c r="AE118" s="6"/>
      <c r="AF118" s="9"/>
    </row>
    <row r="119" spans="1:32" s="10" customFormat="1" ht="31.5" x14ac:dyDescent="0.25">
      <c r="A119" s="3">
        <v>109</v>
      </c>
      <c r="B119" s="3" t="s">
        <v>1209</v>
      </c>
      <c r="C119" s="5" t="s">
        <v>2172</v>
      </c>
      <c r="D119" s="4" t="s">
        <v>2173</v>
      </c>
      <c r="E119" s="6">
        <v>33</v>
      </c>
      <c r="F119" s="6">
        <v>128</v>
      </c>
      <c r="G119" s="6">
        <v>172.4</v>
      </c>
      <c r="H119" s="6" t="s">
        <v>51</v>
      </c>
      <c r="I119" s="7"/>
      <c r="J119" s="7"/>
      <c r="K119" s="3"/>
      <c r="L119" s="3"/>
      <c r="M119" s="3"/>
      <c r="N119" s="3"/>
      <c r="O119" s="3"/>
      <c r="P119" s="3"/>
      <c r="Q119" s="3"/>
      <c r="R119" s="15" t="s">
        <v>190</v>
      </c>
      <c r="S119" s="6"/>
      <c r="T119" s="6"/>
      <c r="U119" s="6"/>
      <c r="V119" s="6"/>
      <c r="W119" s="11"/>
      <c r="X119" s="6"/>
      <c r="Y119" s="6"/>
      <c r="Z119" s="6"/>
      <c r="AA119" s="6" t="s">
        <v>2170</v>
      </c>
      <c r="AB119" s="8" t="s">
        <v>2174</v>
      </c>
      <c r="AC119" s="8"/>
      <c r="AD119" s="6"/>
      <c r="AE119" s="6"/>
      <c r="AF119" s="9"/>
    </row>
    <row r="120" spans="1:32" s="10" customFormat="1" ht="31.5" x14ac:dyDescent="0.25">
      <c r="A120" s="3">
        <v>110</v>
      </c>
      <c r="B120" s="3" t="s">
        <v>1209</v>
      </c>
      <c r="C120" s="5" t="s">
        <v>807</v>
      </c>
      <c r="D120" s="4" t="s">
        <v>808</v>
      </c>
      <c r="E120" s="6">
        <v>22</v>
      </c>
      <c r="F120" s="6">
        <v>597</v>
      </c>
      <c r="G120" s="6">
        <v>448.2</v>
      </c>
      <c r="H120" s="6" t="s">
        <v>55</v>
      </c>
      <c r="I120" s="7">
        <v>45800</v>
      </c>
      <c r="J120" s="7"/>
      <c r="K120" s="3" t="s">
        <v>76</v>
      </c>
      <c r="L120" s="3"/>
      <c r="M120" s="3"/>
      <c r="N120" s="3"/>
      <c r="O120" s="3"/>
      <c r="P120" s="3"/>
      <c r="Q120" s="3"/>
      <c r="R120" s="15" t="s">
        <v>82</v>
      </c>
      <c r="S120" s="7" t="s">
        <v>2596</v>
      </c>
      <c r="T120" s="7">
        <v>45828</v>
      </c>
      <c r="U120" s="7">
        <v>45828</v>
      </c>
      <c r="V120" s="6">
        <v>1709</v>
      </c>
      <c r="W120" s="11">
        <v>1923102</v>
      </c>
      <c r="X120" s="6"/>
      <c r="Y120" s="6"/>
      <c r="Z120" s="6"/>
      <c r="AA120" s="6"/>
      <c r="AB120" s="8"/>
      <c r="AC120" s="8"/>
      <c r="AD120" s="6"/>
      <c r="AE120" s="6"/>
      <c r="AF120" s="9"/>
    </row>
    <row r="121" spans="1:32" s="10" customFormat="1" ht="63" x14ac:dyDescent="0.25">
      <c r="A121" s="3">
        <v>111</v>
      </c>
      <c r="B121" s="3" t="s">
        <v>1209</v>
      </c>
      <c r="C121" s="5" t="s">
        <v>2202</v>
      </c>
      <c r="D121" s="4" t="s">
        <v>519</v>
      </c>
      <c r="E121" s="6">
        <v>22</v>
      </c>
      <c r="F121" s="6">
        <v>24</v>
      </c>
      <c r="G121" s="6">
        <v>83.7</v>
      </c>
      <c r="H121" s="6" t="s">
        <v>55</v>
      </c>
      <c r="I121" s="7">
        <v>45799</v>
      </c>
      <c r="J121" s="7"/>
      <c r="K121" s="3"/>
      <c r="L121" s="3"/>
      <c r="M121" s="3" t="s">
        <v>98</v>
      </c>
      <c r="N121" s="3"/>
      <c r="O121" s="3"/>
      <c r="P121" s="3"/>
      <c r="Q121" s="3"/>
      <c r="R121" s="15" t="s">
        <v>82</v>
      </c>
      <c r="S121" s="7">
        <v>45804</v>
      </c>
      <c r="T121" s="7">
        <v>45813</v>
      </c>
      <c r="U121" s="7">
        <v>45813</v>
      </c>
      <c r="V121" s="20">
        <v>1267</v>
      </c>
      <c r="W121" s="11">
        <v>2409508</v>
      </c>
      <c r="X121" s="6"/>
      <c r="Y121" s="6"/>
      <c r="Z121" s="6"/>
      <c r="AA121" s="6"/>
      <c r="AB121" s="8"/>
      <c r="AC121" s="8"/>
      <c r="AD121" s="6" t="s">
        <v>2203</v>
      </c>
      <c r="AE121" s="6"/>
      <c r="AF121" s="9"/>
    </row>
    <row r="122" spans="1:32" ht="16.5" x14ac:dyDescent="0.25">
      <c r="A122" s="12"/>
      <c r="B122" s="73" t="s">
        <v>2208</v>
      </c>
      <c r="C122" s="74"/>
      <c r="D122" s="74"/>
      <c r="E122" s="74"/>
      <c r="F122" s="74"/>
      <c r="G122" s="74"/>
      <c r="H122" s="75"/>
      <c r="I122" s="13"/>
      <c r="J122" s="13"/>
      <c r="K122" s="14">
        <f>COUNTIF(K117:K121,"CQ")+COUNTIF(K115:K121,"CT")+COUNTIF(K117:K121,"IG")</f>
        <v>2</v>
      </c>
      <c r="L122" s="14">
        <f>COUNTIF(L114:L121,"CMĐ")</f>
        <v>2</v>
      </c>
      <c r="M122" s="14">
        <f>COUNTIF(M117:M121,"XMDT")+COUNTIF(M117:M121,"Mốc")</f>
        <v>2</v>
      </c>
      <c r="N122" s="14">
        <f>COUNTIF(N117:N121,"THÁn")</f>
        <v>0</v>
      </c>
      <c r="O122" s="14">
        <f>COUNTIF(O117:O121,"TÒA")</f>
        <v>0</v>
      </c>
      <c r="P122" s="14">
        <f>COUNTIF(P105:P121,"Cấp GCN")</f>
        <v>0</v>
      </c>
      <c r="Q122" s="14">
        <f>COUNTIF(Q117:Q121,"SHN")</f>
        <v>0</v>
      </c>
      <c r="R122" s="15"/>
      <c r="S122" s="13" t="s">
        <v>2156</v>
      </c>
      <c r="T122" s="15"/>
      <c r="U122" s="15"/>
      <c r="V122" s="16"/>
      <c r="W122" s="11"/>
      <c r="X122" s="17"/>
      <c r="Y122" s="2"/>
      <c r="AE122" s="14">
        <f>COUNTIF(AE91,"kt")</f>
        <v>0</v>
      </c>
    </row>
    <row r="123" spans="1:32" s="10" customFormat="1" ht="47.25" x14ac:dyDescent="0.25">
      <c r="A123" s="3">
        <v>112</v>
      </c>
      <c r="B123" s="3" t="s">
        <v>1209</v>
      </c>
      <c r="C123" s="5" t="s">
        <v>2250</v>
      </c>
      <c r="D123" s="4" t="s">
        <v>2251</v>
      </c>
      <c r="E123" s="6">
        <v>19</v>
      </c>
      <c r="F123" s="6">
        <v>437</v>
      </c>
      <c r="G123" s="6">
        <v>182.1</v>
      </c>
      <c r="H123" s="6" t="s">
        <v>51</v>
      </c>
      <c r="I123" s="7">
        <v>45804</v>
      </c>
      <c r="J123" s="7"/>
      <c r="K123" s="3"/>
      <c r="L123" s="3"/>
      <c r="M123" s="3" t="s">
        <v>98</v>
      </c>
      <c r="N123" s="3"/>
      <c r="O123" s="3"/>
      <c r="P123" s="3"/>
      <c r="Q123" s="3"/>
      <c r="R123" s="15" t="s">
        <v>82</v>
      </c>
      <c r="S123" s="7">
        <v>45814</v>
      </c>
      <c r="T123" s="7">
        <v>45818</v>
      </c>
      <c r="U123" s="7">
        <v>45818</v>
      </c>
      <c r="V123" s="6">
        <v>1415</v>
      </c>
      <c r="W123" s="11">
        <v>2583973</v>
      </c>
      <c r="X123" s="6"/>
      <c r="Y123" s="6"/>
      <c r="Z123" s="6"/>
      <c r="AA123" s="6"/>
      <c r="AB123" s="8"/>
      <c r="AC123" s="8"/>
      <c r="AD123" s="6" t="s">
        <v>2252</v>
      </c>
      <c r="AE123" s="6"/>
      <c r="AF123" s="9"/>
    </row>
    <row r="124" spans="1:32" ht="16.5" x14ac:dyDescent="0.25">
      <c r="A124" s="12"/>
      <c r="B124" s="73" t="s">
        <v>2324</v>
      </c>
      <c r="C124" s="74"/>
      <c r="D124" s="74"/>
      <c r="E124" s="74"/>
      <c r="F124" s="74"/>
      <c r="G124" s="74"/>
      <c r="H124" s="75"/>
      <c r="I124" s="13"/>
      <c r="J124" s="13"/>
      <c r="K124" s="14">
        <f>COUNTIF(K123,"CQ")+COUNTIF(K117:K123,"CT")+COUNTIF(K119:K123,"IG")</f>
        <v>1</v>
      </c>
      <c r="L124" s="14">
        <f>COUNTIF(L123,"CMĐ")</f>
        <v>0</v>
      </c>
      <c r="M124" s="14">
        <f>COUNTIF(M123,"XMDT")+COUNTIF(M123,"Mốc")</f>
        <v>1</v>
      </c>
      <c r="N124" s="14">
        <f>COUNTIF(N119:N123,"THÁn")</f>
        <v>0</v>
      </c>
      <c r="O124" s="14">
        <f>COUNTIF(O119:O123,"TÒA")</f>
        <v>0</v>
      </c>
      <c r="P124" s="14">
        <f>COUNTIF(P107:P123,"Cấp GCN")</f>
        <v>0</v>
      </c>
      <c r="Q124" s="14">
        <f>COUNTIF(Q119:Q123,"SHN")</f>
        <v>0</v>
      </c>
      <c r="R124" s="15"/>
      <c r="S124" s="13"/>
      <c r="T124" s="15"/>
      <c r="U124" s="15"/>
      <c r="V124" s="16"/>
      <c r="W124" s="11"/>
      <c r="X124" s="17"/>
      <c r="Y124" s="2"/>
      <c r="AE124" s="14">
        <f>COUNTIF(AE93,"kt")</f>
        <v>0</v>
      </c>
    </row>
    <row r="125" spans="1:32" s="10" customFormat="1" ht="16.5" x14ac:dyDescent="0.25">
      <c r="A125" s="3">
        <v>113</v>
      </c>
      <c r="B125" s="3" t="s">
        <v>1209</v>
      </c>
      <c r="C125" s="5" t="s">
        <v>2353</v>
      </c>
      <c r="D125" s="4" t="s">
        <v>2354</v>
      </c>
      <c r="E125" s="6">
        <v>8</v>
      </c>
      <c r="F125" s="6">
        <v>10</v>
      </c>
      <c r="G125" s="6">
        <v>906.4</v>
      </c>
      <c r="H125" s="6" t="s">
        <v>51</v>
      </c>
      <c r="I125" s="7">
        <v>45812</v>
      </c>
      <c r="J125" s="7"/>
      <c r="K125" s="3" t="s">
        <v>76</v>
      </c>
      <c r="L125" s="3"/>
      <c r="M125" s="3"/>
      <c r="N125" s="3"/>
      <c r="O125" s="3"/>
      <c r="P125" s="3"/>
      <c r="Q125" s="3"/>
      <c r="R125" s="15" t="s">
        <v>82</v>
      </c>
      <c r="S125" s="7">
        <v>45835</v>
      </c>
      <c r="T125" s="6"/>
      <c r="U125" s="6"/>
      <c r="V125" s="6"/>
      <c r="W125" s="11"/>
      <c r="X125" s="6"/>
      <c r="Y125" s="6"/>
      <c r="Z125" s="6"/>
      <c r="AA125" s="6"/>
      <c r="AB125" s="8"/>
      <c r="AC125" s="8"/>
      <c r="AD125" s="6"/>
      <c r="AE125" s="6"/>
      <c r="AF125" s="9"/>
    </row>
    <row r="126" spans="1:32" s="10" customFormat="1" ht="31.5" x14ac:dyDescent="0.25">
      <c r="A126" s="3">
        <v>114</v>
      </c>
      <c r="B126" s="3" t="s">
        <v>1209</v>
      </c>
      <c r="C126" s="5" t="s">
        <v>2355</v>
      </c>
      <c r="D126" s="4" t="s">
        <v>2356</v>
      </c>
      <c r="E126" s="6">
        <v>44</v>
      </c>
      <c r="F126" s="6">
        <v>66</v>
      </c>
      <c r="G126" s="6">
        <v>1061</v>
      </c>
      <c r="H126" s="6" t="s">
        <v>199</v>
      </c>
      <c r="I126" s="7">
        <v>45812</v>
      </c>
      <c r="J126" s="7"/>
      <c r="K126" s="3"/>
      <c r="L126" s="3"/>
      <c r="M126" s="3" t="s">
        <v>1</v>
      </c>
      <c r="N126" s="3"/>
      <c r="O126" s="3"/>
      <c r="P126" s="3"/>
      <c r="Q126" s="3"/>
      <c r="R126" s="15" t="s">
        <v>82</v>
      </c>
      <c r="S126" s="6"/>
      <c r="T126" s="6"/>
      <c r="U126" s="6"/>
      <c r="V126" s="6"/>
      <c r="W126" s="11"/>
      <c r="X126" s="6"/>
      <c r="Y126" s="6"/>
      <c r="Z126" s="6"/>
      <c r="AA126" s="6"/>
      <c r="AB126" s="8"/>
      <c r="AC126" s="8"/>
      <c r="AD126" s="6" t="s">
        <v>2672</v>
      </c>
      <c r="AE126" s="6"/>
      <c r="AF126" s="9"/>
    </row>
    <row r="127" spans="1:32" ht="16.5" x14ac:dyDescent="0.25">
      <c r="A127" s="12"/>
      <c r="B127" s="73" t="s">
        <v>2377</v>
      </c>
      <c r="C127" s="74"/>
      <c r="D127" s="74"/>
      <c r="E127" s="74"/>
      <c r="F127" s="74"/>
      <c r="G127" s="74"/>
      <c r="H127" s="75"/>
      <c r="I127" s="13"/>
      <c r="J127" s="13"/>
      <c r="K127" s="14">
        <f>COUNTIF(K126,"CQ")+COUNTIF(K125:K126,"CT")+COUNTIF(K122:K126,"IG")</f>
        <v>1</v>
      </c>
      <c r="L127" s="14">
        <f>COUNTIF(L126,"CMĐ")</f>
        <v>0</v>
      </c>
      <c r="M127" s="14">
        <f>COUNTIF(M126,"XMDT")+COUNTIF(M126,"Mốc")</f>
        <v>1</v>
      </c>
      <c r="N127" s="14">
        <f>COUNTIF(N122:N126,"THÁn")</f>
        <v>0</v>
      </c>
      <c r="O127" s="14">
        <f>COUNTIF(O122:O126,"TÒA")</f>
        <v>0</v>
      </c>
      <c r="P127" s="14">
        <f>COUNTIF(P110:P126,"Cấp GCN")</f>
        <v>0</v>
      </c>
      <c r="Q127" s="14">
        <f>COUNTIF(Q122:Q126,"SHN")</f>
        <v>0</v>
      </c>
      <c r="R127" s="15"/>
      <c r="S127" s="13"/>
      <c r="T127" s="15"/>
      <c r="U127" s="15"/>
      <c r="V127" s="16"/>
      <c r="W127" s="11"/>
      <c r="X127" s="17"/>
      <c r="Y127" s="2"/>
      <c r="AE127" s="14">
        <f>COUNTIF(AE96,"kt")</f>
        <v>0</v>
      </c>
    </row>
    <row r="128" spans="1:32" s="10" customFormat="1" ht="47.25" x14ac:dyDescent="0.25">
      <c r="A128" s="3">
        <v>115</v>
      </c>
      <c r="B128" s="3" t="s">
        <v>1209</v>
      </c>
      <c r="C128" s="5" t="s">
        <v>2409</v>
      </c>
      <c r="D128" s="4" t="s">
        <v>2410</v>
      </c>
      <c r="E128" s="6">
        <v>40</v>
      </c>
      <c r="F128" s="6" t="s">
        <v>2411</v>
      </c>
      <c r="G128" s="6" t="s">
        <v>2412</v>
      </c>
      <c r="H128" s="6" t="s">
        <v>51</v>
      </c>
      <c r="I128" s="7">
        <v>45817</v>
      </c>
      <c r="J128" s="7"/>
      <c r="K128" s="3"/>
      <c r="L128" s="3" t="s">
        <v>62</v>
      </c>
      <c r="M128" s="3"/>
      <c r="N128" s="3"/>
      <c r="O128" s="3"/>
      <c r="P128" s="3"/>
      <c r="Q128" s="3"/>
      <c r="R128" s="15" t="s">
        <v>82</v>
      </c>
      <c r="S128" s="6"/>
      <c r="T128" s="6"/>
      <c r="U128" s="6"/>
      <c r="V128" s="6"/>
      <c r="W128" s="11"/>
      <c r="X128" s="6"/>
      <c r="Y128" s="6"/>
      <c r="Z128" s="6"/>
      <c r="AA128" s="6"/>
      <c r="AB128" s="8"/>
      <c r="AC128" s="8"/>
      <c r="AD128" s="6" t="s">
        <v>2628</v>
      </c>
      <c r="AE128" s="6"/>
      <c r="AF128" s="9"/>
    </row>
    <row r="129" spans="1:32" s="10" customFormat="1" ht="47.25" x14ac:dyDescent="0.25">
      <c r="A129" s="3">
        <v>116</v>
      </c>
      <c r="B129" s="3" t="s">
        <v>1209</v>
      </c>
      <c r="C129" s="5" t="s">
        <v>2424</v>
      </c>
      <c r="D129" s="4" t="s">
        <v>2425</v>
      </c>
      <c r="E129" s="6">
        <v>22</v>
      </c>
      <c r="F129" s="6">
        <v>577</v>
      </c>
      <c r="G129" s="6">
        <v>287.39999999999998</v>
      </c>
      <c r="H129" s="6" t="s">
        <v>55</v>
      </c>
      <c r="I129" s="7">
        <v>45817</v>
      </c>
      <c r="J129" s="7"/>
      <c r="K129" s="3"/>
      <c r="L129" s="3"/>
      <c r="M129" s="3" t="s">
        <v>98</v>
      </c>
      <c r="N129" s="3"/>
      <c r="O129" s="3"/>
      <c r="P129" s="3"/>
      <c r="Q129" s="3"/>
      <c r="R129" s="15" t="s">
        <v>82</v>
      </c>
      <c r="S129" s="6"/>
      <c r="T129" s="6"/>
      <c r="U129" s="6"/>
      <c r="V129" s="6"/>
      <c r="W129" s="11"/>
      <c r="X129" s="6"/>
      <c r="Y129" s="6"/>
      <c r="Z129" s="6"/>
      <c r="AA129" s="6"/>
      <c r="AB129" s="8"/>
      <c r="AC129" s="8" t="s">
        <v>2629</v>
      </c>
      <c r="AD129" s="6" t="s">
        <v>2432</v>
      </c>
      <c r="AE129" s="6"/>
      <c r="AF129" s="9"/>
    </row>
    <row r="130" spans="1:32" s="10" customFormat="1" ht="16.5" x14ac:dyDescent="0.25">
      <c r="A130" s="3">
        <v>117</v>
      </c>
      <c r="B130" s="3" t="s">
        <v>1209</v>
      </c>
      <c r="C130" s="5" t="s">
        <v>2452</v>
      </c>
      <c r="D130" s="4" t="s">
        <v>2453</v>
      </c>
      <c r="E130" s="6">
        <v>18</v>
      </c>
      <c r="F130" s="6">
        <v>475</v>
      </c>
      <c r="G130" s="6">
        <v>164.5</v>
      </c>
      <c r="H130" s="6" t="s">
        <v>51</v>
      </c>
      <c r="I130" s="7">
        <v>45819</v>
      </c>
      <c r="J130" s="7"/>
      <c r="K130" s="3"/>
      <c r="L130" s="3" t="s">
        <v>62</v>
      </c>
      <c r="M130" s="3"/>
      <c r="N130" s="3"/>
      <c r="O130" s="3"/>
      <c r="P130" s="3"/>
      <c r="Q130" s="3"/>
      <c r="R130" s="15" t="s">
        <v>82</v>
      </c>
      <c r="S130" s="7">
        <v>45835</v>
      </c>
      <c r="T130" s="6"/>
      <c r="U130" s="6"/>
      <c r="V130" s="6"/>
      <c r="W130" s="11"/>
      <c r="X130" s="6"/>
      <c r="Y130" s="6"/>
      <c r="Z130" s="6"/>
      <c r="AA130" s="6"/>
      <c r="AB130" s="8"/>
      <c r="AC130" s="8"/>
      <c r="AD130" s="6"/>
      <c r="AE130" s="6"/>
      <c r="AF130" s="9"/>
    </row>
    <row r="131" spans="1:32" s="10" customFormat="1" ht="16.5" x14ac:dyDescent="0.25">
      <c r="A131" s="3">
        <v>118</v>
      </c>
      <c r="B131" s="3" t="s">
        <v>1209</v>
      </c>
      <c r="C131" s="5" t="s">
        <v>237</v>
      </c>
      <c r="D131" s="4" t="s">
        <v>238</v>
      </c>
      <c r="E131" s="6">
        <v>52</v>
      </c>
      <c r="F131" s="6">
        <v>79</v>
      </c>
      <c r="G131" s="6">
        <v>360.5</v>
      </c>
      <c r="H131" s="6" t="s">
        <v>75</v>
      </c>
      <c r="I131" s="7">
        <v>45819</v>
      </c>
      <c r="J131" s="7"/>
      <c r="K131" s="3" t="s">
        <v>76</v>
      </c>
      <c r="L131" s="3"/>
      <c r="M131" s="3"/>
      <c r="N131" s="3"/>
      <c r="O131" s="3"/>
      <c r="P131" s="3"/>
      <c r="Q131" s="3"/>
      <c r="R131" s="15" t="s">
        <v>82</v>
      </c>
      <c r="S131" s="7">
        <v>45835</v>
      </c>
      <c r="T131" s="7">
        <v>45835</v>
      </c>
      <c r="U131" s="7">
        <v>45835</v>
      </c>
      <c r="V131" s="6">
        <v>2020</v>
      </c>
      <c r="W131" s="11">
        <v>1619454</v>
      </c>
      <c r="X131" s="6"/>
      <c r="Y131" s="6"/>
      <c r="Z131" s="6"/>
      <c r="AA131" s="6"/>
      <c r="AB131" s="8"/>
      <c r="AC131" s="8"/>
      <c r="AD131" s="6"/>
      <c r="AE131" s="6"/>
      <c r="AF131" s="9"/>
    </row>
    <row r="132" spans="1:32" s="10" customFormat="1" ht="16.5" x14ac:dyDescent="0.25">
      <c r="A132" s="3">
        <v>119</v>
      </c>
      <c r="B132" s="3" t="s">
        <v>1209</v>
      </c>
      <c r="C132" s="5" t="s">
        <v>2399</v>
      </c>
      <c r="D132" s="4" t="s">
        <v>2400</v>
      </c>
      <c r="E132" s="6">
        <v>32</v>
      </c>
      <c r="F132" s="6">
        <v>260</v>
      </c>
      <c r="G132" s="6">
        <v>143.80000000000001</v>
      </c>
      <c r="H132" s="6" t="s">
        <v>55</v>
      </c>
      <c r="I132" s="7">
        <v>45820</v>
      </c>
      <c r="J132" s="7"/>
      <c r="K132" s="3" t="s">
        <v>153</v>
      </c>
      <c r="L132" s="3"/>
      <c r="M132" s="3"/>
      <c r="N132" s="3"/>
      <c r="O132" s="3"/>
      <c r="P132" s="3"/>
      <c r="Q132" s="3"/>
      <c r="R132" s="15" t="s">
        <v>82</v>
      </c>
      <c r="S132" s="7">
        <v>45835</v>
      </c>
      <c r="T132" s="6"/>
      <c r="U132" s="6"/>
      <c r="V132" s="6"/>
      <c r="W132" s="11"/>
      <c r="X132" s="6"/>
      <c r="Y132" s="6"/>
      <c r="Z132" s="6"/>
      <c r="AA132" s="6"/>
      <c r="AB132" s="8"/>
      <c r="AC132" s="8"/>
      <c r="AD132" s="6"/>
      <c r="AE132" s="6"/>
      <c r="AF132" s="9"/>
    </row>
    <row r="133" spans="1:32" s="10" customFormat="1" ht="16.5" x14ac:dyDescent="0.25">
      <c r="A133" s="3">
        <v>120</v>
      </c>
      <c r="B133" s="3" t="s">
        <v>1209</v>
      </c>
      <c r="C133" s="5" t="s">
        <v>2501</v>
      </c>
      <c r="D133" s="4" t="s">
        <v>780</v>
      </c>
      <c r="E133" s="6">
        <v>22</v>
      </c>
      <c r="F133" s="6">
        <v>387</v>
      </c>
      <c r="G133" s="6">
        <v>191</v>
      </c>
      <c r="H133" s="6" t="s">
        <v>75</v>
      </c>
      <c r="I133" s="7">
        <v>45821</v>
      </c>
      <c r="J133" s="7"/>
      <c r="K133" s="3"/>
      <c r="L133" s="3"/>
      <c r="M133" s="3" t="s">
        <v>1</v>
      </c>
      <c r="N133" s="3"/>
      <c r="O133" s="3"/>
      <c r="P133" s="3"/>
      <c r="Q133" s="3"/>
      <c r="R133" s="15" t="s">
        <v>82</v>
      </c>
      <c r="S133" s="6"/>
      <c r="T133" s="6"/>
      <c r="U133" s="6"/>
      <c r="V133" s="6"/>
      <c r="W133" s="11"/>
      <c r="X133" s="6"/>
      <c r="Y133" s="6"/>
      <c r="Z133" s="6"/>
      <c r="AA133" s="6"/>
      <c r="AB133" s="8"/>
      <c r="AC133" s="8"/>
      <c r="AD133" s="6"/>
      <c r="AE133" s="6"/>
      <c r="AF133" s="9"/>
    </row>
    <row r="134" spans="1:32" ht="16.5" x14ac:dyDescent="0.25">
      <c r="A134" s="12"/>
      <c r="B134" s="73" t="s">
        <v>2523</v>
      </c>
      <c r="C134" s="74"/>
      <c r="D134" s="74"/>
      <c r="E134" s="74"/>
      <c r="F134" s="74"/>
      <c r="G134" s="74"/>
      <c r="H134" s="75"/>
      <c r="I134" s="13"/>
      <c r="J134" s="13"/>
      <c r="K134" s="14">
        <f>COUNTIF(K128:K133,"CQ")+COUNTIF(K128:K133,"CT")+COUNTIF(K129:K133,"IG")</f>
        <v>2</v>
      </c>
      <c r="L134" s="14">
        <f>COUNTIF(L128:L133,"CMĐ")</f>
        <v>2</v>
      </c>
      <c r="M134" s="14">
        <f>COUNTIF(M128:M133,"XMDT")+COUNTIF(M128:M133,"Mốc")</f>
        <v>2</v>
      </c>
      <c r="N134" s="14">
        <f>COUNTIF(N129:N133,"THÁn")</f>
        <v>0</v>
      </c>
      <c r="O134" s="14">
        <f>COUNTIF(O129:O133,"TÒA")</f>
        <v>0</v>
      </c>
      <c r="P134" s="14">
        <f>COUNTIF(P117:P133,"Cấp GCN")</f>
        <v>0</v>
      </c>
      <c r="Q134" s="14">
        <f>COUNTIF(Q129:Q133,"SHN")</f>
        <v>0</v>
      </c>
      <c r="R134" s="15"/>
      <c r="S134" s="13"/>
      <c r="T134" s="15"/>
      <c r="U134" s="15"/>
      <c r="V134" s="16"/>
      <c r="W134" s="11"/>
      <c r="X134" s="17"/>
      <c r="Y134" s="2"/>
      <c r="AE134" s="14">
        <f>COUNTIF(AE103,"kt")</f>
        <v>0</v>
      </c>
    </row>
    <row r="135" spans="1:32" s="10" customFormat="1" ht="16.5" x14ac:dyDescent="0.25">
      <c r="A135" s="3">
        <v>121</v>
      </c>
      <c r="B135" s="3" t="s">
        <v>1209</v>
      </c>
      <c r="C135" s="5" t="s">
        <v>2529</v>
      </c>
      <c r="D135" s="4" t="s">
        <v>2530</v>
      </c>
      <c r="E135" s="6">
        <v>40</v>
      </c>
      <c r="F135" s="6">
        <v>5</v>
      </c>
      <c r="G135" s="6">
        <v>4859.3</v>
      </c>
      <c r="H135" s="6" t="s">
        <v>51</v>
      </c>
      <c r="I135" s="7">
        <v>45824</v>
      </c>
      <c r="J135" s="7"/>
      <c r="K135" s="3"/>
      <c r="L135" s="3"/>
      <c r="M135" s="3" t="s">
        <v>1</v>
      </c>
      <c r="N135" s="3"/>
      <c r="O135" s="3"/>
      <c r="P135" s="3"/>
      <c r="Q135" s="3"/>
      <c r="R135" s="15" t="s">
        <v>82</v>
      </c>
      <c r="S135" s="6"/>
      <c r="T135" s="6"/>
      <c r="U135" s="6"/>
      <c r="V135" s="6"/>
      <c r="W135" s="11"/>
      <c r="X135" s="6"/>
      <c r="Y135" s="6"/>
      <c r="Z135" s="6"/>
      <c r="AA135" s="6"/>
      <c r="AB135" s="8"/>
      <c r="AC135" s="8"/>
      <c r="AD135" s="6"/>
      <c r="AE135" s="6"/>
      <c r="AF135" s="9"/>
    </row>
    <row r="136" spans="1:32" s="10" customFormat="1" ht="16.5" x14ac:dyDescent="0.25">
      <c r="A136" s="3">
        <v>122</v>
      </c>
      <c r="B136" s="3" t="s">
        <v>1209</v>
      </c>
      <c r="C136" s="5" t="s">
        <v>2534</v>
      </c>
      <c r="D136" s="4" t="s">
        <v>780</v>
      </c>
      <c r="E136" s="6">
        <v>22</v>
      </c>
      <c r="F136" s="6">
        <v>421</v>
      </c>
      <c r="G136" s="6">
        <v>561</v>
      </c>
      <c r="H136" s="6" t="s">
        <v>51</v>
      </c>
      <c r="I136" s="7">
        <v>45824</v>
      </c>
      <c r="J136" s="7"/>
      <c r="K136" s="3"/>
      <c r="L136" s="3" t="s">
        <v>62</v>
      </c>
      <c r="M136" s="3"/>
      <c r="N136" s="3"/>
      <c r="O136" s="3"/>
      <c r="P136" s="3"/>
      <c r="Q136" s="3"/>
      <c r="R136" s="15" t="s">
        <v>82</v>
      </c>
      <c r="S136" s="7">
        <v>45835</v>
      </c>
      <c r="T136" s="6"/>
      <c r="U136" s="6"/>
      <c r="V136" s="6"/>
      <c r="W136" s="11"/>
      <c r="X136" s="6"/>
      <c r="Y136" s="6"/>
      <c r="Z136" s="6"/>
      <c r="AA136" s="6"/>
      <c r="AB136" s="8"/>
      <c r="AC136" s="8"/>
      <c r="AD136" s="6"/>
      <c r="AE136" s="6"/>
      <c r="AF136" s="9"/>
    </row>
    <row r="137" spans="1:32" s="10" customFormat="1" ht="16.5" x14ac:dyDescent="0.25">
      <c r="A137" s="3">
        <v>123</v>
      </c>
      <c r="B137" s="3" t="s">
        <v>1209</v>
      </c>
      <c r="C137" s="5" t="s">
        <v>2588</v>
      </c>
      <c r="D137" s="4" t="s">
        <v>2589</v>
      </c>
      <c r="E137" s="6">
        <v>44</v>
      </c>
      <c r="F137" s="6">
        <v>119</v>
      </c>
      <c r="G137" s="6">
        <v>1300.3</v>
      </c>
      <c r="H137" s="6" t="s">
        <v>75</v>
      </c>
      <c r="I137" s="7">
        <v>45826</v>
      </c>
      <c r="J137" s="7"/>
      <c r="K137" s="3" t="s">
        <v>76</v>
      </c>
      <c r="L137" s="3"/>
      <c r="M137" s="3"/>
      <c r="N137" s="3"/>
      <c r="O137" s="3"/>
      <c r="P137" s="3"/>
      <c r="Q137" s="3"/>
      <c r="R137" s="15" t="s">
        <v>82</v>
      </c>
      <c r="S137" s="6"/>
      <c r="T137" s="6"/>
      <c r="U137" s="6"/>
      <c r="V137" s="6"/>
      <c r="W137" s="11"/>
      <c r="X137" s="6"/>
      <c r="Y137" s="6"/>
      <c r="Z137" s="6"/>
      <c r="AA137" s="6"/>
      <c r="AB137" s="8"/>
      <c r="AC137" s="8"/>
      <c r="AD137" s="6"/>
      <c r="AE137" s="6"/>
      <c r="AF137" s="9"/>
    </row>
    <row r="138" spans="1:32" s="10" customFormat="1" ht="31.5" x14ac:dyDescent="0.25">
      <c r="A138" s="3">
        <v>124</v>
      </c>
      <c r="B138" s="3" t="s">
        <v>1209</v>
      </c>
      <c r="C138" s="5" t="s">
        <v>2608</v>
      </c>
      <c r="D138" s="4" t="s">
        <v>942</v>
      </c>
      <c r="E138" s="6">
        <v>47</v>
      </c>
      <c r="F138" s="6">
        <v>199</v>
      </c>
      <c r="G138" s="6">
        <v>268.8</v>
      </c>
      <c r="H138" s="6" t="s">
        <v>75</v>
      </c>
      <c r="I138" s="7"/>
      <c r="J138" s="7"/>
      <c r="K138" s="3"/>
      <c r="L138" s="3"/>
      <c r="M138" s="3"/>
      <c r="N138" s="3"/>
      <c r="O138" s="3"/>
      <c r="P138" s="3"/>
      <c r="Q138" s="3"/>
      <c r="R138" s="15" t="s">
        <v>190</v>
      </c>
      <c r="S138" s="7">
        <v>45813</v>
      </c>
      <c r="T138" s="6"/>
      <c r="U138" s="6"/>
      <c r="V138" s="6"/>
      <c r="W138" s="11"/>
      <c r="X138" s="6"/>
      <c r="Y138" s="6"/>
      <c r="Z138" s="6"/>
      <c r="AA138" s="6" t="s">
        <v>2609</v>
      </c>
      <c r="AB138" s="8" t="s">
        <v>2610</v>
      </c>
      <c r="AC138" s="8"/>
      <c r="AD138" s="6"/>
      <c r="AE138" s="6"/>
      <c r="AF138" s="9"/>
    </row>
    <row r="139" spans="1:32" s="10" customFormat="1" ht="16.5" x14ac:dyDescent="0.25">
      <c r="A139" s="3">
        <v>125</v>
      </c>
      <c r="B139" s="3" t="s">
        <v>1209</v>
      </c>
      <c r="C139" s="5" t="s">
        <v>2643</v>
      </c>
      <c r="D139" s="4" t="s">
        <v>2644</v>
      </c>
      <c r="E139" s="6">
        <v>32</v>
      </c>
      <c r="F139" s="6">
        <v>82</v>
      </c>
      <c r="G139" s="6">
        <v>1998.8</v>
      </c>
      <c r="H139" s="6" t="s">
        <v>75</v>
      </c>
      <c r="I139" s="7">
        <v>45828</v>
      </c>
      <c r="J139" s="7"/>
      <c r="K139" s="3" t="s">
        <v>76</v>
      </c>
      <c r="L139" s="3"/>
      <c r="M139" s="3"/>
      <c r="N139" s="3"/>
      <c r="O139" s="3"/>
      <c r="P139" s="3"/>
      <c r="Q139" s="3"/>
      <c r="R139" s="15" t="s">
        <v>82</v>
      </c>
      <c r="S139" s="7">
        <v>45835</v>
      </c>
      <c r="T139" s="6"/>
      <c r="U139" s="6"/>
      <c r="V139" s="6"/>
      <c r="W139" s="11"/>
      <c r="X139" s="6"/>
      <c r="Y139" s="6"/>
      <c r="Z139" s="6"/>
      <c r="AA139" s="6"/>
      <c r="AB139" s="8"/>
      <c r="AC139" s="8"/>
      <c r="AD139" s="6"/>
      <c r="AE139" s="6"/>
      <c r="AF139" s="9"/>
    </row>
    <row r="140" spans="1:32" ht="16.5" x14ac:dyDescent="0.25">
      <c r="A140" s="12"/>
      <c r="B140" s="73" t="s">
        <v>2655</v>
      </c>
      <c r="C140" s="74"/>
      <c r="D140" s="74"/>
      <c r="E140" s="74"/>
      <c r="F140" s="74"/>
      <c r="G140" s="74"/>
      <c r="H140" s="75"/>
      <c r="I140" s="13"/>
      <c r="J140" s="13"/>
      <c r="K140" s="14">
        <f>COUNTIF(K134:K139,"CQ")+COUNTIF(K134:K139,"CT")+COUNTIF(K135:K139,"IG")</f>
        <v>2</v>
      </c>
      <c r="L140" s="14">
        <f>COUNTIF(L134:L139,"CMĐ")</f>
        <v>1</v>
      </c>
      <c r="M140" s="14">
        <f>COUNTIF(M134:M139,"XMDT")+COUNTIF(M134:M139,"Mốc")</f>
        <v>1</v>
      </c>
      <c r="N140" s="14">
        <f>COUNTIF(N135:N139,"THÁn")</f>
        <v>0</v>
      </c>
      <c r="O140" s="14">
        <f>COUNTIF(O135:O139,"TÒA")</f>
        <v>0</v>
      </c>
      <c r="P140" s="14">
        <f>COUNTIF(P123:P139,"Cấp GCN")</f>
        <v>0</v>
      </c>
      <c r="Q140" s="14">
        <f>COUNTIF(Q135:Q139,"SHN")</f>
        <v>0</v>
      </c>
      <c r="R140" s="15"/>
      <c r="S140" s="13"/>
      <c r="T140" s="15"/>
      <c r="U140" s="15"/>
      <c r="V140" s="16"/>
      <c r="W140" s="11"/>
      <c r="X140" s="17"/>
      <c r="Y140" s="2"/>
      <c r="AE140" s="14">
        <f>COUNTIF(AE109,"kt")</f>
        <v>0</v>
      </c>
    </row>
    <row r="141" spans="1:32" s="10" customFormat="1" ht="16.5" x14ac:dyDescent="0.25">
      <c r="A141" s="3">
        <v>126</v>
      </c>
      <c r="B141" s="3" t="s">
        <v>1209</v>
      </c>
      <c r="C141" s="5" t="s">
        <v>2686</v>
      </c>
      <c r="D141" s="4" t="s">
        <v>2687</v>
      </c>
      <c r="E141" s="6">
        <v>11</v>
      </c>
      <c r="F141" s="6">
        <v>297</v>
      </c>
      <c r="G141" s="6">
        <v>21.8</v>
      </c>
      <c r="H141" s="6" t="s">
        <v>55</v>
      </c>
      <c r="I141" s="7">
        <v>45832</v>
      </c>
      <c r="J141" s="7"/>
      <c r="K141" s="3"/>
      <c r="L141" s="3"/>
      <c r="M141" s="3" t="s">
        <v>1</v>
      </c>
      <c r="N141" s="3"/>
      <c r="O141" s="3"/>
      <c r="P141" s="3"/>
      <c r="Q141" s="3"/>
      <c r="R141" s="15" t="s">
        <v>82</v>
      </c>
      <c r="S141" s="6"/>
      <c r="T141" s="6"/>
      <c r="U141" s="6"/>
      <c r="V141" s="6"/>
      <c r="W141" s="11"/>
      <c r="X141" s="6"/>
      <c r="Y141" s="6"/>
      <c r="Z141" s="6"/>
      <c r="AA141" s="6"/>
      <c r="AB141" s="8"/>
      <c r="AC141" s="8"/>
      <c r="AD141" s="6"/>
      <c r="AE141" s="6"/>
      <c r="AF141" s="9"/>
    </row>
    <row r="142" spans="1:32" s="10" customFormat="1" ht="16.5" x14ac:dyDescent="0.25">
      <c r="A142" s="3">
        <v>127</v>
      </c>
      <c r="B142" s="3" t="s">
        <v>1209</v>
      </c>
      <c r="C142" s="5" t="s">
        <v>1884</v>
      </c>
      <c r="D142" s="4" t="s">
        <v>2730</v>
      </c>
      <c r="E142" s="6">
        <v>37</v>
      </c>
      <c r="F142" s="6">
        <v>14</v>
      </c>
      <c r="G142" s="6">
        <v>2786.7</v>
      </c>
      <c r="H142" s="6" t="s">
        <v>75</v>
      </c>
      <c r="I142" s="7">
        <v>45833</v>
      </c>
      <c r="J142" s="7"/>
      <c r="K142" s="3"/>
      <c r="L142" s="3" t="s">
        <v>62</v>
      </c>
      <c r="M142" s="3"/>
      <c r="N142" s="3"/>
      <c r="O142" s="3"/>
      <c r="P142" s="3"/>
      <c r="Q142" s="3"/>
      <c r="R142" s="15" t="s">
        <v>82</v>
      </c>
      <c r="S142" s="6"/>
      <c r="T142" s="6"/>
      <c r="U142" s="6"/>
      <c r="V142" s="6"/>
      <c r="W142" s="11"/>
      <c r="X142" s="6"/>
      <c r="Y142" s="6"/>
      <c r="Z142" s="6"/>
      <c r="AA142" s="6"/>
      <c r="AB142" s="8"/>
      <c r="AC142" s="8"/>
      <c r="AD142" s="6"/>
      <c r="AE142" s="6"/>
      <c r="AF142" s="9"/>
    </row>
    <row r="143" spans="1:32" s="10" customFormat="1" ht="16.5" x14ac:dyDescent="0.25">
      <c r="A143" s="3">
        <v>128</v>
      </c>
      <c r="B143" s="3" t="s">
        <v>1209</v>
      </c>
      <c r="C143" s="5" t="s">
        <v>2409</v>
      </c>
      <c r="D143" s="4" t="s">
        <v>2410</v>
      </c>
      <c r="E143" s="6">
        <v>40</v>
      </c>
      <c r="F143" s="6">
        <v>82</v>
      </c>
      <c r="G143" s="6">
        <v>503.6</v>
      </c>
      <c r="H143" s="6" t="s">
        <v>51</v>
      </c>
      <c r="I143" s="7">
        <v>45833</v>
      </c>
      <c r="J143" s="7"/>
      <c r="K143" s="3"/>
      <c r="L143" s="3" t="s">
        <v>62</v>
      </c>
      <c r="M143" s="3"/>
      <c r="N143" s="3"/>
      <c r="O143" s="3"/>
      <c r="P143" s="3"/>
      <c r="Q143" s="3"/>
      <c r="R143" s="15" t="s">
        <v>82</v>
      </c>
      <c r="S143" s="6"/>
      <c r="T143" s="6"/>
      <c r="U143" s="6"/>
      <c r="V143" s="6"/>
      <c r="W143" s="11"/>
      <c r="X143" s="6"/>
      <c r="Y143" s="6"/>
      <c r="Z143" s="6"/>
      <c r="AA143" s="6"/>
      <c r="AB143" s="8"/>
      <c r="AC143" s="8"/>
      <c r="AD143" s="6"/>
      <c r="AE143" s="6"/>
      <c r="AF143" s="9"/>
    </row>
    <row r="144" spans="1:32" s="10" customFormat="1" ht="16.5" x14ac:dyDescent="0.25">
      <c r="A144" s="3">
        <v>129</v>
      </c>
      <c r="B144" s="3" t="s">
        <v>1209</v>
      </c>
      <c r="C144" s="5" t="s">
        <v>2735</v>
      </c>
      <c r="D144" s="4" t="s">
        <v>2038</v>
      </c>
      <c r="E144" s="6">
        <v>46</v>
      </c>
      <c r="F144" s="6">
        <v>66</v>
      </c>
      <c r="G144" s="6">
        <v>413.2</v>
      </c>
      <c r="H144" s="6" t="s">
        <v>75</v>
      </c>
      <c r="I144" s="7">
        <v>45811</v>
      </c>
      <c r="J144" s="7"/>
      <c r="K144" s="3" t="s">
        <v>76</v>
      </c>
      <c r="L144" s="3"/>
      <c r="M144" s="3"/>
      <c r="N144" s="3"/>
      <c r="O144" s="3"/>
      <c r="P144" s="3"/>
      <c r="Q144" s="3"/>
      <c r="R144" s="15" t="s">
        <v>82</v>
      </c>
      <c r="S144" s="7">
        <v>45835</v>
      </c>
      <c r="T144" s="7">
        <v>45835</v>
      </c>
      <c r="U144" s="7">
        <v>45835</v>
      </c>
      <c r="V144" s="6">
        <v>2033</v>
      </c>
      <c r="W144" s="11">
        <v>961551</v>
      </c>
      <c r="X144" s="6"/>
      <c r="Y144" s="6"/>
      <c r="Z144" s="6"/>
      <c r="AA144" s="6"/>
      <c r="AB144" s="8"/>
      <c r="AC144" s="8"/>
      <c r="AD144" s="6"/>
      <c r="AE144" s="6"/>
      <c r="AF144" s="9"/>
    </row>
    <row r="145" spans="1:32" s="10" customFormat="1" ht="16.5" x14ac:dyDescent="0.25">
      <c r="A145" s="3"/>
      <c r="B145" s="3"/>
      <c r="C145" s="5"/>
      <c r="D145" s="4"/>
      <c r="E145" s="6"/>
      <c r="F145" s="6"/>
      <c r="G145" s="6"/>
      <c r="H145" s="6"/>
      <c r="I145" s="7"/>
      <c r="J145" s="7"/>
      <c r="K145" s="3"/>
      <c r="L145" s="3"/>
      <c r="M145" s="3"/>
      <c r="N145" s="3"/>
      <c r="O145" s="3"/>
      <c r="P145" s="3"/>
      <c r="Q145" s="3"/>
      <c r="R145" s="15"/>
      <c r="S145" s="7"/>
      <c r="T145" s="7"/>
      <c r="U145" s="7"/>
      <c r="V145" s="6"/>
      <c r="W145" s="11"/>
      <c r="X145" s="6"/>
      <c r="Y145" s="6"/>
      <c r="Z145" s="6"/>
      <c r="AA145" s="6"/>
      <c r="AB145" s="8"/>
      <c r="AC145" s="8"/>
      <c r="AD145" s="6"/>
      <c r="AE145" s="6"/>
      <c r="AF145" s="9"/>
    </row>
    <row r="146" spans="1:32" s="10" customFormat="1" ht="16.5" x14ac:dyDescent="0.25">
      <c r="A146" s="3">
        <v>130</v>
      </c>
      <c r="B146" s="3" t="s">
        <v>1209</v>
      </c>
      <c r="C146" s="5" t="s">
        <v>2745</v>
      </c>
      <c r="D146" s="4" t="s">
        <v>2746</v>
      </c>
      <c r="E146" s="6">
        <v>25</v>
      </c>
      <c r="F146" s="6">
        <v>215</v>
      </c>
      <c r="G146" s="6">
        <v>538.5</v>
      </c>
      <c r="H146" s="6" t="s">
        <v>586</v>
      </c>
      <c r="I146" s="7">
        <v>45838</v>
      </c>
      <c r="J146" s="7"/>
      <c r="K146" s="3"/>
      <c r="L146" s="3" t="s">
        <v>62</v>
      </c>
      <c r="M146" s="3"/>
      <c r="N146" s="3"/>
      <c r="O146" s="3"/>
      <c r="P146" s="3"/>
      <c r="Q146" s="3"/>
      <c r="R146" s="15"/>
      <c r="S146" s="6"/>
      <c r="T146" s="6"/>
      <c r="U146" s="6"/>
      <c r="V146" s="6"/>
      <c r="W146" s="11"/>
      <c r="X146" s="6"/>
      <c r="Y146" s="6"/>
      <c r="Z146" s="6"/>
      <c r="AA146" s="6"/>
      <c r="AB146" s="8"/>
      <c r="AC146" s="8"/>
      <c r="AD146" s="6"/>
      <c r="AE146" s="6"/>
      <c r="AF146" s="9"/>
    </row>
    <row r="147" spans="1:32" s="10" customFormat="1" ht="16.5" x14ac:dyDescent="0.25">
      <c r="A147" s="3">
        <v>131</v>
      </c>
      <c r="B147" s="3" t="s">
        <v>1209</v>
      </c>
      <c r="C147" s="5"/>
      <c r="D147" s="4"/>
      <c r="E147" s="6"/>
      <c r="F147" s="6"/>
      <c r="G147" s="6"/>
      <c r="H147" s="6"/>
      <c r="I147" s="7"/>
      <c r="J147" s="7"/>
      <c r="K147" s="3"/>
      <c r="L147" s="3"/>
      <c r="M147" s="3"/>
      <c r="N147" s="3"/>
      <c r="O147" s="3"/>
      <c r="P147" s="3"/>
      <c r="Q147" s="3"/>
      <c r="R147" s="15"/>
      <c r="S147" s="6"/>
      <c r="T147" s="6"/>
      <c r="U147" s="6"/>
      <c r="V147" s="6"/>
      <c r="W147" s="11"/>
      <c r="X147" s="6"/>
      <c r="Y147" s="6"/>
      <c r="Z147" s="6"/>
      <c r="AA147" s="6"/>
      <c r="AB147" s="8"/>
      <c r="AC147" s="8"/>
      <c r="AD147" s="6"/>
      <c r="AE147" s="6"/>
      <c r="AF147" s="9"/>
    </row>
    <row r="148" spans="1:32" s="10" customFormat="1" ht="16.5" x14ac:dyDescent="0.25">
      <c r="A148" s="3">
        <v>132</v>
      </c>
      <c r="B148" s="3" t="s">
        <v>1209</v>
      </c>
      <c r="C148" s="5"/>
      <c r="D148" s="4"/>
      <c r="E148" s="6"/>
      <c r="F148" s="6"/>
      <c r="G148" s="6"/>
      <c r="H148" s="6"/>
      <c r="I148" s="7"/>
      <c r="J148" s="7"/>
      <c r="K148" s="3"/>
      <c r="L148" s="3"/>
      <c r="M148" s="3"/>
      <c r="N148" s="3"/>
      <c r="O148" s="3"/>
      <c r="P148" s="3"/>
      <c r="Q148" s="3"/>
      <c r="R148" s="15"/>
      <c r="S148" s="6"/>
      <c r="T148" s="6"/>
      <c r="U148" s="6"/>
      <c r="V148" s="6"/>
      <c r="W148" s="11"/>
      <c r="X148" s="6"/>
      <c r="Y148" s="6"/>
      <c r="Z148" s="6"/>
      <c r="AA148" s="6"/>
      <c r="AB148" s="8"/>
      <c r="AC148" s="8"/>
      <c r="AD148" s="6"/>
      <c r="AE148" s="6"/>
      <c r="AF148" s="9"/>
    </row>
    <row r="149" spans="1:32" s="10" customFormat="1" ht="16.5" x14ac:dyDescent="0.25">
      <c r="A149" s="3">
        <v>133</v>
      </c>
      <c r="B149" s="3" t="s">
        <v>1209</v>
      </c>
      <c r="C149" s="5"/>
      <c r="D149" s="4"/>
      <c r="E149" s="6"/>
      <c r="F149" s="6"/>
      <c r="G149" s="6"/>
      <c r="H149" s="6"/>
      <c r="I149" s="7"/>
      <c r="J149" s="7"/>
      <c r="K149" s="3"/>
      <c r="L149" s="3"/>
      <c r="M149" s="3"/>
      <c r="N149" s="3"/>
      <c r="O149" s="3"/>
      <c r="P149" s="3"/>
      <c r="Q149" s="3"/>
      <c r="R149" s="15"/>
      <c r="S149" s="6"/>
      <c r="T149" s="6"/>
      <c r="U149" s="6"/>
      <c r="V149" s="6"/>
      <c r="W149" s="11"/>
      <c r="X149" s="6"/>
      <c r="Y149" s="6"/>
      <c r="Z149" s="6"/>
      <c r="AA149" s="6"/>
      <c r="AB149" s="8"/>
      <c r="AC149" s="8"/>
      <c r="AD149" s="6"/>
      <c r="AE149" s="6"/>
      <c r="AF149" s="9"/>
    </row>
    <row r="150" spans="1:32" s="10" customFormat="1" ht="16.5" x14ac:dyDescent="0.25">
      <c r="A150" s="3">
        <v>134</v>
      </c>
      <c r="B150" s="3" t="s">
        <v>1209</v>
      </c>
      <c r="C150" s="5"/>
      <c r="D150" s="4"/>
      <c r="E150" s="6"/>
      <c r="F150" s="6"/>
      <c r="G150" s="6"/>
      <c r="H150" s="6"/>
      <c r="I150" s="7"/>
      <c r="J150" s="7"/>
      <c r="K150" s="3"/>
      <c r="L150" s="3"/>
      <c r="M150" s="3"/>
      <c r="N150" s="3"/>
      <c r="O150" s="3"/>
      <c r="P150" s="3"/>
      <c r="Q150" s="3"/>
      <c r="R150" s="15"/>
      <c r="S150" s="6"/>
      <c r="T150" s="6"/>
      <c r="U150" s="6"/>
      <c r="V150" s="6"/>
      <c r="W150" s="11"/>
      <c r="X150" s="6"/>
      <c r="Y150" s="6"/>
      <c r="Z150" s="6"/>
      <c r="AA150" s="6"/>
      <c r="AB150" s="8"/>
      <c r="AC150" s="8"/>
      <c r="AD150" s="6"/>
      <c r="AE150" s="6"/>
      <c r="AF150" s="9"/>
    </row>
    <row r="151" spans="1:32" s="10" customFormat="1" ht="16.5" x14ac:dyDescent="0.25">
      <c r="A151" s="3">
        <v>135</v>
      </c>
      <c r="B151" s="3" t="s">
        <v>1209</v>
      </c>
      <c r="C151" s="5"/>
      <c r="D151" s="4"/>
      <c r="E151" s="6"/>
      <c r="F151" s="6"/>
      <c r="G151" s="6"/>
      <c r="H151" s="6"/>
      <c r="I151" s="7"/>
      <c r="J151" s="7"/>
      <c r="K151" s="3"/>
      <c r="L151" s="3"/>
      <c r="M151" s="3"/>
      <c r="N151" s="3"/>
      <c r="O151" s="3"/>
      <c r="P151" s="3"/>
      <c r="Q151" s="3"/>
      <c r="R151" s="15"/>
      <c r="S151" s="6"/>
      <c r="T151" s="6"/>
      <c r="U151" s="6"/>
      <c r="V151" s="6"/>
      <c r="W151" s="11"/>
      <c r="X151" s="6"/>
      <c r="Y151" s="6"/>
      <c r="Z151" s="6"/>
      <c r="AA151" s="6"/>
      <c r="AB151" s="8"/>
      <c r="AC151" s="8"/>
      <c r="AD151" s="6"/>
      <c r="AE151" s="6"/>
      <c r="AF151" s="9"/>
    </row>
    <row r="152" spans="1:32" s="10" customFormat="1" ht="16.5" x14ac:dyDescent="0.25">
      <c r="A152" s="3">
        <v>136</v>
      </c>
      <c r="B152" s="3" t="s">
        <v>1209</v>
      </c>
      <c r="C152" s="5"/>
      <c r="D152" s="4"/>
      <c r="E152" s="6"/>
      <c r="F152" s="6"/>
      <c r="G152" s="6"/>
      <c r="H152" s="6"/>
      <c r="I152" s="7"/>
      <c r="J152" s="7"/>
      <c r="K152" s="3"/>
      <c r="L152" s="3"/>
      <c r="M152" s="3"/>
      <c r="N152" s="3"/>
      <c r="O152" s="3"/>
      <c r="P152" s="3"/>
      <c r="Q152" s="3"/>
      <c r="R152" s="15"/>
      <c r="S152" s="6"/>
      <c r="T152" s="6"/>
      <c r="U152" s="6"/>
      <c r="V152" s="6"/>
      <c r="W152" s="11"/>
      <c r="X152" s="6"/>
      <c r="Y152" s="6"/>
      <c r="Z152" s="6"/>
      <c r="AA152" s="6"/>
      <c r="AB152" s="8"/>
      <c r="AC152" s="8"/>
      <c r="AD152" s="6"/>
      <c r="AE152" s="6"/>
      <c r="AF152" s="9"/>
    </row>
    <row r="153" spans="1:32" s="10" customFormat="1" ht="16.5" x14ac:dyDescent="0.25">
      <c r="A153" s="3">
        <v>137</v>
      </c>
      <c r="B153" s="3" t="s">
        <v>1209</v>
      </c>
      <c r="C153" s="5"/>
      <c r="D153" s="4"/>
      <c r="E153" s="6"/>
      <c r="F153" s="6"/>
      <c r="G153" s="6"/>
      <c r="H153" s="6"/>
      <c r="I153" s="7"/>
      <c r="J153" s="7"/>
      <c r="K153" s="3"/>
      <c r="L153" s="3"/>
      <c r="M153" s="3"/>
      <c r="N153" s="3"/>
      <c r="O153" s="3"/>
      <c r="P153" s="3"/>
      <c r="Q153" s="3"/>
      <c r="R153" s="15"/>
      <c r="S153" s="6"/>
      <c r="T153" s="6"/>
      <c r="U153" s="6"/>
      <c r="V153" s="6"/>
      <c r="W153" s="11"/>
      <c r="X153" s="6"/>
      <c r="Y153" s="6"/>
      <c r="Z153" s="6"/>
      <c r="AA153" s="6"/>
      <c r="AB153" s="8"/>
      <c r="AC153" s="8"/>
      <c r="AD153" s="6"/>
      <c r="AE153" s="6"/>
      <c r="AF153" s="9"/>
    </row>
    <row r="154" spans="1:32" s="10" customFormat="1" ht="16.5" x14ac:dyDescent="0.25">
      <c r="A154" s="3">
        <v>138</v>
      </c>
      <c r="B154" s="3" t="s">
        <v>1209</v>
      </c>
      <c r="C154" s="5"/>
      <c r="D154" s="4"/>
      <c r="E154" s="6"/>
      <c r="F154" s="6"/>
      <c r="G154" s="6"/>
      <c r="H154" s="6"/>
      <c r="I154" s="7"/>
      <c r="J154" s="7"/>
      <c r="K154" s="3"/>
      <c r="L154" s="3"/>
      <c r="M154" s="3"/>
      <c r="N154" s="3"/>
      <c r="O154" s="3"/>
      <c r="P154" s="3"/>
      <c r="Q154" s="3"/>
      <c r="R154" s="15"/>
      <c r="S154" s="6"/>
      <c r="T154" s="6"/>
      <c r="U154" s="6"/>
      <c r="V154" s="6"/>
      <c r="W154" s="11"/>
      <c r="X154" s="6"/>
      <c r="Y154" s="6"/>
      <c r="Z154" s="6"/>
      <c r="AA154" s="6"/>
      <c r="AB154" s="8"/>
      <c r="AC154" s="8"/>
      <c r="AD154" s="6"/>
      <c r="AE154" s="6"/>
      <c r="AF154" s="9"/>
    </row>
    <row r="155" spans="1:32" s="10" customFormat="1" ht="16.5" x14ac:dyDescent="0.25">
      <c r="A155" s="3">
        <v>139</v>
      </c>
      <c r="B155" s="3" t="s">
        <v>1209</v>
      </c>
      <c r="C155" s="5"/>
      <c r="D155" s="4"/>
      <c r="E155" s="6"/>
      <c r="F155" s="6"/>
      <c r="G155" s="6"/>
      <c r="H155" s="6"/>
      <c r="I155" s="7"/>
      <c r="J155" s="7"/>
      <c r="K155" s="3"/>
      <c r="L155" s="3"/>
      <c r="M155" s="3"/>
      <c r="N155" s="3"/>
      <c r="O155" s="3"/>
      <c r="P155" s="3"/>
      <c r="Q155" s="3"/>
      <c r="R155" s="15"/>
      <c r="S155" s="6"/>
      <c r="T155" s="6"/>
      <c r="U155" s="6"/>
      <c r="V155" s="6"/>
      <c r="W155" s="11"/>
      <c r="X155" s="6"/>
      <c r="Y155" s="6"/>
      <c r="Z155" s="6"/>
      <c r="AA155" s="6"/>
      <c r="AB155" s="8"/>
      <c r="AC155" s="8"/>
      <c r="AD155" s="6"/>
      <c r="AE155" s="6"/>
      <c r="AF155" s="9"/>
    </row>
    <row r="156" spans="1:32" ht="16.5" x14ac:dyDescent="0.25">
      <c r="A156" s="12"/>
      <c r="B156" s="73" t="s">
        <v>37</v>
      </c>
      <c r="C156" s="74"/>
      <c r="D156" s="74"/>
      <c r="E156" s="74"/>
      <c r="F156" s="74"/>
      <c r="G156" s="74"/>
      <c r="H156" s="75"/>
      <c r="I156" s="13"/>
      <c r="J156" s="13"/>
      <c r="K156" s="14">
        <f>COUNTIF(K3:K39,"CQ")+COUNTIF(K39,"CN")+COUNTIF(K39,"TK")</f>
        <v>2</v>
      </c>
      <c r="L156" s="14">
        <f>COUNTIF(L3:L39,"CMĐ")</f>
        <v>7</v>
      </c>
      <c r="M156" s="14">
        <f>COUNTIF(M39,"XMDT")+COUNTIF(M39,"Mốc")</f>
        <v>1</v>
      </c>
      <c r="N156" s="14">
        <f>COUNTIF(N39,"THÁn")</f>
        <v>0</v>
      </c>
      <c r="O156" s="14">
        <f>COUNTIF(O39,"TÒA")</f>
        <v>0</v>
      </c>
      <c r="P156" s="14">
        <f>COUNTIF(P3:P39,"Cấp GCN")</f>
        <v>2</v>
      </c>
      <c r="Q156" s="14">
        <f>COUNTIF(Q3:Q39,"SHN")</f>
        <v>4</v>
      </c>
      <c r="R156" s="15"/>
      <c r="S156" s="13"/>
      <c r="T156" s="15"/>
      <c r="U156" s="15"/>
      <c r="V156" s="16"/>
      <c r="W156" s="11"/>
      <c r="X156" s="17"/>
      <c r="Y156" s="2"/>
      <c r="AE156" s="14">
        <f>COUNTIF(AE39,"kt")</f>
        <v>0</v>
      </c>
    </row>
  </sheetData>
  <mergeCells count="15">
    <mergeCell ref="A1:AD1"/>
    <mergeCell ref="B156:H156"/>
    <mergeCell ref="B27:H27"/>
    <mergeCell ref="B45:H45"/>
    <mergeCell ref="B79:H79"/>
    <mergeCell ref="B91:H91"/>
    <mergeCell ref="B93:H93"/>
    <mergeCell ref="B102:H102"/>
    <mergeCell ref="B108:H108"/>
    <mergeCell ref="B114:H114"/>
    <mergeCell ref="B122:H122"/>
    <mergeCell ref="B124:H124"/>
    <mergeCell ref="B127:H127"/>
    <mergeCell ref="B134:H134"/>
    <mergeCell ref="B140:H140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84"/>
  <sheetViews>
    <sheetView zoomScale="80" zoomScaleNormal="80" workbookViewId="0">
      <pane ySplit="2" topLeftCell="A71" activePane="bottomLeft" state="frozen"/>
      <selection pane="bottomLeft" activeCell="C79" sqref="C79:I81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9" width="12" customWidth="1"/>
    <col min="10" max="10" width="8.42578125" customWidth="1"/>
    <col min="11" max="11" width="7.28515625" customWidth="1"/>
    <col min="12" max="12" width="8.28515625" customWidth="1"/>
    <col min="13" max="13" width="7.5703125" customWidth="1"/>
    <col min="14" max="14" width="5.5703125" customWidth="1"/>
    <col min="15" max="16" width="9.42578125" customWidth="1"/>
    <col min="17" max="17" width="8.85546875" customWidth="1"/>
    <col min="18" max="20" width="12.140625" customWidth="1"/>
    <col min="21" max="21" width="10.7109375" customWidth="1"/>
    <col min="22" max="22" width="13.28515625" customWidth="1"/>
    <col min="23" max="24" width="9" customWidth="1"/>
    <col min="25" max="25" width="10.28515625" customWidth="1"/>
    <col min="26" max="26" width="15.140625" customWidth="1"/>
    <col min="27" max="27" width="16.85546875" customWidth="1"/>
    <col min="28" max="28" width="20.7109375" customWidth="1"/>
    <col min="29" max="30" width="18.5703125" customWidth="1"/>
    <col min="31" max="31" width="9.140625" style="2"/>
  </cols>
  <sheetData>
    <row r="1" spans="1:31" ht="25.5" customHeight="1" x14ac:dyDescent="0.35">
      <c r="A1" s="76" t="s">
        <v>47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2"/>
    </row>
    <row r="2" spans="1:31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4</v>
      </c>
      <c r="K2" s="1" t="s">
        <v>3</v>
      </c>
      <c r="L2" s="1" t="s">
        <v>1</v>
      </c>
      <c r="M2" s="1" t="s">
        <v>19</v>
      </c>
      <c r="N2" s="1" t="s">
        <v>11</v>
      </c>
      <c r="O2" s="1" t="s">
        <v>12</v>
      </c>
      <c r="P2" s="1" t="s">
        <v>52</v>
      </c>
      <c r="Q2" s="1" t="s">
        <v>2</v>
      </c>
      <c r="R2" s="1" t="s">
        <v>20</v>
      </c>
      <c r="S2" s="1" t="s">
        <v>29</v>
      </c>
      <c r="T2" s="1" t="s">
        <v>30</v>
      </c>
      <c r="U2" s="1" t="s">
        <v>31</v>
      </c>
      <c r="V2" s="1" t="s">
        <v>22</v>
      </c>
      <c r="W2" s="1" t="s">
        <v>21</v>
      </c>
      <c r="X2" s="1" t="s">
        <v>23</v>
      </c>
      <c r="Y2" s="1" t="s">
        <v>24</v>
      </c>
      <c r="Z2" s="1" t="s">
        <v>14</v>
      </c>
      <c r="AA2" s="1" t="s">
        <v>13</v>
      </c>
      <c r="AB2" s="1" t="s">
        <v>18</v>
      </c>
      <c r="AC2" s="1" t="s">
        <v>8</v>
      </c>
      <c r="AD2" s="1" t="s">
        <v>35</v>
      </c>
    </row>
    <row r="3" spans="1:31" s="10" customFormat="1" ht="15.75" x14ac:dyDescent="0.25">
      <c r="A3" s="3">
        <v>1</v>
      </c>
      <c r="B3" s="3" t="s">
        <v>223</v>
      </c>
      <c r="C3" s="5" t="s">
        <v>187</v>
      </c>
      <c r="D3" s="4"/>
      <c r="E3" s="6">
        <v>8</v>
      </c>
      <c r="F3" s="6">
        <v>562</v>
      </c>
      <c r="G3" s="3">
        <v>504.5</v>
      </c>
      <c r="H3" s="3" t="s">
        <v>75</v>
      </c>
      <c r="I3" s="7">
        <v>45663</v>
      </c>
      <c r="J3" s="3"/>
      <c r="K3" s="3" t="s">
        <v>62</v>
      </c>
      <c r="L3" s="3"/>
      <c r="M3" s="3"/>
      <c r="N3" s="3"/>
      <c r="O3" s="3"/>
      <c r="P3" s="3"/>
      <c r="Q3" s="6" t="s">
        <v>180</v>
      </c>
      <c r="R3" s="7">
        <v>45666</v>
      </c>
      <c r="S3" s="7">
        <v>45674</v>
      </c>
      <c r="T3" s="7">
        <v>45674</v>
      </c>
      <c r="U3" s="6">
        <v>358</v>
      </c>
      <c r="V3" s="11">
        <v>961551</v>
      </c>
      <c r="W3" s="6"/>
      <c r="X3" s="6"/>
      <c r="Y3" s="8"/>
      <c r="Z3" s="8"/>
      <c r="AA3" s="8"/>
      <c r="AB3" s="6"/>
      <c r="AC3" s="8"/>
      <c r="AD3" s="6"/>
      <c r="AE3" s="9"/>
    </row>
    <row r="4" spans="1:31" s="10" customFormat="1" ht="31.5" x14ac:dyDescent="0.25">
      <c r="A4" s="3">
        <v>2</v>
      </c>
      <c r="B4" s="3" t="s">
        <v>223</v>
      </c>
      <c r="C4" s="5" t="s">
        <v>206</v>
      </c>
      <c r="D4" s="4" t="s">
        <v>207</v>
      </c>
      <c r="E4" s="6">
        <v>44</v>
      </c>
      <c r="F4" s="6">
        <v>127</v>
      </c>
      <c r="G4" s="3">
        <v>506.1</v>
      </c>
      <c r="H4" s="3" t="s">
        <v>51</v>
      </c>
      <c r="I4" s="7">
        <v>45664</v>
      </c>
      <c r="J4" s="3"/>
      <c r="K4" s="3" t="s">
        <v>62</v>
      </c>
      <c r="L4" s="3"/>
      <c r="M4" s="3"/>
      <c r="N4" s="3"/>
      <c r="O4" s="3"/>
      <c r="P4" s="3"/>
      <c r="Q4" s="6" t="s">
        <v>180</v>
      </c>
      <c r="R4" s="7">
        <v>45671</v>
      </c>
      <c r="S4" s="7">
        <v>45673</v>
      </c>
      <c r="T4" s="7">
        <v>45673</v>
      </c>
      <c r="U4" s="6">
        <v>342</v>
      </c>
      <c r="V4" s="11">
        <v>961551</v>
      </c>
      <c r="W4" s="6"/>
      <c r="X4" s="6"/>
      <c r="Y4" s="6"/>
      <c r="Z4" s="6" t="s">
        <v>456</v>
      </c>
      <c r="AA4" s="8" t="s">
        <v>457</v>
      </c>
      <c r="AB4" s="8"/>
      <c r="AC4" s="6"/>
      <c r="AD4" s="6"/>
      <c r="AE4" s="9"/>
    </row>
    <row r="5" spans="1:31" s="10" customFormat="1" ht="31.5" x14ac:dyDescent="0.25">
      <c r="A5" s="3">
        <v>3</v>
      </c>
      <c r="B5" s="3" t="s">
        <v>223</v>
      </c>
      <c r="C5" s="5" t="s">
        <v>224</v>
      </c>
      <c r="D5" s="4" t="s">
        <v>225</v>
      </c>
      <c r="E5" s="6">
        <v>17</v>
      </c>
      <c r="F5" s="6" t="s">
        <v>240</v>
      </c>
      <c r="G5" s="6" t="s">
        <v>241</v>
      </c>
      <c r="H5" s="6" t="s">
        <v>242</v>
      </c>
      <c r="I5" s="7" t="s">
        <v>243</v>
      </c>
      <c r="J5" s="3"/>
      <c r="K5" s="3"/>
      <c r="L5" s="3" t="s">
        <v>98</v>
      </c>
      <c r="M5" s="3"/>
      <c r="N5" s="3"/>
      <c r="O5" s="3"/>
      <c r="P5" s="3"/>
      <c r="Q5" s="6" t="s">
        <v>180</v>
      </c>
      <c r="R5" s="7">
        <v>45673</v>
      </c>
      <c r="S5" s="6"/>
      <c r="T5" s="6"/>
      <c r="U5" s="6"/>
      <c r="V5" s="6"/>
      <c r="W5" s="6"/>
      <c r="X5" s="6"/>
      <c r="Y5" s="6"/>
      <c r="Z5" s="6"/>
      <c r="AA5" s="8"/>
      <c r="AB5" s="8"/>
      <c r="AC5" s="6"/>
      <c r="AD5" s="6"/>
      <c r="AE5" s="9"/>
    </row>
    <row r="6" spans="1:31" s="10" customFormat="1" ht="15.75" x14ac:dyDescent="0.25">
      <c r="A6" s="3">
        <v>4</v>
      </c>
      <c r="B6" s="3" t="s">
        <v>223</v>
      </c>
      <c r="C6" s="5" t="s">
        <v>286</v>
      </c>
      <c r="D6" s="4" t="s">
        <v>287</v>
      </c>
      <c r="E6" s="6">
        <v>4</v>
      </c>
      <c r="F6" s="6">
        <v>76</v>
      </c>
      <c r="G6" s="6">
        <v>714.8</v>
      </c>
      <c r="H6" s="6" t="s">
        <v>75</v>
      </c>
      <c r="I6" s="7">
        <v>45671</v>
      </c>
      <c r="J6" s="3" t="s">
        <v>153</v>
      </c>
      <c r="K6" s="3"/>
      <c r="L6" s="3"/>
      <c r="M6" s="3"/>
      <c r="N6" s="3"/>
      <c r="O6" s="3"/>
      <c r="P6" s="3"/>
      <c r="Q6" s="6" t="s">
        <v>180</v>
      </c>
      <c r="R6" s="7">
        <v>45700</v>
      </c>
      <c r="S6" s="7">
        <v>45700</v>
      </c>
      <c r="T6" s="7">
        <v>45700</v>
      </c>
      <c r="U6" s="6">
        <v>754</v>
      </c>
      <c r="V6" s="11">
        <v>961551</v>
      </c>
      <c r="W6" s="6"/>
      <c r="X6" s="6"/>
      <c r="Y6" s="6"/>
      <c r="Z6" s="6" t="s">
        <v>611</v>
      </c>
      <c r="AA6" s="8" t="s">
        <v>612</v>
      </c>
      <c r="AB6" s="8"/>
      <c r="AC6" s="6"/>
      <c r="AD6" s="6"/>
      <c r="AE6" s="9" t="s">
        <v>288</v>
      </c>
    </row>
    <row r="7" spans="1:31" s="10" customFormat="1" ht="31.5" x14ac:dyDescent="0.25">
      <c r="A7" s="3">
        <v>5</v>
      </c>
      <c r="B7" s="3" t="s">
        <v>223</v>
      </c>
      <c r="C7" s="5" t="s">
        <v>329</v>
      </c>
      <c r="D7" s="4" t="s">
        <v>330</v>
      </c>
      <c r="E7" s="6">
        <v>42</v>
      </c>
      <c r="F7" s="6">
        <v>48</v>
      </c>
      <c r="G7" s="6">
        <v>1701.6</v>
      </c>
      <c r="H7" s="6" t="s">
        <v>75</v>
      </c>
      <c r="I7" s="7">
        <v>45677</v>
      </c>
      <c r="J7" s="3" t="s">
        <v>76</v>
      </c>
      <c r="K7" s="3"/>
      <c r="L7" s="3"/>
      <c r="M7" s="3"/>
      <c r="N7" s="3"/>
      <c r="O7" s="3"/>
      <c r="P7" s="3"/>
      <c r="Q7" s="6" t="s">
        <v>180</v>
      </c>
      <c r="R7" s="7">
        <v>45702</v>
      </c>
      <c r="S7" s="7">
        <v>45705</v>
      </c>
      <c r="T7" s="7">
        <v>45705</v>
      </c>
      <c r="U7" s="8">
        <v>831</v>
      </c>
      <c r="V7" s="11">
        <v>1019155</v>
      </c>
      <c r="W7" s="6"/>
      <c r="X7" s="6"/>
      <c r="Y7" s="6"/>
      <c r="Z7" s="6" t="s">
        <v>1619</v>
      </c>
      <c r="AA7" s="8" t="s">
        <v>1624</v>
      </c>
      <c r="AB7" s="8" t="s">
        <v>1620</v>
      </c>
      <c r="AC7" s="6"/>
      <c r="AD7" s="6"/>
      <c r="AE7" s="9"/>
    </row>
    <row r="8" spans="1:31" ht="16.5" x14ac:dyDescent="0.25">
      <c r="A8" s="12"/>
      <c r="B8" s="73" t="s">
        <v>365</v>
      </c>
      <c r="C8" s="74"/>
      <c r="D8" s="74"/>
      <c r="E8" s="74"/>
      <c r="F8" s="74"/>
      <c r="G8" s="74"/>
      <c r="H8" s="75"/>
      <c r="I8" s="13"/>
      <c r="J8" s="14">
        <f>COUNTIF(J3:J7,"CT")+COUNTIF(J3:J7,"CQ")+COUNTIF(J3:J7,"TK")</f>
        <v>2</v>
      </c>
      <c r="K8" s="14">
        <f>COUNTIF(K3:K7,"CMĐ")</f>
        <v>2</v>
      </c>
      <c r="L8" s="14">
        <f>COUNTIF(L3:L7,"XMDT")+COUNTIF(L3:L7,"Mốc")</f>
        <v>1</v>
      </c>
      <c r="M8" s="14">
        <f>COUNTIF(M7,"THÁn")</f>
        <v>0</v>
      </c>
      <c r="N8" s="14">
        <f>COUNTIF(N7,"TÒA")</f>
        <v>0</v>
      </c>
      <c r="O8" s="14">
        <f>COUNTIF(O3:O7,"Cấp GCN")</f>
        <v>0</v>
      </c>
      <c r="P8" s="14">
        <f>COUNTIF(O3:O7,"SHN")</f>
        <v>0</v>
      </c>
      <c r="Q8" s="15"/>
      <c r="R8" s="13"/>
      <c r="S8" s="15"/>
      <c r="T8" s="15"/>
      <c r="U8" s="16"/>
      <c r="V8" s="11"/>
      <c r="W8" s="17"/>
      <c r="X8" s="2"/>
      <c r="AD8" s="14">
        <f>COUNTIF(AD7,"kt")</f>
        <v>0</v>
      </c>
    </row>
    <row r="9" spans="1:31" s="10" customFormat="1" ht="31.5" x14ac:dyDescent="0.25">
      <c r="A9" s="3">
        <v>6</v>
      </c>
      <c r="B9" s="3" t="s">
        <v>223</v>
      </c>
      <c r="C9" s="5" t="s">
        <v>435</v>
      </c>
      <c r="D9" s="4" t="s">
        <v>436</v>
      </c>
      <c r="E9" s="6">
        <v>12</v>
      </c>
      <c r="F9" s="6">
        <v>244</v>
      </c>
      <c r="G9" s="6">
        <v>232.5</v>
      </c>
      <c r="H9" s="6" t="s">
        <v>75</v>
      </c>
      <c r="I9" s="7">
        <v>45698</v>
      </c>
      <c r="J9" s="3"/>
      <c r="K9" s="3"/>
      <c r="L9" s="3"/>
      <c r="M9" s="3"/>
      <c r="N9" s="3"/>
      <c r="O9" s="3"/>
      <c r="P9" s="3" t="s">
        <v>52</v>
      </c>
      <c r="Q9" s="6" t="s">
        <v>180</v>
      </c>
      <c r="R9" s="7">
        <v>45716</v>
      </c>
      <c r="S9" s="7">
        <v>45720</v>
      </c>
      <c r="T9" s="7">
        <v>45720</v>
      </c>
      <c r="U9" s="6">
        <v>1204</v>
      </c>
      <c r="V9" s="11">
        <v>2125468</v>
      </c>
      <c r="W9" s="6"/>
      <c r="X9" s="6"/>
      <c r="Y9" s="6"/>
      <c r="Z9" s="6"/>
      <c r="AA9" s="8"/>
      <c r="AB9" s="8"/>
      <c r="AC9" s="6" t="s">
        <v>834</v>
      </c>
      <c r="AD9" s="6"/>
      <c r="AE9" s="9"/>
    </row>
    <row r="10" spans="1:31" s="10" customFormat="1" ht="31.5" x14ac:dyDescent="0.25">
      <c r="A10" s="3">
        <v>7</v>
      </c>
      <c r="B10" s="3" t="s">
        <v>223</v>
      </c>
      <c r="C10" s="5" t="s">
        <v>467</v>
      </c>
      <c r="D10" s="4" t="s">
        <v>466</v>
      </c>
      <c r="E10" s="6">
        <v>29</v>
      </c>
      <c r="F10" s="6">
        <v>224</v>
      </c>
      <c r="G10" s="6">
        <v>729.2</v>
      </c>
      <c r="H10" s="6" t="s">
        <v>51</v>
      </c>
      <c r="I10" s="7">
        <v>45699</v>
      </c>
      <c r="J10" s="3"/>
      <c r="K10" s="3" t="s">
        <v>62</v>
      </c>
      <c r="L10" s="3"/>
      <c r="M10" s="3"/>
      <c r="N10" s="3"/>
      <c r="O10" s="3"/>
      <c r="P10" s="3"/>
      <c r="Q10" s="6" t="s">
        <v>180</v>
      </c>
      <c r="R10" s="7">
        <v>45715</v>
      </c>
      <c r="S10" s="7">
        <v>45720</v>
      </c>
      <c r="T10" s="7">
        <v>45720</v>
      </c>
      <c r="U10" s="6">
        <v>1196</v>
      </c>
      <c r="V10" s="11">
        <v>961551</v>
      </c>
      <c r="W10" s="6"/>
      <c r="X10" s="6"/>
      <c r="Y10" s="6"/>
      <c r="Z10" s="6" t="s">
        <v>1665</v>
      </c>
      <c r="AA10" s="8" t="s">
        <v>1666</v>
      </c>
      <c r="AB10" s="8"/>
      <c r="AC10" s="6"/>
      <c r="AD10" s="6"/>
      <c r="AE10" s="9"/>
    </row>
    <row r="11" spans="1:31" s="10" customFormat="1" ht="31.5" x14ac:dyDescent="0.25">
      <c r="A11" s="3">
        <v>8</v>
      </c>
      <c r="B11" s="3" t="s">
        <v>223</v>
      </c>
      <c r="C11" s="5" t="s">
        <v>531</v>
      </c>
      <c r="D11" s="4"/>
      <c r="E11" s="6">
        <v>12</v>
      </c>
      <c r="F11" s="6">
        <v>141</v>
      </c>
      <c r="G11" s="6">
        <v>655.8</v>
      </c>
      <c r="H11" s="6" t="s">
        <v>75</v>
      </c>
      <c r="I11" s="7">
        <v>45702</v>
      </c>
      <c r="J11" s="3" t="s">
        <v>153</v>
      </c>
      <c r="K11" s="3"/>
      <c r="L11" s="3"/>
      <c r="M11" s="3"/>
      <c r="N11" s="3"/>
      <c r="O11" s="3"/>
      <c r="P11" s="3"/>
      <c r="Q11" s="6" t="s">
        <v>180</v>
      </c>
      <c r="R11" s="7">
        <v>45721</v>
      </c>
      <c r="S11" s="7">
        <v>45727</v>
      </c>
      <c r="T11" s="7">
        <v>45727</v>
      </c>
      <c r="U11" s="6">
        <v>1393</v>
      </c>
      <c r="V11" s="11">
        <v>2884653</v>
      </c>
      <c r="W11" s="6"/>
      <c r="X11" s="6"/>
      <c r="Y11" s="6"/>
      <c r="Z11" s="6" t="s">
        <v>1088</v>
      </c>
      <c r="AA11" s="8" t="s">
        <v>1089</v>
      </c>
      <c r="AB11" s="8"/>
      <c r="AC11" s="6"/>
      <c r="AD11" s="6"/>
      <c r="AE11" s="9" t="s">
        <v>533</v>
      </c>
    </row>
    <row r="12" spans="1:31" s="10" customFormat="1" ht="31.5" x14ac:dyDescent="0.25">
      <c r="A12" s="3">
        <v>9</v>
      </c>
      <c r="B12" s="3" t="s">
        <v>223</v>
      </c>
      <c r="C12" s="5" t="s">
        <v>532</v>
      </c>
      <c r="D12" s="4"/>
      <c r="E12" s="6">
        <v>11</v>
      </c>
      <c r="F12" s="6">
        <v>94</v>
      </c>
      <c r="G12" s="6">
        <v>5384.4</v>
      </c>
      <c r="H12" s="6" t="s">
        <v>51</v>
      </c>
      <c r="I12" s="7">
        <v>45702</v>
      </c>
      <c r="J12" s="3"/>
      <c r="K12" s="3" t="s">
        <v>62</v>
      </c>
      <c r="L12" s="3"/>
      <c r="M12" s="3"/>
      <c r="N12" s="3"/>
      <c r="O12" s="3"/>
      <c r="P12" s="3"/>
      <c r="Q12" s="6" t="s">
        <v>180</v>
      </c>
      <c r="R12" s="7">
        <v>45709</v>
      </c>
      <c r="S12" s="7">
        <v>45726</v>
      </c>
      <c r="T12" s="7">
        <v>45726</v>
      </c>
      <c r="U12" s="6">
        <v>1324</v>
      </c>
      <c r="V12" s="11">
        <v>2496658</v>
      </c>
      <c r="W12" s="6"/>
      <c r="X12" s="6"/>
      <c r="Y12" s="6"/>
      <c r="Z12" s="6" t="s">
        <v>1540</v>
      </c>
      <c r="AA12" s="8" t="s">
        <v>1541</v>
      </c>
      <c r="AB12" s="8"/>
      <c r="AC12" s="6"/>
      <c r="AD12" s="6"/>
      <c r="AE12" s="9" t="s">
        <v>533</v>
      </c>
    </row>
    <row r="13" spans="1:31" s="10" customFormat="1" ht="63" x14ac:dyDescent="0.25">
      <c r="A13" s="3">
        <v>10</v>
      </c>
      <c r="B13" s="3" t="s">
        <v>223</v>
      </c>
      <c r="C13" s="24" t="s">
        <v>551</v>
      </c>
      <c r="D13" s="25" t="s">
        <v>552</v>
      </c>
      <c r="E13" s="3">
        <v>7</v>
      </c>
      <c r="F13" s="3">
        <v>210</v>
      </c>
      <c r="G13" s="3">
        <v>4525.2</v>
      </c>
      <c r="H13" s="3" t="s">
        <v>110</v>
      </c>
      <c r="I13" s="28">
        <v>45009</v>
      </c>
      <c r="J13" s="21"/>
      <c r="K13" s="21"/>
      <c r="L13" s="3"/>
      <c r="M13" s="3"/>
      <c r="N13" s="3"/>
      <c r="O13" s="3"/>
      <c r="P13" s="3"/>
      <c r="Q13" s="3" t="s">
        <v>553</v>
      </c>
      <c r="R13" s="21">
        <v>45028</v>
      </c>
      <c r="S13" s="24" t="s">
        <v>554</v>
      </c>
      <c r="T13" s="27" t="s">
        <v>555</v>
      </c>
      <c r="U13" s="3"/>
      <c r="V13" s="21"/>
      <c r="W13" s="3"/>
      <c r="X13" s="6"/>
      <c r="Y13" s="6"/>
      <c r="Z13" s="3" t="s">
        <v>556</v>
      </c>
      <c r="AA13" s="8" t="s">
        <v>563</v>
      </c>
      <c r="AB13" s="26" t="s">
        <v>557</v>
      </c>
      <c r="AC13" s="6"/>
      <c r="AD13" s="6"/>
      <c r="AE13" s="9"/>
    </row>
    <row r="14" spans="1:31" s="10" customFormat="1" ht="31.5" x14ac:dyDescent="0.25">
      <c r="A14" s="3">
        <v>11</v>
      </c>
      <c r="B14" s="3" t="s">
        <v>223</v>
      </c>
      <c r="C14" s="5" t="s">
        <v>568</v>
      </c>
      <c r="D14" s="4"/>
      <c r="E14" s="6">
        <v>42</v>
      </c>
      <c r="F14" s="6">
        <v>102</v>
      </c>
      <c r="G14" s="6">
        <v>2096.6</v>
      </c>
      <c r="H14" s="6" t="s">
        <v>199</v>
      </c>
      <c r="I14" s="7">
        <v>45705</v>
      </c>
      <c r="J14" s="3"/>
      <c r="K14" s="3"/>
      <c r="L14" s="3" t="s">
        <v>98</v>
      </c>
      <c r="M14" s="3"/>
      <c r="N14" s="3"/>
      <c r="O14" s="3"/>
      <c r="P14" s="3"/>
      <c r="Q14" s="3" t="s">
        <v>553</v>
      </c>
      <c r="R14" s="7">
        <v>45713</v>
      </c>
      <c r="S14" s="7">
        <v>45726</v>
      </c>
      <c r="T14" s="7">
        <v>45726</v>
      </c>
      <c r="U14" s="6">
        <v>1343</v>
      </c>
      <c r="V14" s="11">
        <v>2060577</v>
      </c>
      <c r="W14" s="6"/>
      <c r="X14" s="6"/>
      <c r="Y14" s="6"/>
      <c r="Z14" s="6"/>
      <c r="AA14" s="8"/>
      <c r="AB14" s="8"/>
      <c r="AC14" s="6" t="s">
        <v>569</v>
      </c>
      <c r="AD14" s="6"/>
      <c r="AE14" s="9"/>
    </row>
    <row r="15" spans="1:31" s="10" customFormat="1" ht="31.5" x14ac:dyDescent="0.25">
      <c r="A15" s="3">
        <v>12</v>
      </c>
      <c r="B15" s="3" t="s">
        <v>223</v>
      </c>
      <c r="C15" s="5" t="s">
        <v>570</v>
      </c>
      <c r="D15" s="4" t="s">
        <v>571</v>
      </c>
      <c r="E15" s="6">
        <v>24</v>
      </c>
      <c r="F15" s="6">
        <v>148</v>
      </c>
      <c r="G15" s="6">
        <v>205.3</v>
      </c>
      <c r="H15" s="6" t="s">
        <v>75</v>
      </c>
      <c r="I15" s="7">
        <v>45705</v>
      </c>
      <c r="J15" s="3"/>
      <c r="K15" s="3"/>
      <c r="L15" s="3"/>
      <c r="M15" s="3"/>
      <c r="N15" s="3"/>
      <c r="O15" s="3"/>
      <c r="P15" s="3" t="s">
        <v>52</v>
      </c>
      <c r="Q15" s="6" t="s">
        <v>180</v>
      </c>
      <c r="R15" s="7">
        <v>45716</v>
      </c>
      <c r="S15" s="7">
        <v>45722</v>
      </c>
      <c r="T15" s="7">
        <v>45722</v>
      </c>
      <c r="U15" s="6">
        <v>1262</v>
      </c>
      <c r="V15" s="11">
        <v>1682662</v>
      </c>
      <c r="W15" s="6"/>
      <c r="X15" s="6"/>
      <c r="Y15" s="6"/>
      <c r="Z15" s="6"/>
      <c r="AA15" s="8"/>
      <c r="AB15" s="8" t="s">
        <v>898</v>
      </c>
      <c r="AC15" s="6"/>
      <c r="AD15" s="6"/>
      <c r="AE15" s="9"/>
    </row>
    <row r="16" spans="1:31" s="10" customFormat="1" ht="15.75" x14ac:dyDescent="0.25">
      <c r="A16" s="3">
        <v>13</v>
      </c>
      <c r="B16" s="3" t="s">
        <v>223</v>
      </c>
      <c r="C16" s="5" t="s">
        <v>604</v>
      </c>
      <c r="D16" s="4" t="s">
        <v>605</v>
      </c>
      <c r="E16" s="6">
        <v>44</v>
      </c>
      <c r="F16" s="6">
        <v>116</v>
      </c>
      <c r="G16" s="6">
        <v>268.5</v>
      </c>
      <c r="H16" s="6" t="s">
        <v>51</v>
      </c>
      <c r="I16" s="7">
        <v>45707</v>
      </c>
      <c r="J16" s="3"/>
      <c r="K16" s="3" t="s">
        <v>62</v>
      </c>
      <c r="L16" s="3"/>
      <c r="M16" s="3"/>
      <c r="N16" s="3"/>
      <c r="O16" s="3"/>
      <c r="P16" s="3"/>
      <c r="Q16" s="6" t="s">
        <v>180</v>
      </c>
      <c r="R16" s="7"/>
      <c r="S16" s="7"/>
      <c r="T16" s="7"/>
      <c r="U16" s="6"/>
      <c r="V16" s="11"/>
      <c r="W16" s="6"/>
      <c r="X16" s="6"/>
      <c r="Y16" s="6"/>
      <c r="Z16" s="6"/>
      <c r="AA16" s="8"/>
      <c r="AB16" s="8"/>
      <c r="AC16" s="6"/>
      <c r="AD16" s="6"/>
      <c r="AE16" s="9"/>
    </row>
    <row r="17" spans="1:31" s="10" customFormat="1" ht="31.5" x14ac:dyDescent="0.25">
      <c r="A17" s="3">
        <v>14</v>
      </c>
      <c r="B17" s="3" t="s">
        <v>223</v>
      </c>
      <c r="C17" s="5" t="s">
        <v>628</v>
      </c>
      <c r="D17" s="4" t="s">
        <v>629</v>
      </c>
      <c r="E17" s="6">
        <v>29</v>
      </c>
      <c r="F17" s="6">
        <v>219</v>
      </c>
      <c r="G17" s="6">
        <v>507.1</v>
      </c>
      <c r="H17" s="6" t="s">
        <v>51</v>
      </c>
      <c r="I17" s="7">
        <v>45708</v>
      </c>
      <c r="J17" s="3"/>
      <c r="K17" s="3" t="s">
        <v>62</v>
      </c>
      <c r="L17" s="3"/>
      <c r="M17" s="3"/>
      <c r="N17" s="3"/>
      <c r="O17" s="3"/>
      <c r="P17" s="3"/>
      <c r="Q17" s="6" t="s">
        <v>180</v>
      </c>
      <c r="R17" s="7">
        <v>45721</v>
      </c>
      <c r="S17" s="7">
        <v>45727</v>
      </c>
      <c r="T17" s="7">
        <v>45727</v>
      </c>
      <c r="U17" s="6">
        <v>1359</v>
      </c>
      <c r="V17" s="11">
        <v>961551</v>
      </c>
      <c r="W17" s="6"/>
      <c r="X17" s="6"/>
      <c r="Y17" s="6"/>
      <c r="Z17" s="6" t="s">
        <v>1494</v>
      </c>
      <c r="AA17" s="8" t="s">
        <v>1495</v>
      </c>
      <c r="AB17" s="8"/>
      <c r="AC17" s="6"/>
      <c r="AD17" s="6"/>
      <c r="AE17" s="9"/>
    </row>
    <row r="18" spans="1:31" s="10" customFormat="1" ht="31.5" x14ac:dyDescent="0.25">
      <c r="A18" s="3">
        <v>15</v>
      </c>
      <c r="B18" s="3" t="s">
        <v>223</v>
      </c>
      <c r="C18" s="5" t="s">
        <v>640</v>
      </c>
      <c r="D18" s="4" t="s">
        <v>641</v>
      </c>
      <c r="E18" s="6">
        <v>6</v>
      </c>
      <c r="F18" s="6">
        <v>110</v>
      </c>
      <c r="G18" s="6">
        <v>731.6</v>
      </c>
      <c r="H18" s="6" t="s">
        <v>75</v>
      </c>
      <c r="I18" s="7">
        <v>45709</v>
      </c>
      <c r="J18" s="3" t="s">
        <v>76</v>
      </c>
      <c r="K18" s="3"/>
      <c r="L18" s="3"/>
      <c r="M18" s="3"/>
      <c r="N18" s="3"/>
      <c r="O18" s="3"/>
      <c r="P18" s="3"/>
      <c r="Q18" s="6" t="s">
        <v>180</v>
      </c>
      <c r="R18" s="7">
        <v>45716</v>
      </c>
      <c r="S18" s="7">
        <v>45721</v>
      </c>
      <c r="T18" s="7">
        <v>45721</v>
      </c>
      <c r="U18" s="6">
        <v>1244</v>
      </c>
      <c r="V18" s="11">
        <v>961551</v>
      </c>
      <c r="W18" s="6"/>
      <c r="X18" s="6"/>
      <c r="Y18" s="6"/>
      <c r="Z18" s="6" t="s">
        <v>1128</v>
      </c>
      <c r="AA18" s="8" t="s">
        <v>1160</v>
      </c>
      <c r="AB18" s="8" t="s">
        <v>1129</v>
      </c>
      <c r="AC18" s="6"/>
      <c r="AD18" s="6"/>
      <c r="AE18" s="9"/>
    </row>
    <row r="19" spans="1:31" ht="16.5" x14ac:dyDescent="0.25">
      <c r="A19" s="12"/>
      <c r="B19" s="73" t="s">
        <v>706</v>
      </c>
      <c r="C19" s="74"/>
      <c r="D19" s="74"/>
      <c r="E19" s="74"/>
      <c r="F19" s="74"/>
      <c r="G19" s="74"/>
      <c r="H19" s="75"/>
      <c r="I19" s="13"/>
      <c r="J19" s="14">
        <f>COUNTIF(J9:J18,"CQ")+COUNTIF(J9:J18,"CQ")+COUNTIF(J9:J18,"TK")</f>
        <v>2</v>
      </c>
      <c r="K19" s="14">
        <f>COUNTIF(K9:K18,"CMĐ")</f>
        <v>4</v>
      </c>
      <c r="L19" s="14">
        <f>COUNTIF(L9:L18,"XMDT")+COUNTIF(L9:L18,"Mốc")</f>
        <v>1</v>
      </c>
      <c r="M19" s="14">
        <f>COUNTIF(M18,"THÁn")</f>
        <v>0</v>
      </c>
      <c r="N19" s="14">
        <f>COUNTIF(N18,"TÒA")</f>
        <v>0</v>
      </c>
      <c r="O19" s="14">
        <f>COUNTIF(O9:O18,"Cấp GCN")</f>
        <v>0</v>
      </c>
      <c r="P19" s="14">
        <f>COUNTIF(P9:P18,"SHN")</f>
        <v>2</v>
      </c>
      <c r="Q19" s="15"/>
      <c r="R19" s="13"/>
      <c r="S19" s="15"/>
      <c r="T19" s="15"/>
      <c r="U19" s="16"/>
      <c r="V19" s="11"/>
      <c r="W19" s="17"/>
      <c r="X19" s="2"/>
      <c r="AD19" s="14">
        <f>COUNTIF(AD18,"kt")</f>
        <v>0</v>
      </c>
    </row>
    <row r="20" spans="1:31" s="10" customFormat="1" ht="31.5" x14ac:dyDescent="0.25">
      <c r="A20" s="3">
        <v>16</v>
      </c>
      <c r="B20" s="3" t="s">
        <v>223</v>
      </c>
      <c r="C20" s="5" t="s">
        <v>707</v>
      </c>
      <c r="D20" s="4" t="s">
        <v>708</v>
      </c>
      <c r="E20" s="6">
        <v>34</v>
      </c>
      <c r="F20" s="6">
        <v>56</v>
      </c>
      <c r="G20" s="6">
        <v>405.9</v>
      </c>
      <c r="H20" s="6" t="s">
        <v>51</v>
      </c>
      <c r="I20" s="7">
        <v>45713</v>
      </c>
      <c r="J20" s="3"/>
      <c r="K20" s="3" t="s">
        <v>62</v>
      </c>
      <c r="L20" s="3"/>
      <c r="M20" s="3"/>
      <c r="N20" s="3"/>
      <c r="O20" s="3"/>
      <c r="P20" s="3"/>
      <c r="Q20" s="6" t="s">
        <v>180</v>
      </c>
      <c r="R20" s="7">
        <v>45716</v>
      </c>
      <c r="S20" s="7">
        <v>45727</v>
      </c>
      <c r="T20" s="7">
        <v>45727</v>
      </c>
      <c r="U20" s="6">
        <v>1363</v>
      </c>
      <c r="V20" s="11">
        <v>961551</v>
      </c>
      <c r="W20" s="6"/>
      <c r="X20" s="6"/>
      <c r="Y20" s="6"/>
      <c r="Z20" s="6" t="s">
        <v>1540</v>
      </c>
      <c r="AA20" s="8" t="s">
        <v>1548</v>
      </c>
      <c r="AB20" s="8"/>
      <c r="AC20" s="6"/>
      <c r="AD20" s="6"/>
      <c r="AE20" s="9"/>
    </row>
    <row r="21" spans="1:31" s="10" customFormat="1" ht="31.5" x14ac:dyDescent="0.25">
      <c r="A21" s="3">
        <v>17</v>
      </c>
      <c r="B21" s="3" t="s">
        <v>223</v>
      </c>
      <c r="C21" s="5" t="s">
        <v>747</v>
      </c>
      <c r="D21" s="4" t="s">
        <v>748</v>
      </c>
      <c r="E21" s="6">
        <v>15</v>
      </c>
      <c r="F21" s="6">
        <v>112</v>
      </c>
      <c r="G21" s="6">
        <v>967.1</v>
      </c>
      <c r="H21" s="6" t="s">
        <v>75</v>
      </c>
      <c r="I21" s="7">
        <v>45714</v>
      </c>
      <c r="J21" s="3"/>
      <c r="K21" s="3"/>
      <c r="L21" s="3" t="s">
        <v>1</v>
      </c>
      <c r="M21" s="3"/>
      <c r="N21" s="3"/>
      <c r="O21" s="3"/>
      <c r="P21" s="3"/>
      <c r="Q21" s="6" t="s">
        <v>180</v>
      </c>
      <c r="R21" s="7">
        <v>45757</v>
      </c>
      <c r="S21" s="7">
        <v>45758</v>
      </c>
      <c r="T21" s="7">
        <v>45758</v>
      </c>
      <c r="U21" s="6">
        <v>2183</v>
      </c>
      <c r="V21" s="11">
        <v>1248329</v>
      </c>
      <c r="W21" s="6"/>
      <c r="X21" s="6"/>
      <c r="Y21" s="6"/>
      <c r="Z21" s="6"/>
      <c r="AA21" s="8"/>
      <c r="AB21" s="8"/>
      <c r="AC21" s="6"/>
      <c r="AD21" s="6"/>
      <c r="AE21" s="9"/>
    </row>
    <row r="22" spans="1:31" s="10" customFormat="1" ht="15.75" x14ac:dyDescent="0.25">
      <c r="A22" s="3">
        <v>18</v>
      </c>
      <c r="B22" s="3" t="s">
        <v>223</v>
      </c>
      <c r="C22" s="5" t="s">
        <v>785</v>
      </c>
      <c r="D22" s="4"/>
      <c r="E22" s="6">
        <v>11</v>
      </c>
      <c r="F22" s="6">
        <v>99</v>
      </c>
      <c r="G22" s="6">
        <v>3879.6</v>
      </c>
      <c r="H22" s="6" t="s">
        <v>51</v>
      </c>
      <c r="I22" s="7">
        <v>45716</v>
      </c>
      <c r="J22" s="3"/>
      <c r="K22" s="3" t="s">
        <v>62</v>
      </c>
      <c r="L22" s="3"/>
      <c r="M22" s="3"/>
      <c r="N22" s="3"/>
      <c r="O22" s="3"/>
      <c r="P22" s="3"/>
      <c r="Q22" s="6" t="s">
        <v>180</v>
      </c>
      <c r="R22" s="7">
        <v>45721</v>
      </c>
      <c r="S22" s="7">
        <v>45726</v>
      </c>
      <c r="T22" s="7">
        <v>45726</v>
      </c>
      <c r="U22" s="6">
        <v>1323</v>
      </c>
      <c r="V22" s="11">
        <v>2631612</v>
      </c>
      <c r="W22" s="6"/>
      <c r="X22" s="6"/>
      <c r="Y22" s="6"/>
      <c r="Z22" s="6"/>
      <c r="AA22" s="8"/>
      <c r="AB22" s="8"/>
      <c r="AC22" s="6"/>
      <c r="AD22" s="6"/>
      <c r="AE22" s="9"/>
    </row>
    <row r="23" spans="1:31" s="10" customFormat="1" ht="64.5" customHeight="1" x14ac:dyDescent="0.25">
      <c r="A23" s="3">
        <v>19</v>
      </c>
      <c r="B23" s="3" t="s">
        <v>223</v>
      </c>
      <c r="C23" s="5" t="s">
        <v>804</v>
      </c>
      <c r="D23" s="4" t="s">
        <v>805</v>
      </c>
      <c r="E23" s="6">
        <v>6</v>
      </c>
      <c r="F23" s="6">
        <v>321</v>
      </c>
      <c r="G23" s="6">
        <v>104.9</v>
      </c>
      <c r="H23" s="6" t="s">
        <v>55</v>
      </c>
      <c r="I23" s="7">
        <v>45719</v>
      </c>
      <c r="J23" s="3"/>
      <c r="K23" s="3"/>
      <c r="L23" s="3" t="s">
        <v>98</v>
      </c>
      <c r="M23" s="3"/>
      <c r="N23" s="3"/>
      <c r="O23" s="3"/>
      <c r="P23" s="3"/>
      <c r="Q23" s="6" t="s">
        <v>180</v>
      </c>
      <c r="R23" s="7">
        <v>45723</v>
      </c>
      <c r="S23" s="7">
        <v>45728</v>
      </c>
      <c r="T23" s="7">
        <v>45728</v>
      </c>
      <c r="U23" s="6">
        <v>1413</v>
      </c>
      <c r="V23" s="11">
        <v>2583973</v>
      </c>
      <c r="W23" s="6"/>
      <c r="X23" s="6"/>
      <c r="Y23" s="6"/>
      <c r="Z23" s="6"/>
      <c r="AA23" s="8"/>
      <c r="AB23" s="8"/>
      <c r="AC23" s="6" t="s">
        <v>806</v>
      </c>
      <c r="AD23" s="6"/>
      <c r="AE23" s="9"/>
    </row>
    <row r="24" spans="1:31" s="10" customFormat="1" ht="15.75" x14ac:dyDescent="0.25">
      <c r="A24" s="3">
        <v>20</v>
      </c>
      <c r="B24" s="3" t="s">
        <v>223</v>
      </c>
      <c r="C24" s="5" t="s">
        <v>813</v>
      </c>
      <c r="D24" s="4" t="s">
        <v>814</v>
      </c>
      <c r="E24" s="6">
        <v>21</v>
      </c>
      <c r="F24" s="6">
        <v>53</v>
      </c>
      <c r="G24" s="6">
        <v>1228.5999999999999</v>
      </c>
      <c r="H24" s="6" t="s">
        <v>75</v>
      </c>
      <c r="I24" s="7">
        <v>45719</v>
      </c>
      <c r="J24" s="3"/>
      <c r="K24" s="3" t="s">
        <v>62</v>
      </c>
      <c r="L24" s="3"/>
      <c r="M24" s="3"/>
      <c r="N24" s="3"/>
      <c r="O24" s="3"/>
      <c r="P24" s="3"/>
      <c r="Q24" s="6" t="s">
        <v>180</v>
      </c>
      <c r="R24" s="7">
        <v>45743</v>
      </c>
      <c r="S24" s="7">
        <v>45744</v>
      </c>
      <c r="T24" s="7">
        <v>45744</v>
      </c>
      <c r="U24" s="6">
        <v>1842</v>
      </c>
      <c r="V24" s="11">
        <v>961551</v>
      </c>
      <c r="W24" s="6"/>
      <c r="X24" s="6"/>
      <c r="Y24" s="6"/>
      <c r="Z24" s="6"/>
      <c r="AA24" s="8"/>
      <c r="AB24" s="8"/>
      <c r="AC24" s="6"/>
      <c r="AD24" s="6"/>
      <c r="AE24" s="9"/>
    </row>
    <row r="25" spans="1:31" s="10" customFormat="1" ht="31.5" x14ac:dyDescent="0.25">
      <c r="A25" s="3">
        <v>21</v>
      </c>
      <c r="B25" s="3" t="s">
        <v>223</v>
      </c>
      <c r="C25" s="5" t="s">
        <v>819</v>
      </c>
      <c r="D25" s="4" t="s">
        <v>820</v>
      </c>
      <c r="E25" s="6">
        <v>22</v>
      </c>
      <c r="F25" s="6">
        <v>9</v>
      </c>
      <c r="G25" s="6">
        <v>673.4</v>
      </c>
      <c r="H25" s="6" t="s">
        <v>75</v>
      </c>
      <c r="I25" s="7" t="s">
        <v>1660</v>
      </c>
      <c r="J25" s="3"/>
      <c r="K25" s="3"/>
      <c r="L25" s="3" t="s">
        <v>1</v>
      </c>
      <c r="M25" s="3"/>
      <c r="N25" s="3"/>
      <c r="O25" s="3"/>
      <c r="P25" s="3"/>
      <c r="Q25" s="6" t="s">
        <v>180</v>
      </c>
      <c r="R25" s="7">
        <v>45813</v>
      </c>
      <c r="S25" s="7">
        <v>45813</v>
      </c>
      <c r="T25" s="7">
        <v>45813</v>
      </c>
      <c r="U25" s="20">
        <v>1292</v>
      </c>
      <c r="V25" s="11">
        <v>1019155</v>
      </c>
      <c r="W25" s="6"/>
      <c r="X25" s="6"/>
      <c r="Y25" s="6"/>
      <c r="Z25" s="6"/>
      <c r="AA25" s="8"/>
      <c r="AB25" s="8"/>
      <c r="AC25" s="6" t="s">
        <v>2387</v>
      </c>
      <c r="AD25" s="6"/>
      <c r="AE25" s="9"/>
    </row>
    <row r="26" spans="1:31" s="10" customFormat="1" ht="31.5" x14ac:dyDescent="0.25">
      <c r="A26" s="3">
        <v>22</v>
      </c>
      <c r="B26" s="3" t="s">
        <v>223</v>
      </c>
      <c r="C26" s="5" t="s">
        <v>850</v>
      </c>
      <c r="D26" s="4" t="s">
        <v>851</v>
      </c>
      <c r="E26" s="6">
        <v>10</v>
      </c>
      <c r="F26" s="6">
        <v>413</v>
      </c>
      <c r="G26" s="6">
        <v>99.9</v>
      </c>
      <c r="H26" s="6" t="s">
        <v>55</v>
      </c>
      <c r="I26" s="7">
        <v>45720</v>
      </c>
      <c r="J26" s="3" t="s">
        <v>76</v>
      </c>
      <c r="K26" s="3"/>
      <c r="L26" s="3"/>
      <c r="M26" s="3"/>
      <c r="N26" s="3"/>
      <c r="O26" s="3"/>
      <c r="P26" s="3"/>
      <c r="Q26" s="6" t="s">
        <v>180</v>
      </c>
      <c r="R26" s="7">
        <v>45735</v>
      </c>
      <c r="S26" s="7">
        <v>45736</v>
      </c>
      <c r="T26" s="7">
        <v>45736</v>
      </c>
      <c r="U26" s="6">
        <v>1618</v>
      </c>
      <c r="V26" s="11">
        <v>809727</v>
      </c>
      <c r="W26" s="6"/>
      <c r="X26" s="6"/>
      <c r="Y26" s="6"/>
      <c r="Z26" s="6" t="s">
        <v>1159</v>
      </c>
      <c r="AA26" s="8" t="s">
        <v>1160</v>
      </c>
      <c r="AB26" s="8"/>
      <c r="AC26" s="6"/>
      <c r="AD26" s="6"/>
      <c r="AE26" s="9"/>
    </row>
    <row r="27" spans="1:31" s="10" customFormat="1" ht="31.5" x14ac:dyDescent="0.25">
      <c r="A27" s="3">
        <v>23</v>
      </c>
      <c r="B27" s="3" t="s">
        <v>223</v>
      </c>
      <c r="C27" s="5" t="s">
        <v>861</v>
      </c>
      <c r="D27" s="4" t="s">
        <v>862</v>
      </c>
      <c r="E27" s="6">
        <v>46</v>
      </c>
      <c r="F27" s="6" t="s">
        <v>863</v>
      </c>
      <c r="G27" s="6" t="s">
        <v>864</v>
      </c>
      <c r="H27" s="6" t="s">
        <v>75</v>
      </c>
      <c r="I27" s="7">
        <v>45721</v>
      </c>
      <c r="J27" s="3"/>
      <c r="K27" s="3"/>
      <c r="L27" s="3"/>
      <c r="M27" s="3"/>
      <c r="N27" s="3"/>
      <c r="O27" s="3"/>
      <c r="P27" s="3" t="s">
        <v>52</v>
      </c>
      <c r="Q27" s="6" t="s">
        <v>180</v>
      </c>
      <c r="R27" s="7"/>
      <c r="S27" s="7"/>
      <c r="T27" s="7"/>
      <c r="U27" s="6"/>
      <c r="V27" s="11"/>
      <c r="W27" s="6"/>
      <c r="X27" s="6"/>
      <c r="Y27" s="6"/>
      <c r="Z27" s="6"/>
      <c r="AA27" s="8"/>
      <c r="AB27" s="8"/>
      <c r="AC27" s="6"/>
      <c r="AD27" s="6"/>
      <c r="AE27" s="9"/>
    </row>
    <row r="28" spans="1:31" s="10" customFormat="1" ht="31.5" x14ac:dyDescent="0.25">
      <c r="A28" s="3">
        <v>24</v>
      </c>
      <c r="B28" s="3" t="s">
        <v>223</v>
      </c>
      <c r="C28" s="5" t="s">
        <v>1371</v>
      </c>
      <c r="D28" s="4" t="s">
        <v>882</v>
      </c>
      <c r="E28" s="6">
        <v>17</v>
      </c>
      <c r="F28" s="6">
        <v>1</v>
      </c>
      <c r="G28" s="6">
        <v>2054.9</v>
      </c>
      <c r="H28" s="6" t="s">
        <v>51</v>
      </c>
      <c r="I28" s="7">
        <v>45722</v>
      </c>
      <c r="J28" s="3"/>
      <c r="K28" s="3" t="s">
        <v>62</v>
      </c>
      <c r="L28" s="3"/>
      <c r="M28" s="3"/>
      <c r="N28" s="3"/>
      <c r="O28" s="3"/>
      <c r="P28" s="3"/>
      <c r="Q28" s="6" t="s">
        <v>180</v>
      </c>
      <c r="R28" s="7">
        <v>45743</v>
      </c>
      <c r="S28" s="7">
        <v>45744</v>
      </c>
      <c r="T28" s="7">
        <v>45744</v>
      </c>
      <c r="U28" s="6">
        <v>1812</v>
      </c>
      <c r="V28" s="11">
        <v>961551</v>
      </c>
      <c r="W28" s="6"/>
      <c r="X28" s="6"/>
      <c r="Y28" s="6"/>
      <c r="Z28" s="6" t="s">
        <v>1814</v>
      </c>
      <c r="AA28" s="8" t="s">
        <v>1815</v>
      </c>
      <c r="AB28" s="8"/>
      <c r="AC28" s="6"/>
      <c r="AD28" s="6"/>
      <c r="AE28" s="9"/>
    </row>
    <row r="29" spans="1:31" s="35" customFormat="1" ht="31.5" x14ac:dyDescent="0.25">
      <c r="A29" s="29">
        <v>25</v>
      </c>
      <c r="B29" s="29" t="s">
        <v>223</v>
      </c>
      <c r="C29" s="30" t="s">
        <v>896</v>
      </c>
      <c r="D29" s="31" t="s">
        <v>897</v>
      </c>
      <c r="E29" s="32">
        <v>43</v>
      </c>
      <c r="F29" s="32">
        <v>92</v>
      </c>
      <c r="G29" s="32">
        <v>684.1</v>
      </c>
      <c r="H29" s="32" t="s">
        <v>75</v>
      </c>
      <c r="I29" s="33">
        <v>45722</v>
      </c>
      <c r="J29" s="29"/>
      <c r="K29" s="29"/>
      <c r="L29" s="29" t="s">
        <v>1</v>
      </c>
      <c r="M29" s="29"/>
      <c r="N29" s="29"/>
      <c r="O29" s="29"/>
      <c r="P29" s="29"/>
      <c r="Q29" s="32" t="s">
        <v>180</v>
      </c>
      <c r="R29" s="33">
        <v>45790</v>
      </c>
      <c r="S29" s="33">
        <v>45790</v>
      </c>
      <c r="T29" s="33">
        <v>45790</v>
      </c>
      <c r="U29" s="32">
        <v>580</v>
      </c>
      <c r="V29" s="34">
        <v>1248329</v>
      </c>
      <c r="W29" s="32"/>
      <c r="X29" s="32"/>
      <c r="Y29" s="32"/>
      <c r="Z29" s="32"/>
      <c r="AA29" s="32"/>
      <c r="AB29" s="32"/>
      <c r="AC29" s="32" t="s">
        <v>2325</v>
      </c>
      <c r="AD29" s="32"/>
    </row>
    <row r="30" spans="1:31" s="10" customFormat="1" ht="63" x14ac:dyDescent="0.25">
      <c r="A30" s="3">
        <v>26</v>
      </c>
      <c r="B30" s="3" t="s">
        <v>223</v>
      </c>
      <c r="C30" s="5" t="s">
        <v>965</v>
      </c>
      <c r="D30" s="4" t="s">
        <v>966</v>
      </c>
      <c r="E30" s="6">
        <v>29</v>
      </c>
      <c r="F30" s="6">
        <v>205</v>
      </c>
      <c r="G30" s="6">
        <v>886</v>
      </c>
      <c r="H30" s="6" t="s">
        <v>51</v>
      </c>
      <c r="I30" s="7">
        <v>45727</v>
      </c>
      <c r="J30" s="3"/>
      <c r="K30" s="3" t="s">
        <v>62</v>
      </c>
      <c r="L30" s="3"/>
      <c r="M30" s="3"/>
      <c r="N30" s="3"/>
      <c r="O30" s="3"/>
      <c r="P30" s="3"/>
      <c r="Q30" s="6" t="s">
        <v>180</v>
      </c>
      <c r="R30" s="7"/>
      <c r="S30" s="7"/>
      <c r="T30" s="7"/>
      <c r="U30" s="6"/>
      <c r="V30" s="11"/>
      <c r="W30" s="6"/>
      <c r="X30" s="6"/>
      <c r="Y30" s="6"/>
      <c r="Z30" s="6"/>
      <c r="AA30" s="8"/>
      <c r="AB30" s="8"/>
      <c r="AC30" s="6" t="s">
        <v>1207</v>
      </c>
      <c r="AD30" s="6"/>
      <c r="AE30" s="9"/>
    </row>
    <row r="31" spans="1:31" s="10" customFormat="1" ht="31.5" x14ac:dyDescent="0.25">
      <c r="A31" s="3">
        <v>27</v>
      </c>
      <c r="B31" s="3" t="s">
        <v>223</v>
      </c>
      <c r="C31" s="5" t="s">
        <v>983</v>
      </c>
      <c r="D31" s="4" t="s">
        <v>984</v>
      </c>
      <c r="E31" s="6">
        <v>45</v>
      </c>
      <c r="F31" s="6">
        <v>6</v>
      </c>
      <c r="G31" s="6">
        <v>3428</v>
      </c>
      <c r="H31" s="6" t="s">
        <v>199</v>
      </c>
      <c r="I31" s="7"/>
      <c r="J31" s="3"/>
      <c r="K31" s="3"/>
      <c r="L31" s="3"/>
      <c r="M31" s="3"/>
      <c r="N31" s="3"/>
      <c r="O31" s="3"/>
      <c r="P31" s="3"/>
      <c r="Q31" s="6" t="s">
        <v>190</v>
      </c>
      <c r="R31" s="7">
        <v>45713</v>
      </c>
      <c r="S31" s="7"/>
      <c r="T31" s="7"/>
      <c r="U31" s="6"/>
      <c r="V31" s="11"/>
      <c r="W31" s="6"/>
      <c r="X31" s="6"/>
      <c r="Y31" s="6"/>
      <c r="Z31" s="6" t="s">
        <v>981</v>
      </c>
      <c r="AA31" s="8" t="s">
        <v>982</v>
      </c>
      <c r="AB31" s="8"/>
      <c r="AC31" s="6"/>
      <c r="AD31" s="6"/>
      <c r="AE31" s="9"/>
    </row>
    <row r="32" spans="1:31" s="10" customFormat="1" ht="31.5" x14ac:dyDescent="0.25">
      <c r="A32" s="3">
        <v>28</v>
      </c>
      <c r="B32" s="3" t="s">
        <v>223</v>
      </c>
      <c r="C32" s="5" t="s">
        <v>987</v>
      </c>
      <c r="D32" s="4" t="s">
        <v>988</v>
      </c>
      <c r="E32" s="6">
        <v>16</v>
      </c>
      <c r="F32" s="6">
        <v>211</v>
      </c>
      <c r="G32" s="6">
        <v>1000.4</v>
      </c>
      <c r="H32" s="6" t="s">
        <v>51</v>
      </c>
      <c r="I32" s="7">
        <v>45728</v>
      </c>
      <c r="J32" s="3"/>
      <c r="K32" s="3" t="s">
        <v>62</v>
      </c>
      <c r="L32" s="3"/>
      <c r="M32" s="3"/>
      <c r="N32" s="3"/>
      <c r="O32" s="3"/>
      <c r="P32" s="3"/>
      <c r="Q32" s="6" t="s">
        <v>180</v>
      </c>
      <c r="R32" s="7">
        <v>45748</v>
      </c>
      <c r="S32" s="7">
        <v>45751</v>
      </c>
      <c r="T32" s="7">
        <v>45751</v>
      </c>
      <c r="U32" s="6">
        <v>2006</v>
      </c>
      <c r="V32" s="11">
        <v>961551</v>
      </c>
      <c r="W32" s="6"/>
      <c r="X32" s="6"/>
      <c r="Y32" s="6"/>
      <c r="Z32" s="6" t="s">
        <v>2072</v>
      </c>
      <c r="AA32" s="8" t="s">
        <v>2073</v>
      </c>
      <c r="AB32" s="8"/>
      <c r="AC32" s="6"/>
      <c r="AD32" s="6"/>
      <c r="AE32" s="9"/>
    </row>
    <row r="33" spans="1:31" s="10" customFormat="1" ht="31.5" x14ac:dyDescent="0.25">
      <c r="A33" s="3">
        <v>29</v>
      </c>
      <c r="B33" s="3" t="s">
        <v>223</v>
      </c>
      <c r="C33" s="5" t="s">
        <v>1010</v>
      </c>
      <c r="D33" s="4"/>
      <c r="E33" s="6">
        <v>7</v>
      </c>
      <c r="F33" s="6">
        <v>404</v>
      </c>
      <c r="G33" s="6">
        <v>201</v>
      </c>
      <c r="H33" s="6" t="s">
        <v>51</v>
      </c>
      <c r="I33" s="7"/>
      <c r="J33" s="3"/>
      <c r="K33" s="3"/>
      <c r="L33" s="3"/>
      <c r="M33" s="3"/>
      <c r="N33" s="3"/>
      <c r="O33" s="3"/>
      <c r="P33" s="3"/>
      <c r="Q33" s="6" t="s">
        <v>190</v>
      </c>
      <c r="R33" s="7">
        <v>45706</v>
      </c>
      <c r="S33" s="7"/>
      <c r="T33" s="7"/>
      <c r="U33" s="6"/>
      <c r="V33" s="11"/>
      <c r="W33" s="6"/>
      <c r="X33" s="6"/>
      <c r="Y33" s="6"/>
      <c r="Z33" s="6" t="s">
        <v>1007</v>
      </c>
      <c r="AA33" s="8" t="s">
        <v>1008</v>
      </c>
      <c r="AB33" s="8"/>
      <c r="AC33" s="6"/>
      <c r="AD33" s="6"/>
      <c r="AE33" s="9"/>
    </row>
    <row r="34" spans="1:31" s="10" customFormat="1" ht="54.75" customHeight="1" x14ac:dyDescent="0.25">
      <c r="A34" s="3">
        <v>30</v>
      </c>
      <c r="B34" s="3" t="s">
        <v>223</v>
      </c>
      <c r="C34" s="5" t="s">
        <v>419</v>
      </c>
      <c r="D34" s="4" t="s">
        <v>420</v>
      </c>
      <c r="E34" s="6">
        <v>3</v>
      </c>
      <c r="F34" s="6" t="s">
        <v>1011</v>
      </c>
      <c r="G34" s="6" t="s">
        <v>1012</v>
      </c>
      <c r="H34" s="6" t="s">
        <v>1013</v>
      </c>
      <c r="I34" s="7">
        <v>45729</v>
      </c>
      <c r="J34" s="3"/>
      <c r="K34" s="3"/>
      <c r="L34" s="3" t="s">
        <v>1</v>
      </c>
      <c r="M34" s="3"/>
      <c r="N34" s="3"/>
      <c r="O34" s="3"/>
      <c r="P34" s="3"/>
      <c r="Q34" s="6" t="s">
        <v>180</v>
      </c>
      <c r="R34" s="7">
        <v>45757</v>
      </c>
      <c r="S34" s="7">
        <v>45758</v>
      </c>
      <c r="T34" s="7">
        <v>45758</v>
      </c>
      <c r="U34" s="6">
        <v>2188</v>
      </c>
      <c r="V34" s="11">
        <v>1248329</v>
      </c>
      <c r="W34" s="6"/>
      <c r="X34" s="6"/>
      <c r="Y34" s="6"/>
      <c r="Z34" s="6"/>
      <c r="AA34" s="8"/>
      <c r="AB34" s="8"/>
      <c r="AC34" s="6" t="s">
        <v>1165</v>
      </c>
      <c r="AD34" s="6"/>
      <c r="AE34" s="9"/>
    </row>
    <row r="35" spans="1:31" s="10" customFormat="1" ht="31.5" x14ac:dyDescent="0.25">
      <c r="A35" s="3">
        <v>31</v>
      </c>
      <c r="B35" s="3" t="s">
        <v>223</v>
      </c>
      <c r="C35" s="5" t="s">
        <v>1075</v>
      </c>
      <c r="D35" s="4" t="s">
        <v>1076</v>
      </c>
      <c r="E35" s="6">
        <v>50</v>
      </c>
      <c r="F35" s="6">
        <v>10</v>
      </c>
      <c r="G35" s="6">
        <v>432.8</v>
      </c>
      <c r="H35" s="6" t="s">
        <v>55</v>
      </c>
      <c r="I35" s="7">
        <v>45733</v>
      </c>
      <c r="J35" s="3" t="s">
        <v>76</v>
      </c>
      <c r="K35" s="3"/>
      <c r="L35" s="3"/>
      <c r="M35" s="3"/>
      <c r="N35" s="3"/>
      <c r="O35" s="3"/>
      <c r="P35" s="3"/>
      <c r="Q35" s="6" t="s">
        <v>180</v>
      </c>
      <c r="R35" s="7">
        <v>45757</v>
      </c>
      <c r="S35" s="7">
        <v>45761</v>
      </c>
      <c r="T35" s="7">
        <v>45761</v>
      </c>
      <c r="U35" s="6">
        <v>2233</v>
      </c>
      <c r="V35" s="11">
        <v>2429180</v>
      </c>
      <c r="W35" s="6"/>
      <c r="X35" s="6"/>
      <c r="Y35" s="6"/>
      <c r="Z35" s="6" t="s">
        <v>2368</v>
      </c>
      <c r="AA35" s="8" t="s">
        <v>2369</v>
      </c>
      <c r="AB35" s="8"/>
      <c r="AC35" s="6"/>
      <c r="AD35" s="6"/>
      <c r="AE35" s="9"/>
    </row>
    <row r="36" spans="1:31" s="10" customFormat="1" ht="63" x14ac:dyDescent="0.25">
      <c r="A36" s="3">
        <v>32</v>
      </c>
      <c r="B36" s="3" t="s">
        <v>223</v>
      </c>
      <c r="C36" s="5" t="s">
        <v>1082</v>
      </c>
      <c r="D36" s="4" t="s">
        <v>1079</v>
      </c>
      <c r="E36" s="6">
        <v>6</v>
      </c>
      <c r="F36" s="6" t="s">
        <v>1080</v>
      </c>
      <c r="G36" s="6" t="s">
        <v>1081</v>
      </c>
      <c r="H36" s="6" t="s">
        <v>75</v>
      </c>
      <c r="I36" s="7">
        <v>45733</v>
      </c>
      <c r="J36" s="3"/>
      <c r="K36" s="3"/>
      <c r="L36" s="3" t="s">
        <v>1</v>
      </c>
      <c r="M36" s="3"/>
      <c r="N36" s="3"/>
      <c r="O36" s="3"/>
      <c r="P36" s="3"/>
      <c r="Q36" s="6" t="s">
        <v>180</v>
      </c>
      <c r="R36" s="7"/>
      <c r="S36" s="7"/>
      <c r="T36" s="7"/>
      <c r="U36" s="6"/>
      <c r="V36" s="11"/>
      <c r="W36" s="6"/>
      <c r="X36" s="6"/>
      <c r="Y36" s="6"/>
      <c r="Z36" s="6"/>
      <c r="AA36" s="8"/>
      <c r="AB36" s="8"/>
      <c r="AC36" s="6" t="s">
        <v>2006</v>
      </c>
      <c r="AD36" s="6"/>
      <c r="AE36" s="9" t="s">
        <v>1086</v>
      </c>
    </row>
    <row r="37" spans="1:31" s="10" customFormat="1" ht="15.75" x14ac:dyDescent="0.25">
      <c r="A37" s="3">
        <v>33</v>
      </c>
      <c r="B37" s="3" t="s">
        <v>223</v>
      </c>
      <c r="C37" s="5" t="s">
        <v>1098</v>
      </c>
      <c r="D37" s="4" t="s">
        <v>825</v>
      </c>
      <c r="E37" s="6">
        <v>17</v>
      </c>
      <c r="F37" s="6">
        <v>10</v>
      </c>
      <c r="G37" s="6">
        <v>360.9</v>
      </c>
      <c r="H37" s="6" t="s">
        <v>75</v>
      </c>
      <c r="I37" s="7">
        <v>45735</v>
      </c>
      <c r="J37" s="3"/>
      <c r="K37" s="3" t="s">
        <v>62</v>
      </c>
      <c r="L37" s="3"/>
      <c r="M37" s="3"/>
      <c r="N37" s="3"/>
      <c r="O37" s="3"/>
      <c r="P37" s="3"/>
      <c r="Q37" s="6" t="s">
        <v>180</v>
      </c>
      <c r="R37" s="7">
        <v>45742</v>
      </c>
      <c r="S37" s="7">
        <v>45747</v>
      </c>
      <c r="T37" s="7">
        <v>45747</v>
      </c>
      <c r="U37" s="6">
        <v>1859</v>
      </c>
      <c r="V37" s="11">
        <v>809727</v>
      </c>
      <c r="W37" s="6"/>
      <c r="X37" s="6"/>
      <c r="Y37" s="6"/>
      <c r="Z37" s="6"/>
      <c r="AA37" s="8"/>
      <c r="AB37" s="8"/>
      <c r="AC37" s="6"/>
      <c r="AD37" s="6"/>
      <c r="AE37" s="9"/>
    </row>
    <row r="38" spans="1:31" s="10" customFormat="1" ht="78.75" x14ac:dyDescent="0.25">
      <c r="A38" s="3">
        <v>34</v>
      </c>
      <c r="B38" s="3" t="s">
        <v>223</v>
      </c>
      <c r="C38" s="5" t="s">
        <v>1101</v>
      </c>
      <c r="D38" s="4" t="s">
        <v>54</v>
      </c>
      <c r="E38" s="6">
        <v>29</v>
      </c>
      <c r="F38" s="6" t="s">
        <v>1102</v>
      </c>
      <c r="G38" s="6" t="s">
        <v>1103</v>
      </c>
      <c r="H38" s="6" t="s">
        <v>75</v>
      </c>
      <c r="I38" s="7">
        <v>45735</v>
      </c>
      <c r="J38" s="3"/>
      <c r="K38" s="3"/>
      <c r="L38" s="3"/>
      <c r="M38" s="3"/>
      <c r="N38" s="3" t="s">
        <v>56</v>
      </c>
      <c r="O38" s="3"/>
      <c r="P38" s="3"/>
      <c r="Q38" s="6" t="s">
        <v>180</v>
      </c>
      <c r="R38" s="7"/>
      <c r="S38" s="7"/>
      <c r="T38" s="7"/>
      <c r="U38" s="6"/>
      <c r="V38" s="11"/>
      <c r="W38" s="6"/>
      <c r="X38" s="6"/>
      <c r="Y38" s="6"/>
      <c r="Z38" s="6"/>
      <c r="AA38" s="8"/>
      <c r="AB38" s="8"/>
      <c r="AC38" s="6" t="s">
        <v>1109</v>
      </c>
      <c r="AD38" s="6"/>
      <c r="AE38" s="9"/>
    </row>
    <row r="39" spans="1:31" s="10" customFormat="1" ht="31.5" x14ac:dyDescent="0.25">
      <c r="A39" s="3">
        <v>35</v>
      </c>
      <c r="B39" s="3" t="s">
        <v>223</v>
      </c>
      <c r="C39" s="5" t="s">
        <v>1118</v>
      </c>
      <c r="D39" s="4" t="s">
        <v>1119</v>
      </c>
      <c r="E39" s="6">
        <v>3</v>
      </c>
      <c r="F39" s="6" t="s">
        <v>1120</v>
      </c>
      <c r="G39" s="6" t="s">
        <v>1121</v>
      </c>
      <c r="H39" s="6" t="s">
        <v>51</v>
      </c>
      <c r="I39" s="7">
        <v>45735</v>
      </c>
      <c r="J39" s="3"/>
      <c r="K39" s="3"/>
      <c r="L39" s="3" t="s">
        <v>1</v>
      </c>
      <c r="M39" s="3"/>
      <c r="N39" s="3"/>
      <c r="O39" s="3"/>
      <c r="P39" s="3"/>
      <c r="Q39" s="6" t="s">
        <v>180</v>
      </c>
      <c r="R39" s="7">
        <v>45790</v>
      </c>
      <c r="S39" s="7">
        <v>45797</v>
      </c>
      <c r="T39" s="7">
        <v>45797</v>
      </c>
      <c r="U39" s="6" t="s">
        <v>2205</v>
      </c>
      <c r="V39" s="11" t="s">
        <v>2206</v>
      </c>
      <c r="W39" s="6"/>
      <c r="X39" s="6"/>
      <c r="Y39" s="6"/>
      <c r="Z39" s="6"/>
      <c r="AA39" s="8"/>
      <c r="AB39" s="8"/>
      <c r="AC39" s="6" t="s">
        <v>2161</v>
      </c>
      <c r="AD39" s="6"/>
      <c r="AE39" s="9"/>
    </row>
    <row r="40" spans="1:31" s="10" customFormat="1" ht="31.5" x14ac:dyDescent="0.25">
      <c r="A40" s="3">
        <v>36</v>
      </c>
      <c r="B40" s="3" t="s">
        <v>223</v>
      </c>
      <c r="C40" s="5" t="s">
        <v>1145</v>
      </c>
      <c r="D40" s="4" t="s">
        <v>1146</v>
      </c>
      <c r="E40" s="6">
        <v>24</v>
      </c>
      <c r="F40" s="6" t="s">
        <v>1149</v>
      </c>
      <c r="G40" s="6" t="s">
        <v>1150</v>
      </c>
      <c r="H40" s="6" t="s">
        <v>75</v>
      </c>
      <c r="I40" s="7">
        <v>45736</v>
      </c>
      <c r="J40" s="3"/>
      <c r="K40" s="3"/>
      <c r="L40" s="3" t="s">
        <v>1</v>
      </c>
      <c r="M40" s="3"/>
      <c r="N40" s="3"/>
      <c r="O40" s="3"/>
      <c r="P40" s="3"/>
      <c r="Q40" s="6" t="s">
        <v>180</v>
      </c>
      <c r="R40" s="7">
        <v>45757</v>
      </c>
      <c r="S40" s="7">
        <v>45765</v>
      </c>
      <c r="T40" s="7">
        <v>45765</v>
      </c>
      <c r="U40" s="6" t="s">
        <v>1640</v>
      </c>
      <c r="V40" s="11" t="s">
        <v>1641</v>
      </c>
      <c r="W40" s="6"/>
      <c r="X40" s="6"/>
      <c r="Y40" s="6"/>
      <c r="Z40" s="6"/>
      <c r="AA40" s="8"/>
      <c r="AB40" s="8"/>
      <c r="AC40" s="6" t="s">
        <v>1649</v>
      </c>
      <c r="AD40" s="6"/>
      <c r="AE40" s="9"/>
    </row>
    <row r="41" spans="1:31" s="10" customFormat="1" ht="47.25" x14ac:dyDescent="0.25">
      <c r="A41" s="3">
        <v>37</v>
      </c>
      <c r="B41" s="3" t="s">
        <v>223</v>
      </c>
      <c r="C41" s="5" t="s">
        <v>329</v>
      </c>
      <c r="D41" s="4" t="s">
        <v>330</v>
      </c>
      <c r="E41" s="6">
        <v>42</v>
      </c>
      <c r="F41" s="6">
        <v>48</v>
      </c>
      <c r="G41" s="6">
        <v>1701.6</v>
      </c>
      <c r="H41" s="6" t="s">
        <v>75</v>
      </c>
      <c r="I41" s="7">
        <v>45736</v>
      </c>
      <c r="J41" s="3" t="s">
        <v>76</v>
      </c>
      <c r="K41" s="3"/>
      <c r="L41" s="3"/>
      <c r="M41" s="3"/>
      <c r="N41" s="3"/>
      <c r="O41" s="3"/>
      <c r="P41" s="3"/>
      <c r="Q41" s="6" t="s">
        <v>180</v>
      </c>
      <c r="R41" s="7"/>
      <c r="S41" s="7"/>
      <c r="T41" s="7"/>
      <c r="U41" s="6"/>
      <c r="V41" s="11"/>
      <c r="W41" s="6"/>
      <c r="X41" s="6"/>
      <c r="Y41" s="6"/>
      <c r="Z41" s="6"/>
      <c r="AA41" s="8"/>
      <c r="AB41" s="8"/>
      <c r="AC41" s="6" t="s">
        <v>1176</v>
      </c>
      <c r="AD41" s="6"/>
      <c r="AE41" s="9"/>
    </row>
    <row r="42" spans="1:31" s="10" customFormat="1" ht="31.5" x14ac:dyDescent="0.25">
      <c r="A42" s="3">
        <v>38</v>
      </c>
      <c r="B42" s="3" t="s">
        <v>223</v>
      </c>
      <c r="C42" s="5" t="s">
        <v>1201</v>
      </c>
      <c r="D42" s="4" t="s">
        <v>1202</v>
      </c>
      <c r="E42" s="6">
        <v>32</v>
      </c>
      <c r="F42" s="6" t="s">
        <v>1203</v>
      </c>
      <c r="G42" s="6" t="s">
        <v>1204</v>
      </c>
      <c r="H42" s="6" t="s">
        <v>51</v>
      </c>
      <c r="I42" s="7">
        <v>45740</v>
      </c>
      <c r="J42" s="3"/>
      <c r="K42" s="3" t="s">
        <v>62</v>
      </c>
      <c r="L42" s="3"/>
      <c r="M42" s="3"/>
      <c r="N42" s="3"/>
      <c r="O42" s="3"/>
      <c r="P42" s="3"/>
      <c r="Q42" s="6" t="s">
        <v>180</v>
      </c>
      <c r="R42" s="7">
        <v>45762</v>
      </c>
      <c r="S42" s="7">
        <v>45762</v>
      </c>
      <c r="T42" s="7">
        <v>45762</v>
      </c>
      <c r="U42" s="6" t="s">
        <v>1564</v>
      </c>
      <c r="V42" s="11" t="s">
        <v>1565</v>
      </c>
      <c r="W42" s="6"/>
      <c r="X42" s="6"/>
      <c r="Y42" s="6"/>
      <c r="Z42" s="6" t="s">
        <v>1856</v>
      </c>
      <c r="AA42" s="8" t="s">
        <v>1847</v>
      </c>
      <c r="AB42" s="8"/>
      <c r="AC42" s="6"/>
      <c r="AD42" s="6"/>
      <c r="AE42" s="9"/>
    </row>
    <row r="43" spans="1:31" s="10" customFormat="1" ht="31.5" x14ac:dyDescent="0.25">
      <c r="A43" s="3">
        <v>39</v>
      </c>
      <c r="B43" s="3" t="s">
        <v>223</v>
      </c>
      <c r="C43" s="5" t="s">
        <v>1205</v>
      </c>
      <c r="D43" s="4" t="s">
        <v>1206</v>
      </c>
      <c r="E43" s="6">
        <v>34</v>
      </c>
      <c r="F43" s="6">
        <v>36</v>
      </c>
      <c r="G43" s="6">
        <v>292.60000000000002</v>
      </c>
      <c r="H43" s="6" t="s">
        <v>51</v>
      </c>
      <c r="I43" s="7">
        <v>45740</v>
      </c>
      <c r="J43" s="3"/>
      <c r="K43" s="3" t="s">
        <v>62</v>
      </c>
      <c r="L43" s="3"/>
      <c r="M43" s="3"/>
      <c r="N43" s="3"/>
      <c r="O43" s="3"/>
      <c r="P43" s="3"/>
      <c r="Q43" s="6" t="s">
        <v>180</v>
      </c>
      <c r="R43" s="7">
        <v>45763</v>
      </c>
      <c r="S43" s="7">
        <v>45764</v>
      </c>
      <c r="T43" s="7">
        <v>45764</v>
      </c>
      <c r="U43" s="6">
        <v>2354</v>
      </c>
      <c r="V43" s="11">
        <v>809727</v>
      </c>
      <c r="W43" s="6"/>
      <c r="X43" s="6"/>
      <c r="Y43" s="6"/>
      <c r="Z43" s="6" t="s">
        <v>2222</v>
      </c>
      <c r="AA43" s="8" t="s">
        <v>2223</v>
      </c>
      <c r="AB43" s="8"/>
      <c r="AC43" s="6"/>
      <c r="AD43" s="6"/>
      <c r="AE43" s="9"/>
    </row>
    <row r="44" spans="1:31" s="10" customFormat="1" ht="31.5" x14ac:dyDescent="0.25">
      <c r="A44" s="3">
        <v>40</v>
      </c>
      <c r="B44" s="3" t="s">
        <v>223</v>
      </c>
      <c r="C44" s="5" t="s">
        <v>1255</v>
      </c>
      <c r="D44" s="4" t="s">
        <v>1256</v>
      </c>
      <c r="E44" s="6">
        <v>28</v>
      </c>
      <c r="F44" s="6">
        <v>17</v>
      </c>
      <c r="G44" s="6">
        <v>3023.6</v>
      </c>
      <c r="H44" s="6" t="s">
        <v>51</v>
      </c>
      <c r="I44" s="7">
        <v>45743</v>
      </c>
      <c r="J44" s="3"/>
      <c r="K44" s="3" t="s">
        <v>62</v>
      </c>
      <c r="L44" s="3"/>
      <c r="M44" s="3"/>
      <c r="N44" s="3"/>
      <c r="O44" s="3"/>
      <c r="P44" s="3"/>
      <c r="Q44" s="6" t="s">
        <v>180</v>
      </c>
      <c r="R44" s="7">
        <v>45764</v>
      </c>
      <c r="S44" s="7">
        <v>45769</v>
      </c>
      <c r="T44" s="7">
        <v>45769</v>
      </c>
      <c r="U44" s="6">
        <v>67</v>
      </c>
      <c r="V44" s="11">
        <v>1019155</v>
      </c>
      <c r="W44" s="6"/>
      <c r="X44" s="6"/>
      <c r="Y44" s="6"/>
      <c r="Z44" s="6" t="s">
        <v>2170</v>
      </c>
      <c r="AA44" s="8" t="s">
        <v>2175</v>
      </c>
      <c r="AB44" s="8"/>
      <c r="AC44" s="6"/>
      <c r="AD44" s="6"/>
      <c r="AE44" s="9" t="s">
        <v>1087</v>
      </c>
    </row>
    <row r="45" spans="1:31" s="10" customFormat="1" ht="31.5" x14ac:dyDescent="0.25">
      <c r="A45" s="3">
        <v>41</v>
      </c>
      <c r="B45" s="3" t="s">
        <v>223</v>
      </c>
      <c r="C45" s="5" t="s">
        <v>1259</v>
      </c>
      <c r="D45" s="4"/>
      <c r="E45" s="6">
        <v>37</v>
      </c>
      <c r="F45" s="6">
        <v>234</v>
      </c>
      <c r="G45" s="6">
        <v>2636.5</v>
      </c>
      <c r="H45" s="6" t="s">
        <v>75</v>
      </c>
      <c r="I45" s="7">
        <v>45742</v>
      </c>
      <c r="J45" s="3" t="s">
        <v>153</v>
      </c>
      <c r="K45" s="3"/>
      <c r="L45" s="3"/>
      <c r="M45" s="3"/>
      <c r="N45" s="3"/>
      <c r="O45" s="3"/>
      <c r="P45" s="3"/>
      <c r="Q45" s="6" t="s">
        <v>180</v>
      </c>
      <c r="R45" s="7">
        <v>45790</v>
      </c>
      <c r="S45" s="7">
        <v>45792</v>
      </c>
      <c r="T45" s="7">
        <v>45792</v>
      </c>
      <c r="U45" s="6">
        <v>626</v>
      </c>
      <c r="V45" s="11">
        <v>961551</v>
      </c>
      <c r="W45" s="6"/>
      <c r="X45" s="6"/>
      <c r="Y45" s="6"/>
      <c r="Z45" s="6" t="s">
        <v>2302</v>
      </c>
      <c r="AA45" s="8" t="s">
        <v>2303</v>
      </c>
      <c r="AB45" s="8"/>
      <c r="AC45" s="6"/>
      <c r="AD45" s="6"/>
      <c r="AE45" s="9" t="s">
        <v>1260</v>
      </c>
    </row>
    <row r="46" spans="1:31" ht="16.5" x14ac:dyDescent="0.25">
      <c r="A46" s="12"/>
      <c r="B46" s="73" t="s">
        <v>1258</v>
      </c>
      <c r="C46" s="74"/>
      <c r="D46" s="74"/>
      <c r="E46" s="74"/>
      <c r="F46" s="74"/>
      <c r="G46" s="74"/>
      <c r="H46" s="75"/>
      <c r="I46" s="13"/>
      <c r="J46" s="14">
        <f>COUNTIF(J20:J45,"CQ")+COUNTIF(J20:J45,"CT")+COUNTIF(J36:J45,"TK")</f>
        <v>4</v>
      </c>
      <c r="K46" s="14">
        <f>COUNTIF(K20:K45,"CMĐ")</f>
        <v>10</v>
      </c>
      <c r="L46" s="14">
        <f>COUNTIF(L20:L45,"XMDT")+COUNTIF(L20:L45,"Mốc")</f>
        <v>8</v>
      </c>
      <c r="M46" s="14">
        <f>COUNTIF(M45,"THÁn")</f>
        <v>0</v>
      </c>
      <c r="N46" s="14">
        <f>COUNTIF(N20:N45,"TÒA")</f>
        <v>1</v>
      </c>
      <c r="O46" s="14">
        <f>COUNTIF(O36:O45,"Cấp GCN")</f>
        <v>0</v>
      </c>
      <c r="P46" s="14">
        <f>COUNTIF(P20:P45,"SHN")</f>
        <v>1</v>
      </c>
      <c r="Q46" s="15"/>
      <c r="R46" s="13"/>
      <c r="S46" s="15"/>
      <c r="T46" s="15"/>
      <c r="U46" s="16"/>
      <c r="V46" s="11"/>
      <c r="W46" s="17"/>
      <c r="X46" s="2"/>
      <c r="AD46" s="14">
        <f>COUNTIF(AD45,"kt")</f>
        <v>0</v>
      </c>
    </row>
    <row r="47" spans="1:31" s="10" customFormat="1" ht="31.5" x14ac:dyDescent="0.25">
      <c r="A47" s="3">
        <v>42</v>
      </c>
      <c r="B47" s="3" t="s">
        <v>1310</v>
      </c>
      <c r="C47" s="5" t="s">
        <v>1311</v>
      </c>
      <c r="D47" s="4" t="s">
        <v>1312</v>
      </c>
      <c r="E47" s="6">
        <v>39</v>
      </c>
      <c r="F47" s="6">
        <v>9</v>
      </c>
      <c r="G47" s="6">
        <v>1889.4</v>
      </c>
      <c r="H47" s="6" t="s">
        <v>51</v>
      </c>
      <c r="I47" s="7">
        <v>45747</v>
      </c>
      <c r="J47" s="3"/>
      <c r="K47" s="3"/>
      <c r="L47" s="3" t="s">
        <v>1</v>
      </c>
      <c r="M47" s="3"/>
      <c r="N47" s="3"/>
      <c r="O47" s="3"/>
      <c r="P47" s="3"/>
      <c r="Q47" s="6" t="s">
        <v>180</v>
      </c>
      <c r="R47" s="7">
        <v>45798</v>
      </c>
      <c r="S47" s="7">
        <v>45800</v>
      </c>
      <c r="T47" s="7">
        <v>45800</v>
      </c>
      <c r="U47" s="20">
        <v>866</v>
      </c>
      <c r="V47" s="11">
        <v>1713674</v>
      </c>
      <c r="W47" s="6"/>
      <c r="X47" s="6"/>
      <c r="Y47" s="6"/>
      <c r="Z47" s="6"/>
      <c r="AA47" s="8"/>
      <c r="AB47" s="8"/>
      <c r="AC47" s="6" t="s">
        <v>2212</v>
      </c>
      <c r="AD47" s="6"/>
      <c r="AE47" s="9"/>
    </row>
    <row r="48" spans="1:31" s="10" customFormat="1" ht="47.25" x14ac:dyDescent="0.25">
      <c r="A48" s="3">
        <v>43</v>
      </c>
      <c r="B48" s="3" t="s">
        <v>1310</v>
      </c>
      <c r="C48" s="5" t="s">
        <v>1323</v>
      </c>
      <c r="D48" s="4" t="s">
        <v>1324</v>
      </c>
      <c r="E48" s="6">
        <v>24</v>
      </c>
      <c r="F48" s="6">
        <v>228</v>
      </c>
      <c r="G48" s="6">
        <v>100.7</v>
      </c>
      <c r="H48" s="6" t="s">
        <v>51</v>
      </c>
      <c r="I48" s="7">
        <v>45747</v>
      </c>
      <c r="J48" s="3"/>
      <c r="K48" s="3" t="s">
        <v>62</v>
      </c>
      <c r="L48" s="3"/>
      <c r="M48" s="3"/>
      <c r="N48" s="3"/>
      <c r="O48" s="3"/>
      <c r="P48" s="3"/>
      <c r="Q48" s="6" t="s">
        <v>180</v>
      </c>
      <c r="R48" s="7"/>
      <c r="S48" s="7"/>
      <c r="T48" s="7"/>
      <c r="U48" s="6"/>
      <c r="V48" s="11"/>
      <c r="W48" s="6"/>
      <c r="X48" s="6"/>
      <c r="Y48" s="6"/>
      <c r="Z48" s="6"/>
      <c r="AA48" s="8"/>
      <c r="AB48" s="8"/>
      <c r="AC48" s="6" t="s">
        <v>1724</v>
      </c>
      <c r="AD48" s="6"/>
      <c r="AE48" s="9"/>
    </row>
    <row r="49" spans="1:31" s="10" customFormat="1" ht="15.75" x14ac:dyDescent="0.25">
      <c r="A49" s="3">
        <v>44</v>
      </c>
      <c r="B49" s="3" t="s">
        <v>1310</v>
      </c>
      <c r="C49" s="5" t="s">
        <v>1399</v>
      </c>
      <c r="D49" s="4" t="s">
        <v>1400</v>
      </c>
      <c r="E49" s="6">
        <v>16</v>
      </c>
      <c r="F49" s="6">
        <v>154</v>
      </c>
      <c r="G49" s="6">
        <v>135.6</v>
      </c>
      <c r="H49" s="6" t="s">
        <v>51</v>
      </c>
      <c r="I49" s="7">
        <v>45750</v>
      </c>
      <c r="J49" s="3"/>
      <c r="K49" s="3"/>
      <c r="L49" s="3" t="s">
        <v>1</v>
      </c>
      <c r="M49" s="3"/>
      <c r="N49" s="3"/>
      <c r="O49" s="3"/>
      <c r="P49" s="3"/>
      <c r="Q49" s="6" t="s">
        <v>180</v>
      </c>
      <c r="R49" s="7"/>
      <c r="S49" s="7"/>
      <c r="T49" s="7"/>
      <c r="U49" s="6"/>
      <c r="V49" s="11"/>
      <c r="W49" s="6"/>
      <c r="X49" s="6"/>
      <c r="Y49" s="6"/>
      <c r="Z49" s="6"/>
      <c r="AA49" s="8"/>
      <c r="AB49" s="8"/>
      <c r="AC49" s="6"/>
      <c r="AD49" s="6"/>
      <c r="AE49" s="9"/>
    </row>
    <row r="50" spans="1:31" s="10" customFormat="1" ht="31.5" x14ac:dyDescent="0.25">
      <c r="A50" s="3">
        <v>45</v>
      </c>
      <c r="B50" s="3" t="s">
        <v>1310</v>
      </c>
      <c r="C50" s="5" t="s">
        <v>1441</v>
      </c>
      <c r="D50" s="4" t="s">
        <v>1442</v>
      </c>
      <c r="E50" s="6">
        <v>24</v>
      </c>
      <c r="F50" s="6">
        <v>215</v>
      </c>
      <c r="G50" s="6">
        <v>2395.1</v>
      </c>
      <c r="H50" s="6" t="s">
        <v>51</v>
      </c>
      <c r="I50" s="7">
        <v>45751</v>
      </c>
      <c r="J50" s="3"/>
      <c r="K50" s="3" t="s">
        <v>62</v>
      </c>
      <c r="L50" s="3"/>
      <c r="M50" s="3"/>
      <c r="N50" s="3"/>
      <c r="O50" s="3"/>
      <c r="P50" s="3"/>
      <c r="Q50" s="6" t="s">
        <v>180</v>
      </c>
      <c r="R50" s="7">
        <v>45762</v>
      </c>
      <c r="S50" s="7">
        <v>45769</v>
      </c>
      <c r="T50" s="7">
        <v>45769</v>
      </c>
      <c r="U50" s="6">
        <v>64</v>
      </c>
      <c r="V50" s="11">
        <v>961551</v>
      </c>
      <c r="W50" s="6"/>
      <c r="X50" s="6"/>
      <c r="Y50" s="6"/>
      <c r="Z50" s="6" t="s">
        <v>2126</v>
      </c>
      <c r="AA50" s="8" t="s">
        <v>2128</v>
      </c>
      <c r="AB50" s="8"/>
      <c r="AC50" s="6"/>
      <c r="AD50" s="6"/>
      <c r="AE50" s="9"/>
    </row>
    <row r="51" spans="1:31" s="10" customFormat="1" ht="47.25" x14ac:dyDescent="0.25">
      <c r="A51" s="3">
        <v>46</v>
      </c>
      <c r="B51" s="3" t="s">
        <v>1310</v>
      </c>
      <c r="C51" s="5" t="s">
        <v>1456</v>
      </c>
      <c r="D51" s="4" t="s">
        <v>297</v>
      </c>
      <c r="E51" s="6">
        <v>15</v>
      </c>
      <c r="F51" s="6">
        <v>221</v>
      </c>
      <c r="G51" s="6">
        <v>153.9</v>
      </c>
      <c r="H51" s="6" t="s">
        <v>55</v>
      </c>
      <c r="I51" s="7">
        <v>45755</v>
      </c>
      <c r="J51" s="3"/>
      <c r="K51" s="3"/>
      <c r="L51" s="3"/>
      <c r="M51" s="3"/>
      <c r="N51" s="3"/>
      <c r="O51" s="3"/>
      <c r="P51" s="3" t="s">
        <v>52</v>
      </c>
      <c r="Q51" s="6" t="s">
        <v>180</v>
      </c>
      <c r="R51" s="7">
        <v>45790</v>
      </c>
      <c r="S51" s="7">
        <v>45791</v>
      </c>
      <c r="T51" s="7">
        <v>45791</v>
      </c>
      <c r="U51" s="6">
        <v>595</v>
      </c>
      <c r="V51" s="11">
        <v>1682662</v>
      </c>
      <c r="W51" s="6"/>
      <c r="X51" s="6"/>
      <c r="Y51" s="6"/>
      <c r="Z51" s="6"/>
      <c r="AA51" s="8"/>
      <c r="AB51" s="8"/>
      <c r="AC51" s="6" t="s">
        <v>1992</v>
      </c>
      <c r="AD51" s="6" t="s">
        <v>1994</v>
      </c>
      <c r="AE51" s="9"/>
    </row>
    <row r="52" spans="1:31" ht="16.5" x14ac:dyDescent="0.25">
      <c r="A52" s="12"/>
      <c r="B52" s="73" t="s">
        <v>1478</v>
      </c>
      <c r="C52" s="74"/>
      <c r="D52" s="74"/>
      <c r="E52" s="74"/>
      <c r="F52" s="74"/>
      <c r="G52" s="74"/>
      <c r="H52" s="75"/>
      <c r="I52" s="13"/>
      <c r="J52" s="14">
        <f>COUNTIF(J47:J51,"CQ")+COUNTIF(J47:J51,"CT")+COUNTIF(J47:J51,"TK")</f>
        <v>0</v>
      </c>
      <c r="K52" s="14">
        <f>COUNTIF(K47:K51,"CMĐ")</f>
        <v>2</v>
      </c>
      <c r="L52" s="14">
        <f>COUNTIF(L47:L51,"XMDT")+COUNTIF(L47:L51,"Mốc")</f>
        <v>2</v>
      </c>
      <c r="M52" s="14">
        <f>COUNTIF(M51,"THÁn")</f>
        <v>0</v>
      </c>
      <c r="N52" s="14">
        <f>COUNTIF(N47:N51,"TÒA")</f>
        <v>0</v>
      </c>
      <c r="O52" s="14">
        <f>COUNTIF(O42:O51,"Cấp GCN")</f>
        <v>0</v>
      </c>
      <c r="P52" s="14">
        <f>COUNTIF(P47:P51,"SHN")</f>
        <v>1</v>
      </c>
      <c r="Q52" s="15"/>
      <c r="R52" s="13"/>
      <c r="S52" s="15"/>
      <c r="T52" s="15"/>
      <c r="U52" s="16"/>
      <c r="V52" s="11"/>
      <c r="W52" s="17"/>
      <c r="X52" s="2"/>
      <c r="AD52" s="14">
        <f>COUNTIF(AD51,"kt")</f>
        <v>0</v>
      </c>
    </row>
    <row r="53" spans="1:31" s="10" customFormat="1" ht="63" x14ac:dyDescent="0.25">
      <c r="A53" s="3">
        <v>47</v>
      </c>
      <c r="B53" s="3" t="s">
        <v>223</v>
      </c>
      <c r="C53" s="5" t="s">
        <v>1501</v>
      </c>
      <c r="D53" s="4" t="s">
        <v>54</v>
      </c>
      <c r="E53" s="6">
        <v>39</v>
      </c>
      <c r="F53" s="6">
        <v>74</v>
      </c>
      <c r="G53" s="6">
        <v>1915.6</v>
      </c>
      <c r="H53" s="6"/>
      <c r="I53" s="7">
        <v>45756</v>
      </c>
      <c r="J53" s="3"/>
      <c r="K53" s="3"/>
      <c r="L53" s="3"/>
      <c r="M53" s="3"/>
      <c r="N53" s="3" t="s">
        <v>56</v>
      </c>
      <c r="O53" s="3"/>
      <c r="P53" s="3"/>
      <c r="Q53" s="6" t="s">
        <v>180</v>
      </c>
      <c r="R53" s="7"/>
      <c r="S53" s="7"/>
      <c r="T53" s="7"/>
      <c r="U53" s="6"/>
      <c r="V53" s="11"/>
      <c r="W53" s="6"/>
      <c r="X53" s="6"/>
      <c r="Y53" s="6"/>
      <c r="Z53" s="6"/>
      <c r="AA53" s="8"/>
      <c r="AB53" s="8" t="s">
        <v>1783</v>
      </c>
      <c r="AC53" s="6" t="s">
        <v>1500</v>
      </c>
      <c r="AD53" s="6"/>
      <c r="AE53" s="9"/>
    </row>
    <row r="54" spans="1:31" s="10" customFormat="1" ht="31.5" x14ac:dyDescent="0.25">
      <c r="A54" s="3">
        <v>48</v>
      </c>
      <c r="B54" s="3" t="s">
        <v>223</v>
      </c>
      <c r="C54" s="5" t="s">
        <v>1505</v>
      </c>
      <c r="D54" s="4"/>
      <c r="E54" s="6">
        <v>4</v>
      </c>
      <c r="F54" s="6">
        <v>92</v>
      </c>
      <c r="G54" s="6">
        <v>932.3</v>
      </c>
      <c r="H54" s="6" t="s">
        <v>75</v>
      </c>
      <c r="I54" s="7">
        <v>45756</v>
      </c>
      <c r="J54" s="3"/>
      <c r="K54" s="3"/>
      <c r="L54" s="3"/>
      <c r="M54" s="3"/>
      <c r="N54" s="3"/>
      <c r="O54" s="3"/>
      <c r="P54" s="3" t="s">
        <v>52</v>
      </c>
      <c r="Q54" s="6" t="s">
        <v>180</v>
      </c>
      <c r="R54" s="7">
        <v>45790</v>
      </c>
      <c r="S54" s="7">
        <v>45792</v>
      </c>
      <c r="T54" s="7">
        <v>45792</v>
      </c>
      <c r="U54" s="6">
        <v>625</v>
      </c>
      <c r="V54" s="11">
        <v>1416978</v>
      </c>
      <c r="W54" s="6"/>
      <c r="X54" s="6"/>
      <c r="Y54" s="6"/>
      <c r="Z54" s="6"/>
      <c r="AA54" s="8"/>
      <c r="AB54" s="8"/>
      <c r="AC54" s="6" t="s">
        <v>2178</v>
      </c>
      <c r="AD54" s="6"/>
      <c r="AE54" s="9"/>
    </row>
    <row r="55" spans="1:31" ht="16.5" x14ac:dyDescent="0.25">
      <c r="A55" s="12"/>
      <c r="B55" s="73" t="s">
        <v>1543</v>
      </c>
      <c r="C55" s="74"/>
      <c r="D55" s="74"/>
      <c r="E55" s="74"/>
      <c r="F55" s="74"/>
      <c r="G55" s="74"/>
      <c r="H55" s="75"/>
      <c r="I55" s="13"/>
      <c r="J55" s="14">
        <f>COUNTIF(J50:J54,"CQ")+COUNTIF(J50:J54,"CT")+COUNTIF(J50:J54,"TK")</f>
        <v>0</v>
      </c>
      <c r="K55" s="14">
        <f ca="1">COUNTIF(K53:K55,"CMĐ")</f>
        <v>0</v>
      </c>
      <c r="L55" s="14">
        <f>COUNTIF(L50:L54,"XMDT")+COUNTIF(L50:L54,"Mốc")</f>
        <v>0</v>
      </c>
      <c r="M55" s="14">
        <f>COUNTIF(M54,"THÁn")</f>
        <v>0</v>
      </c>
      <c r="N55" s="14">
        <f>COUNTIF(N50:N54,"TÒA")</f>
        <v>1</v>
      </c>
      <c r="O55" s="14">
        <f>COUNTIF(O45:O54,"Cấp GCN")</f>
        <v>0</v>
      </c>
      <c r="P55" s="14">
        <f>COUNTIF(P53:P54,"SHN")</f>
        <v>1</v>
      </c>
      <c r="Q55" s="15"/>
      <c r="R55" s="13"/>
      <c r="S55" s="15"/>
      <c r="T55" s="15"/>
      <c r="U55" s="16"/>
      <c r="V55" s="11"/>
      <c r="W55" s="17"/>
      <c r="X55" s="2"/>
      <c r="AD55" s="14">
        <f>COUNTIF(AD54,"kt")</f>
        <v>0</v>
      </c>
    </row>
    <row r="56" spans="1:31" s="10" customFormat="1" ht="47.25" x14ac:dyDescent="0.25">
      <c r="A56" s="3">
        <v>49</v>
      </c>
      <c r="B56" s="3" t="s">
        <v>223</v>
      </c>
      <c r="C56" s="5" t="s">
        <v>1553</v>
      </c>
      <c r="D56" s="4" t="s">
        <v>1554</v>
      </c>
      <c r="E56" s="6">
        <v>28</v>
      </c>
      <c r="F56" s="6">
        <v>41</v>
      </c>
      <c r="G56" s="6">
        <v>988.3</v>
      </c>
      <c r="H56" s="6" t="s">
        <v>75</v>
      </c>
      <c r="I56" s="7">
        <v>45761</v>
      </c>
      <c r="J56" s="3" t="s">
        <v>153</v>
      </c>
      <c r="K56" s="3"/>
      <c r="L56" s="3"/>
      <c r="M56" s="3"/>
      <c r="N56" s="3"/>
      <c r="O56" s="3"/>
      <c r="P56" s="3"/>
      <c r="Q56" s="6" t="s">
        <v>180</v>
      </c>
      <c r="R56" s="7"/>
      <c r="S56" s="7"/>
      <c r="T56" s="7"/>
      <c r="U56" s="6"/>
      <c r="V56" s="11"/>
      <c r="W56" s="6"/>
      <c r="X56" s="6"/>
      <c r="Y56" s="6"/>
      <c r="Z56" s="6"/>
      <c r="AA56" s="8"/>
      <c r="AB56" s="8"/>
      <c r="AC56" s="6" t="s">
        <v>1779</v>
      </c>
      <c r="AD56" s="6"/>
      <c r="AE56" s="9"/>
    </row>
    <row r="57" spans="1:31" s="10" customFormat="1" ht="31.5" x14ac:dyDescent="0.25">
      <c r="A57" s="3">
        <v>50</v>
      </c>
      <c r="B57" s="3" t="s">
        <v>223</v>
      </c>
      <c r="C57" s="5" t="s">
        <v>1568</v>
      </c>
      <c r="D57" s="4" t="s">
        <v>1569</v>
      </c>
      <c r="E57" s="6">
        <v>3</v>
      </c>
      <c r="F57" s="6">
        <v>89</v>
      </c>
      <c r="G57" s="6">
        <v>217.6</v>
      </c>
      <c r="H57" s="6" t="s">
        <v>55</v>
      </c>
      <c r="I57" s="7">
        <v>45762</v>
      </c>
      <c r="J57" s="3" t="s">
        <v>76</v>
      </c>
      <c r="K57" s="3"/>
      <c r="L57" s="3"/>
      <c r="M57" s="3"/>
      <c r="N57" s="3"/>
      <c r="O57" s="3"/>
      <c r="P57" s="3"/>
      <c r="Q57" s="6" t="s">
        <v>180</v>
      </c>
      <c r="R57" s="7">
        <v>45811</v>
      </c>
      <c r="S57" s="7">
        <v>45819</v>
      </c>
      <c r="T57" s="7">
        <v>45819</v>
      </c>
      <c r="U57" s="6">
        <v>1459</v>
      </c>
      <c r="V57" s="11">
        <v>1619454</v>
      </c>
      <c r="W57" s="6"/>
      <c r="X57" s="6"/>
      <c r="Y57" s="6"/>
      <c r="Z57" s="6"/>
      <c r="AA57" s="8"/>
      <c r="AB57" s="8"/>
      <c r="AC57" s="6"/>
      <c r="AD57" s="6"/>
      <c r="AE57" s="9"/>
    </row>
    <row r="58" spans="1:31" s="10" customFormat="1" ht="31.5" x14ac:dyDescent="0.25">
      <c r="A58" s="3">
        <v>51</v>
      </c>
      <c r="B58" s="3" t="s">
        <v>223</v>
      </c>
      <c r="C58" s="5" t="s">
        <v>1570</v>
      </c>
      <c r="D58" s="4" t="s">
        <v>1571</v>
      </c>
      <c r="E58" s="6">
        <v>17</v>
      </c>
      <c r="F58" s="6">
        <v>397</v>
      </c>
      <c r="G58" s="6">
        <v>2487.1</v>
      </c>
      <c r="H58" s="6" t="s">
        <v>75</v>
      </c>
      <c r="I58" s="7">
        <v>45762</v>
      </c>
      <c r="J58" s="3" t="s">
        <v>76</v>
      </c>
      <c r="K58" s="3"/>
      <c r="L58" s="3"/>
      <c r="M58" s="3"/>
      <c r="N58" s="3"/>
      <c r="O58" s="3"/>
      <c r="P58" s="3"/>
      <c r="Q58" s="6" t="s">
        <v>180</v>
      </c>
      <c r="R58" s="7">
        <v>45790</v>
      </c>
      <c r="S58" s="7">
        <v>45791</v>
      </c>
      <c r="T58" s="7">
        <v>45791</v>
      </c>
      <c r="U58" s="6">
        <v>591</v>
      </c>
      <c r="V58" s="11">
        <v>1923102</v>
      </c>
      <c r="W58" s="6"/>
      <c r="X58" s="6"/>
      <c r="Y58" s="6"/>
      <c r="Z58" s="6" t="s">
        <v>2389</v>
      </c>
      <c r="AA58" s="8" t="s">
        <v>2390</v>
      </c>
      <c r="AB58" s="8"/>
      <c r="AC58" s="6"/>
      <c r="AD58" s="6"/>
      <c r="AE58" s="9"/>
    </row>
    <row r="59" spans="1:31" s="10" customFormat="1" ht="78.75" x14ac:dyDescent="0.25">
      <c r="A59" s="3">
        <v>52</v>
      </c>
      <c r="B59" s="3" t="s">
        <v>223</v>
      </c>
      <c r="C59" s="5" t="s">
        <v>1577</v>
      </c>
      <c r="D59" s="4" t="s">
        <v>54</v>
      </c>
      <c r="E59" s="6">
        <v>20</v>
      </c>
      <c r="F59" s="6" t="s">
        <v>1578</v>
      </c>
      <c r="G59" s="6" t="s">
        <v>1579</v>
      </c>
      <c r="H59" s="6" t="s">
        <v>75</v>
      </c>
      <c r="I59" s="7">
        <v>45762</v>
      </c>
      <c r="J59" s="3"/>
      <c r="K59" s="3"/>
      <c r="L59" s="3"/>
      <c r="M59" s="3"/>
      <c r="N59" s="3" t="s">
        <v>56</v>
      </c>
      <c r="O59" s="3"/>
      <c r="P59" s="3"/>
      <c r="Q59" s="6" t="s">
        <v>180</v>
      </c>
      <c r="R59" s="7"/>
      <c r="S59" s="7"/>
      <c r="T59" s="7"/>
      <c r="U59" s="6"/>
      <c r="V59" s="11"/>
      <c r="W59" s="6"/>
      <c r="X59" s="6"/>
      <c r="Y59" s="6"/>
      <c r="Z59" s="6"/>
      <c r="AA59" s="8"/>
      <c r="AB59" s="8" t="s">
        <v>1785</v>
      </c>
      <c r="AC59" s="6" t="s">
        <v>1580</v>
      </c>
      <c r="AD59" s="6"/>
      <c r="AE59" s="9"/>
    </row>
    <row r="60" spans="1:31" s="10" customFormat="1" ht="31.5" x14ac:dyDescent="0.25">
      <c r="A60" s="3">
        <v>53</v>
      </c>
      <c r="B60" s="3" t="s">
        <v>223</v>
      </c>
      <c r="C60" s="5" t="s">
        <v>1586</v>
      </c>
      <c r="D60" s="4" t="s">
        <v>1587</v>
      </c>
      <c r="E60" s="6">
        <v>34</v>
      </c>
      <c r="F60" s="6">
        <v>151</v>
      </c>
      <c r="G60" s="6">
        <v>971.8</v>
      </c>
      <c r="H60" s="6" t="s">
        <v>51</v>
      </c>
      <c r="I60" s="7">
        <v>45763</v>
      </c>
      <c r="J60" s="3"/>
      <c r="K60" s="3" t="s">
        <v>62</v>
      </c>
      <c r="L60" s="3"/>
      <c r="M60" s="3"/>
      <c r="N60" s="3"/>
      <c r="O60" s="3"/>
      <c r="P60" s="3"/>
      <c r="Q60" s="6" t="s">
        <v>180</v>
      </c>
      <c r="R60" s="7"/>
      <c r="S60" s="7"/>
      <c r="T60" s="7"/>
      <c r="U60" s="6"/>
      <c r="V60" s="11"/>
      <c r="W60" s="6"/>
      <c r="X60" s="6"/>
      <c r="Y60" s="6"/>
      <c r="Z60" s="6"/>
      <c r="AA60" s="8"/>
      <c r="AB60" s="8"/>
      <c r="AC60" s="6" t="s">
        <v>1725</v>
      </c>
      <c r="AD60" s="6"/>
      <c r="AE60" s="9"/>
    </row>
    <row r="61" spans="1:31" s="10" customFormat="1" ht="31.5" x14ac:dyDescent="0.25">
      <c r="A61" s="3">
        <v>54</v>
      </c>
      <c r="B61" s="3" t="s">
        <v>223</v>
      </c>
      <c r="C61" s="5" t="s">
        <v>1621</v>
      </c>
      <c r="D61" s="4" t="s">
        <v>1622</v>
      </c>
      <c r="E61" s="6">
        <v>39</v>
      </c>
      <c r="F61" s="6">
        <v>95</v>
      </c>
      <c r="G61" s="6">
        <v>604.4</v>
      </c>
      <c r="H61" s="6" t="s">
        <v>75</v>
      </c>
      <c r="I61" s="7"/>
      <c r="J61" s="3"/>
      <c r="K61" s="3"/>
      <c r="L61" s="3"/>
      <c r="M61" s="3"/>
      <c r="N61" s="3"/>
      <c r="O61" s="3"/>
      <c r="P61" s="3"/>
      <c r="Q61" s="6" t="s">
        <v>190</v>
      </c>
      <c r="R61" s="7">
        <v>45707</v>
      </c>
      <c r="S61" s="7"/>
      <c r="T61" s="7"/>
      <c r="U61" s="6"/>
      <c r="V61" s="11"/>
      <c r="W61" s="6"/>
      <c r="X61" s="6"/>
      <c r="Y61" s="6"/>
      <c r="Z61" s="6" t="s">
        <v>1623</v>
      </c>
      <c r="AA61" s="8" t="s">
        <v>1624</v>
      </c>
      <c r="AB61" s="8"/>
      <c r="AC61" s="6"/>
      <c r="AD61" s="6"/>
      <c r="AE61" s="9"/>
    </row>
    <row r="62" spans="1:31" s="10" customFormat="1" ht="15.75" x14ac:dyDescent="0.25">
      <c r="A62" s="3">
        <v>55</v>
      </c>
      <c r="B62" s="3" t="s">
        <v>223</v>
      </c>
      <c r="C62" s="5" t="s">
        <v>1651</v>
      </c>
      <c r="D62" s="4"/>
      <c r="E62" s="6">
        <v>31</v>
      </c>
      <c r="F62" s="6">
        <v>83</v>
      </c>
      <c r="G62" s="6">
        <v>664.3</v>
      </c>
      <c r="H62" s="6" t="s">
        <v>75</v>
      </c>
      <c r="I62" s="7">
        <v>45765</v>
      </c>
      <c r="J62" s="3"/>
      <c r="K62" s="3"/>
      <c r="L62" s="3"/>
      <c r="M62" s="3"/>
      <c r="N62" s="3"/>
      <c r="O62" s="3"/>
      <c r="P62" s="3"/>
      <c r="Q62" s="6" t="s">
        <v>180</v>
      </c>
      <c r="R62" s="7">
        <v>45790</v>
      </c>
      <c r="S62" s="7">
        <v>45790</v>
      </c>
      <c r="T62" s="7">
        <v>45790</v>
      </c>
      <c r="U62" s="6">
        <v>587</v>
      </c>
      <c r="V62" s="11">
        <v>961551</v>
      </c>
      <c r="W62" s="6"/>
      <c r="X62" s="6"/>
      <c r="Y62" s="6"/>
      <c r="Z62" s="6"/>
      <c r="AA62" s="8"/>
      <c r="AB62" s="8"/>
      <c r="AC62" s="6"/>
      <c r="AD62" s="6"/>
      <c r="AE62" s="9" t="s">
        <v>1652</v>
      </c>
    </row>
    <row r="63" spans="1:31" ht="16.5" x14ac:dyDescent="0.25">
      <c r="A63" s="12"/>
      <c r="B63" s="73" t="s">
        <v>1656</v>
      </c>
      <c r="C63" s="74"/>
      <c r="D63" s="74"/>
      <c r="E63" s="74"/>
      <c r="F63" s="74"/>
      <c r="G63" s="74"/>
      <c r="H63" s="75"/>
      <c r="I63" s="13"/>
      <c r="J63" s="14">
        <f>COUNTIF(J56:J62,"CQ")+COUNTIF(J56:J62,"CT")+COUNTIF(J56:J62,"TK")</f>
        <v>3</v>
      </c>
      <c r="K63" s="14">
        <f>COUNTIF(K56:K62,"CMĐ")</f>
        <v>1</v>
      </c>
      <c r="L63" s="14">
        <f>COUNTIF(L58:L62,"XMDT")+COUNTIF(L58:L62,"Mốc")</f>
        <v>0</v>
      </c>
      <c r="M63" s="14">
        <f>COUNTIF(M62,"THÁn")</f>
        <v>0</v>
      </c>
      <c r="N63" s="14">
        <f>COUNTIF(N58:N62,"TÒA")</f>
        <v>1</v>
      </c>
      <c r="O63" s="14">
        <f>COUNTIF(O53:O62,"Cấp GCN")</f>
        <v>0</v>
      </c>
      <c r="P63" s="14">
        <f>COUNTIF(P61:P62,"SHN")</f>
        <v>0</v>
      </c>
      <c r="Q63" s="15"/>
      <c r="R63" s="13"/>
      <c r="S63" s="15"/>
      <c r="T63" s="15"/>
      <c r="U63" s="16"/>
      <c r="V63" s="11"/>
      <c r="W63" s="17"/>
      <c r="X63" s="2"/>
      <c r="AD63" s="14">
        <f>COUNTIF(AD62,"kt")</f>
        <v>0</v>
      </c>
    </row>
    <row r="64" spans="1:31" s="10" customFormat="1" ht="15.75" x14ac:dyDescent="0.25">
      <c r="A64" s="3">
        <v>56</v>
      </c>
      <c r="B64" s="3" t="s">
        <v>223</v>
      </c>
      <c r="C64" s="5" t="s">
        <v>1661</v>
      </c>
      <c r="D64" s="4" t="s">
        <v>1662</v>
      </c>
      <c r="E64" s="6">
        <v>24</v>
      </c>
      <c r="F64" s="6">
        <v>127</v>
      </c>
      <c r="G64" s="6">
        <v>164.2</v>
      </c>
      <c r="H64" s="6" t="s">
        <v>51</v>
      </c>
      <c r="I64" s="7">
        <v>45768</v>
      </c>
      <c r="J64" s="3"/>
      <c r="K64" s="3" t="s">
        <v>62</v>
      </c>
      <c r="L64" s="3"/>
      <c r="M64" s="3"/>
      <c r="N64" s="3"/>
      <c r="O64" s="3"/>
      <c r="P64" s="3"/>
      <c r="Q64" s="6" t="s">
        <v>180</v>
      </c>
      <c r="R64" s="7"/>
      <c r="S64" s="7"/>
      <c r="T64" s="7"/>
      <c r="U64" s="6"/>
      <c r="V64" s="11"/>
      <c r="W64" s="6"/>
      <c r="X64" s="6"/>
      <c r="Y64" s="6"/>
      <c r="Z64" s="6"/>
      <c r="AA64" s="8"/>
      <c r="AB64" s="8"/>
      <c r="AC64" s="6"/>
      <c r="AD64" s="6"/>
      <c r="AE64" s="9"/>
    </row>
    <row r="65" spans="1:31" s="10" customFormat="1" ht="63" x14ac:dyDescent="0.25">
      <c r="A65" s="3">
        <v>57</v>
      </c>
      <c r="B65" s="3" t="s">
        <v>223</v>
      </c>
      <c r="C65" s="5" t="s">
        <v>1672</v>
      </c>
      <c r="D65" s="4" t="s">
        <v>1673</v>
      </c>
      <c r="E65" s="6">
        <v>27</v>
      </c>
      <c r="F65" s="6">
        <v>25</v>
      </c>
      <c r="G65" s="6">
        <v>4437.3</v>
      </c>
      <c r="H65" s="6" t="s">
        <v>51</v>
      </c>
      <c r="I65" s="7" t="s">
        <v>2166</v>
      </c>
      <c r="J65" s="3" t="s">
        <v>1674</v>
      </c>
      <c r="K65" s="3"/>
      <c r="L65" s="3"/>
      <c r="M65" s="3"/>
      <c r="N65" s="3"/>
      <c r="O65" s="3"/>
      <c r="P65" s="3"/>
      <c r="Q65" s="6" t="s">
        <v>180</v>
      </c>
      <c r="R65" s="7"/>
      <c r="S65" s="7"/>
      <c r="T65" s="7"/>
      <c r="U65" s="6"/>
      <c r="V65" s="11"/>
      <c r="W65" s="6"/>
      <c r="X65" s="6"/>
      <c r="Y65" s="6"/>
      <c r="Z65" s="6"/>
      <c r="AA65" s="8"/>
      <c r="AB65" s="8"/>
      <c r="AC65" s="6"/>
      <c r="AD65" s="6"/>
      <c r="AE65" s="9"/>
    </row>
    <row r="66" spans="1:31" s="10" customFormat="1" ht="15.75" x14ac:dyDescent="0.25">
      <c r="A66" s="3">
        <v>58</v>
      </c>
      <c r="B66" s="3" t="s">
        <v>223</v>
      </c>
      <c r="C66" s="5" t="s">
        <v>349</v>
      </c>
      <c r="D66" s="4" t="s">
        <v>1742</v>
      </c>
      <c r="E66" s="6">
        <v>3</v>
      </c>
      <c r="F66" s="6">
        <v>27</v>
      </c>
      <c r="G66" s="6">
        <v>115.7</v>
      </c>
      <c r="H66" s="6" t="s">
        <v>55</v>
      </c>
      <c r="I66" s="7">
        <v>45771</v>
      </c>
      <c r="J66" s="3" t="s">
        <v>76</v>
      </c>
      <c r="K66" s="3"/>
      <c r="L66" s="3"/>
      <c r="M66" s="3"/>
      <c r="N66" s="3"/>
      <c r="O66" s="3"/>
      <c r="P66" s="3"/>
      <c r="Q66" s="6" t="s">
        <v>180</v>
      </c>
      <c r="R66" s="7"/>
      <c r="S66" s="7"/>
      <c r="T66" s="7"/>
      <c r="U66" s="6"/>
      <c r="V66" s="11"/>
      <c r="W66" s="6"/>
      <c r="X66" s="6"/>
      <c r="Y66" s="6"/>
      <c r="Z66" s="6"/>
      <c r="AA66" s="8"/>
      <c r="AB66" s="8"/>
      <c r="AC66" s="6"/>
      <c r="AD66" s="6"/>
      <c r="AE66" s="9"/>
    </row>
    <row r="67" spans="1:31" ht="16.5" x14ac:dyDescent="0.25">
      <c r="A67" s="12"/>
      <c r="B67" s="73" t="s">
        <v>1782</v>
      </c>
      <c r="C67" s="74"/>
      <c r="D67" s="74"/>
      <c r="E67" s="74"/>
      <c r="F67" s="74"/>
      <c r="G67" s="74"/>
      <c r="H67" s="75"/>
      <c r="I67" s="13"/>
      <c r="J67" s="14">
        <f>COUNTIF(J60:J66,"CQ")+COUNTIF(J60:J66,"CT")+COUNTIF(J60:J66,"TK")</f>
        <v>2</v>
      </c>
      <c r="K67" s="14">
        <f>COUNTIF(K64:K66,"CMĐ")</f>
        <v>1</v>
      </c>
      <c r="L67" s="14">
        <f>COUNTIF(L62:L66,"XMDT")+COUNTIF(L62:L66,"Mốc")</f>
        <v>0</v>
      </c>
      <c r="M67" s="14">
        <f>COUNTIF(M66,"THÁn")</f>
        <v>0</v>
      </c>
      <c r="N67" s="14">
        <f>COUNTIF(N62:N66,"TÒA")</f>
        <v>0</v>
      </c>
      <c r="O67" s="14">
        <f>COUNTIF(O57:O66,"Cấp GCN")</f>
        <v>0</v>
      </c>
      <c r="P67" s="14">
        <f>COUNTIF(P65:P66,"SHN")</f>
        <v>0</v>
      </c>
      <c r="Q67" s="15"/>
      <c r="R67" s="13"/>
      <c r="S67" s="15"/>
      <c r="T67" s="15"/>
      <c r="U67" s="16"/>
      <c r="V67" s="11"/>
      <c r="W67" s="17"/>
      <c r="X67" s="2"/>
      <c r="AD67" s="14">
        <f>COUNTIF(AD66,"kt")</f>
        <v>0</v>
      </c>
    </row>
    <row r="68" spans="1:31" s="10" customFormat="1" ht="15.75" x14ac:dyDescent="0.25">
      <c r="A68" s="3">
        <v>59</v>
      </c>
      <c r="B68" s="3" t="s">
        <v>223</v>
      </c>
      <c r="C68" s="5" t="s">
        <v>1819</v>
      </c>
      <c r="D68" s="4" t="s">
        <v>1820</v>
      </c>
      <c r="E68" s="6">
        <v>37</v>
      </c>
      <c r="F68" s="6">
        <v>62</v>
      </c>
      <c r="G68" s="6">
        <v>1313.5</v>
      </c>
      <c r="H68" s="6" t="s">
        <v>75</v>
      </c>
      <c r="I68" s="7">
        <v>45782</v>
      </c>
      <c r="J68" s="3"/>
      <c r="K68" s="3" t="s">
        <v>62</v>
      </c>
      <c r="L68" s="3"/>
      <c r="M68" s="3"/>
      <c r="N68" s="3"/>
      <c r="O68" s="3"/>
      <c r="P68" s="3"/>
      <c r="Q68" s="6" t="s">
        <v>180</v>
      </c>
      <c r="R68" s="7">
        <v>45805</v>
      </c>
      <c r="S68" s="7">
        <v>45805</v>
      </c>
      <c r="T68" s="7">
        <v>45805</v>
      </c>
      <c r="U68" s="6">
        <v>1033</v>
      </c>
      <c r="V68" s="11">
        <v>961551</v>
      </c>
      <c r="W68" s="6"/>
      <c r="X68" s="6"/>
      <c r="Y68" s="6"/>
      <c r="Z68" s="6"/>
      <c r="AA68" s="8"/>
      <c r="AB68" s="8"/>
      <c r="AC68" s="6"/>
      <c r="AD68" s="6"/>
      <c r="AE68" s="9"/>
    </row>
    <row r="69" spans="1:31" s="10" customFormat="1" ht="15.75" x14ac:dyDescent="0.25">
      <c r="A69" s="3">
        <v>60</v>
      </c>
      <c r="B69" s="3" t="s">
        <v>223</v>
      </c>
      <c r="C69" s="5" t="s">
        <v>1863</v>
      </c>
      <c r="D69" s="4" t="s">
        <v>1864</v>
      </c>
      <c r="E69" s="6">
        <v>19</v>
      </c>
      <c r="F69" s="6">
        <v>164</v>
      </c>
      <c r="G69" s="6">
        <v>1183.8</v>
      </c>
      <c r="H69" s="6" t="s">
        <v>75</v>
      </c>
      <c r="I69" s="7">
        <v>45784</v>
      </c>
      <c r="J69" s="3" t="s">
        <v>76</v>
      </c>
      <c r="K69" s="3"/>
      <c r="L69" s="3"/>
      <c r="M69" s="3"/>
      <c r="N69" s="3"/>
      <c r="O69" s="3"/>
      <c r="P69" s="3"/>
      <c r="Q69" s="6" t="s">
        <v>180</v>
      </c>
      <c r="R69" s="7"/>
      <c r="S69" s="7"/>
      <c r="T69" s="7"/>
      <c r="U69" s="6"/>
      <c r="V69" s="11"/>
      <c r="W69" s="6"/>
      <c r="X69" s="6"/>
      <c r="Y69" s="6"/>
      <c r="Z69" s="6"/>
      <c r="AA69" s="8"/>
      <c r="AB69" s="8"/>
      <c r="AC69" s="6"/>
      <c r="AD69" s="6"/>
      <c r="AE69" s="9"/>
    </row>
    <row r="70" spans="1:31" s="10" customFormat="1" ht="31.5" x14ac:dyDescent="0.25">
      <c r="A70" s="3">
        <v>61</v>
      </c>
      <c r="B70" s="3" t="s">
        <v>223</v>
      </c>
      <c r="C70" s="5" t="s">
        <v>1868</v>
      </c>
      <c r="D70" s="4"/>
      <c r="E70" s="6">
        <v>20</v>
      </c>
      <c r="F70" s="6">
        <v>81</v>
      </c>
      <c r="G70" s="6">
        <v>295.7</v>
      </c>
      <c r="H70" s="6" t="s">
        <v>51</v>
      </c>
      <c r="I70" s="7">
        <v>45783</v>
      </c>
      <c r="J70" s="3"/>
      <c r="K70" s="3"/>
      <c r="L70" s="3" t="s">
        <v>1</v>
      </c>
      <c r="M70" s="3"/>
      <c r="N70" s="3"/>
      <c r="O70" s="3"/>
      <c r="P70" s="3"/>
      <c r="Q70" s="6" t="s">
        <v>180</v>
      </c>
      <c r="R70" s="7">
        <v>45798</v>
      </c>
      <c r="S70" s="7">
        <v>45799</v>
      </c>
      <c r="T70" s="7">
        <v>45799</v>
      </c>
      <c r="U70" s="20">
        <v>854</v>
      </c>
      <c r="V70" s="11">
        <v>809727</v>
      </c>
      <c r="W70" s="6"/>
      <c r="X70" s="6"/>
      <c r="Y70" s="6"/>
      <c r="Z70" s="6"/>
      <c r="AA70" s="8"/>
      <c r="AB70" s="8"/>
      <c r="AC70" s="6" t="s">
        <v>2221</v>
      </c>
      <c r="AD70" s="6"/>
      <c r="AE70" s="9" t="s">
        <v>1869</v>
      </c>
    </row>
    <row r="71" spans="1:31" s="10" customFormat="1" ht="15.75" x14ac:dyDescent="0.25">
      <c r="A71" s="3">
        <v>62</v>
      </c>
      <c r="B71" s="3" t="s">
        <v>223</v>
      </c>
      <c r="C71" s="5" t="s">
        <v>400</v>
      </c>
      <c r="D71" s="4" t="s">
        <v>1908</v>
      </c>
      <c r="E71" s="6" t="s">
        <v>1907</v>
      </c>
      <c r="F71" s="6">
        <v>43</v>
      </c>
      <c r="G71" s="6">
        <v>1158.9000000000001</v>
      </c>
      <c r="H71" s="6" t="s">
        <v>110</v>
      </c>
      <c r="I71" s="7">
        <v>45786</v>
      </c>
      <c r="J71" s="3"/>
      <c r="K71" s="3"/>
      <c r="L71" s="3"/>
      <c r="M71" s="3"/>
      <c r="N71" s="3"/>
      <c r="O71" s="3"/>
      <c r="P71" s="3"/>
      <c r="Q71" s="6"/>
      <c r="R71" s="7"/>
      <c r="S71" s="7"/>
      <c r="T71" s="7"/>
      <c r="U71" s="6"/>
      <c r="V71" s="11"/>
      <c r="W71" s="6"/>
      <c r="X71" s="6"/>
      <c r="Y71" s="6"/>
      <c r="Z71" s="6"/>
      <c r="AA71" s="8"/>
      <c r="AB71" s="8"/>
      <c r="AC71" s="6"/>
      <c r="AD71" s="6"/>
      <c r="AE71" s="9"/>
    </row>
    <row r="72" spans="1:31" s="10" customFormat="1" ht="47.25" x14ac:dyDescent="0.25">
      <c r="A72" s="3">
        <v>63</v>
      </c>
      <c r="B72" s="3" t="s">
        <v>223</v>
      </c>
      <c r="C72" s="5" t="s">
        <v>1912</v>
      </c>
      <c r="D72" s="4" t="s">
        <v>1913</v>
      </c>
      <c r="E72" s="6">
        <v>29</v>
      </c>
      <c r="F72" s="6">
        <v>186</v>
      </c>
      <c r="G72" s="6">
        <v>530.20000000000005</v>
      </c>
      <c r="H72" s="6" t="s">
        <v>51</v>
      </c>
      <c r="I72" s="7"/>
      <c r="J72" s="3"/>
      <c r="K72" s="3"/>
      <c r="L72" s="3"/>
      <c r="M72" s="3"/>
      <c r="N72" s="3"/>
      <c r="O72" s="3"/>
      <c r="P72" s="3"/>
      <c r="Q72" s="6" t="s">
        <v>190</v>
      </c>
      <c r="R72" s="7"/>
      <c r="S72" s="7"/>
      <c r="T72" s="7"/>
      <c r="U72" s="6"/>
      <c r="V72" s="11"/>
      <c r="W72" s="6"/>
      <c r="X72" s="6"/>
      <c r="Y72" s="6"/>
      <c r="Z72" s="6" t="s">
        <v>1914</v>
      </c>
      <c r="AA72" s="8" t="s">
        <v>1997</v>
      </c>
      <c r="AB72" s="8" t="s">
        <v>1981</v>
      </c>
      <c r="AC72" s="6"/>
      <c r="AD72" s="6"/>
      <c r="AE72" s="9"/>
    </row>
    <row r="73" spans="1:31" ht="16.5" x14ac:dyDescent="0.25">
      <c r="A73" s="12"/>
      <c r="B73" s="73" t="s">
        <v>1919</v>
      </c>
      <c r="C73" s="74"/>
      <c r="D73" s="74"/>
      <c r="E73" s="74"/>
      <c r="F73" s="74"/>
      <c r="G73" s="74"/>
      <c r="H73" s="75"/>
      <c r="I73" s="13"/>
      <c r="J73" s="14">
        <f>COUNTIF(J68:J72,"CQ")+COUNTIF(J68:J72,"CT")+COUNTIF(J68:J72,"TK")</f>
        <v>1</v>
      </c>
      <c r="K73" s="14">
        <f>COUNTIF(K68:K72,"CMĐ")</f>
        <v>1</v>
      </c>
      <c r="L73" s="14">
        <f>COUNTIF(L68:L72,"XMDT")+COUNTIF(L68:L72,"Mốc")</f>
        <v>1</v>
      </c>
      <c r="M73" s="14">
        <f>COUNTIF(M72,"THÁn")</f>
        <v>0</v>
      </c>
      <c r="N73" s="14">
        <f>COUNTIF(N68:N72,"TÒA")</f>
        <v>0</v>
      </c>
      <c r="O73" s="14">
        <f>COUNTIF(O63:O72,"Cấp GCN")</f>
        <v>0</v>
      </c>
      <c r="P73" s="14">
        <f>COUNTIF(P71:P72,"SHN")</f>
        <v>0</v>
      </c>
      <c r="Q73" s="15"/>
      <c r="R73" s="13"/>
      <c r="S73" s="15"/>
      <c r="T73" s="15"/>
      <c r="U73" s="16"/>
      <c r="V73" s="11"/>
      <c r="W73" s="17"/>
      <c r="X73" s="2"/>
      <c r="AD73" s="14">
        <f>COUNTIF(AD72,"kt")</f>
        <v>0</v>
      </c>
    </row>
    <row r="74" spans="1:31" s="10" customFormat="1" ht="15.75" x14ac:dyDescent="0.25">
      <c r="A74" s="3">
        <v>64</v>
      </c>
      <c r="B74" s="3" t="s">
        <v>223</v>
      </c>
      <c r="C74" s="5" t="s">
        <v>400</v>
      </c>
      <c r="D74" s="4" t="s">
        <v>1908</v>
      </c>
      <c r="E74" s="6">
        <v>24</v>
      </c>
      <c r="F74" s="6">
        <v>43</v>
      </c>
      <c r="G74" s="6">
        <v>1158.9000000000001</v>
      </c>
      <c r="H74" s="6" t="s">
        <v>75</v>
      </c>
      <c r="I74" s="7">
        <v>45786</v>
      </c>
      <c r="J74" s="3"/>
      <c r="K74" s="3"/>
      <c r="L74" s="3" t="s">
        <v>1</v>
      </c>
      <c r="M74" s="3"/>
      <c r="N74" s="3"/>
      <c r="O74" s="3"/>
      <c r="P74" s="3"/>
      <c r="Q74" s="6" t="s">
        <v>180</v>
      </c>
      <c r="R74" s="7"/>
      <c r="S74" s="7"/>
      <c r="T74" s="7"/>
      <c r="U74" s="6"/>
      <c r="V74" s="11"/>
      <c r="W74" s="6"/>
      <c r="X74" s="6"/>
      <c r="Y74" s="6"/>
      <c r="Z74" s="6"/>
      <c r="AA74" s="8"/>
      <c r="AB74" s="8"/>
      <c r="AC74" s="6"/>
      <c r="AD74" s="6"/>
      <c r="AE74" s="9"/>
    </row>
    <row r="75" spans="1:31" s="10" customFormat="1" ht="31.5" x14ac:dyDescent="0.25">
      <c r="A75" s="3">
        <v>65</v>
      </c>
      <c r="B75" s="3" t="s">
        <v>223</v>
      </c>
      <c r="C75" s="5" t="s">
        <v>1951</v>
      </c>
      <c r="D75" s="4" t="s">
        <v>1952</v>
      </c>
      <c r="E75" s="6">
        <v>21</v>
      </c>
      <c r="F75" s="6">
        <v>42</v>
      </c>
      <c r="G75" s="6">
        <v>850.2</v>
      </c>
      <c r="H75" s="6" t="s">
        <v>51</v>
      </c>
      <c r="I75" s="7">
        <v>45786</v>
      </c>
      <c r="J75" s="3" t="s">
        <v>823</v>
      </c>
      <c r="K75" s="3"/>
      <c r="L75" s="3"/>
      <c r="M75" s="3"/>
      <c r="N75" s="3"/>
      <c r="O75" s="3"/>
      <c r="P75" s="3"/>
      <c r="Q75" s="6" t="s">
        <v>180</v>
      </c>
      <c r="R75" s="7">
        <v>45803</v>
      </c>
      <c r="S75" s="7">
        <v>45806</v>
      </c>
      <c r="T75" s="7">
        <v>45806</v>
      </c>
      <c r="U75" s="20">
        <v>1088</v>
      </c>
      <c r="V75" s="11">
        <v>1248329</v>
      </c>
      <c r="W75" s="6"/>
      <c r="X75" s="6"/>
      <c r="Y75" s="6"/>
      <c r="Z75" s="6" t="s">
        <v>2305</v>
      </c>
      <c r="AA75" s="8" t="s">
        <v>2306</v>
      </c>
      <c r="AB75" s="8"/>
      <c r="AC75" s="6"/>
      <c r="AD75" s="6"/>
      <c r="AE75" s="9"/>
    </row>
    <row r="76" spans="1:31" s="10" customFormat="1" ht="15.75" x14ac:dyDescent="0.25">
      <c r="A76" s="3">
        <v>66</v>
      </c>
      <c r="B76" s="3" t="s">
        <v>223</v>
      </c>
      <c r="C76" s="5" t="s">
        <v>2019</v>
      </c>
      <c r="D76" s="4" t="s">
        <v>2020</v>
      </c>
      <c r="E76" s="6">
        <v>32</v>
      </c>
      <c r="F76" s="6">
        <v>132</v>
      </c>
      <c r="G76" s="6">
        <v>539.70000000000005</v>
      </c>
      <c r="H76" s="6" t="s">
        <v>51</v>
      </c>
      <c r="I76" s="7">
        <v>45791</v>
      </c>
      <c r="J76" s="3"/>
      <c r="K76" s="3" t="s">
        <v>62</v>
      </c>
      <c r="L76" s="3"/>
      <c r="M76" s="3"/>
      <c r="N76" s="3"/>
      <c r="O76" s="3"/>
      <c r="P76" s="3"/>
      <c r="Q76" s="6" t="s">
        <v>180</v>
      </c>
      <c r="R76" s="7"/>
      <c r="S76" s="7"/>
      <c r="T76" s="7"/>
      <c r="U76" s="6"/>
      <c r="V76" s="11"/>
      <c r="W76" s="6"/>
      <c r="X76" s="6"/>
      <c r="Y76" s="6"/>
      <c r="Z76" s="6"/>
      <c r="AA76" s="8"/>
      <c r="AB76" s="8"/>
      <c r="AC76" s="6"/>
      <c r="AD76" s="6"/>
      <c r="AE76" s="9"/>
    </row>
    <row r="77" spans="1:31" s="10" customFormat="1" ht="78.75" x14ac:dyDescent="0.25">
      <c r="A77" s="3">
        <v>67</v>
      </c>
      <c r="B77" s="3" t="s">
        <v>223</v>
      </c>
      <c r="C77" s="5" t="s">
        <v>2026</v>
      </c>
      <c r="D77" s="4" t="s">
        <v>488</v>
      </c>
      <c r="E77" s="6">
        <v>28</v>
      </c>
      <c r="F77" s="6" t="s">
        <v>2032</v>
      </c>
      <c r="G77" s="6" t="s">
        <v>2033</v>
      </c>
      <c r="H77" s="3"/>
      <c r="I77" s="7">
        <v>45792</v>
      </c>
      <c r="J77" s="3"/>
      <c r="K77" s="3"/>
      <c r="L77" s="3"/>
      <c r="M77" s="3"/>
      <c r="N77" s="3"/>
      <c r="O77" s="3"/>
      <c r="P77" s="3"/>
      <c r="Q77" s="6" t="s">
        <v>180</v>
      </c>
      <c r="R77" s="7"/>
      <c r="S77" s="7"/>
      <c r="T77" s="7"/>
      <c r="U77" s="6"/>
      <c r="V77" s="11"/>
      <c r="W77" s="6"/>
      <c r="X77" s="6"/>
      <c r="Y77" s="6"/>
      <c r="Z77" s="6"/>
      <c r="AA77" s="8"/>
      <c r="AB77" s="8"/>
      <c r="AC77" s="6" t="s">
        <v>2028</v>
      </c>
      <c r="AD77" s="6"/>
      <c r="AE77" s="9"/>
    </row>
    <row r="78" spans="1:31" s="10" customFormat="1" ht="15.75" x14ac:dyDescent="0.25">
      <c r="A78" s="3">
        <v>68</v>
      </c>
      <c r="B78" s="3" t="s">
        <v>223</v>
      </c>
      <c r="C78" s="5" t="s">
        <v>2037</v>
      </c>
      <c r="D78" s="4" t="s">
        <v>2038</v>
      </c>
      <c r="E78" s="6">
        <v>7</v>
      </c>
      <c r="F78" s="6">
        <v>281</v>
      </c>
      <c r="G78" s="6">
        <v>1691.9</v>
      </c>
      <c r="H78" s="6" t="s">
        <v>75</v>
      </c>
      <c r="I78" s="7">
        <v>45792</v>
      </c>
      <c r="J78" s="3" t="s">
        <v>60</v>
      </c>
      <c r="K78" s="3"/>
      <c r="L78" s="3"/>
      <c r="M78" s="3"/>
      <c r="N78" s="3"/>
      <c r="O78" s="3"/>
      <c r="P78" s="3"/>
      <c r="Q78" s="6" t="s">
        <v>180</v>
      </c>
      <c r="R78" s="7"/>
      <c r="S78" s="7"/>
      <c r="T78" s="7"/>
      <c r="U78" s="6"/>
      <c r="V78" s="11"/>
      <c r="W78" s="6"/>
      <c r="X78" s="6"/>
      <c r="Y78" s="6"/>
      <c r="Z78" s="6"/>
      <c r="AA78" s="8"/>
      <c r="AB78" s="8"/>
      <c r="AC78" s="6"/>
      <c r="AD78" s="6"/>
      <c r="AE78" s="9"/>
    </row>
    <row r="79" spans="1:31" s="10" customFormat="1" ht="63" x14ac:dyDescent="0.25">
      <c r="A79" s="3">
        <v>69</v>
      </c>
      <c r="B79" s="3" t="s">
        <v>223</v>
      </c>
      <c r="C79" s="5" t="s">
        <v>2050</v>
      </c>
      <c r="D79" s="4" t="s">
        <v>2051</v>
      </c>
      <c r="E79" s="6">
        <v>24</v>
      </c>
      <c r="F79" s="6">
        <v>161</v>
      </c>
      <c r="G79" s="6">
        <v>404.9</v>
      </c>
      <c r="H79" s="6" t="s">
        <v>51</v>
      </c>
      <c r="I79" s="7">
        <v>45792</v>
      </c>
      <c r="J79" s="3"/>
      <c r="K79" s="3" t="s">
        <v>62</v>
      </c>
      <c r="L79" s="3"/>
      <c r="M79" s="3"/>
      <c r="N79" s="3"/>
      <c r="O79" s="3"/>
      <c r="P79" s="3"/>
      <c r="Q79" s="6" t="s">
        <v>180</v>
      </c>
      <c r="R79" s="7"/>
      <c r="S79" s="7"/>
      <c r="T79" s="7"/>
      <c r="U79" s="6"/>
      <c r="V79" s="11"/>
      <c r="W79" s="6"/>
      <c r="X79" s="6"/>
      <c r="Y79" s="6"/>
      <c r="Z79" s="6"/>
      <c r="AA79" s="8"/>
      <c r="AB79" s="8"/>
      <c r="AC79" s="6" t="s">
        <v>2345</v>
      </c>
      <c r="AD79" s="6"/>
      <c r="AE79" s="9"/>
    </row>
    <row r="80" spans="1:31" s="10" customFormat="1" ht="63" x14ac:dyDescent="0.25">
      <c r="A80" s="3">
        <v>70</v>
      </c>
      <c r="B80" s="3" t="s">
        <v>223</v>
      </c>
      <c r="C80" s="5" t="s">
        <v>2052</v>
      </c>
      <c r="D80" s="4" t="s">
        <v>2053</v>
      </c>
      <c r="E80" s="6">
        <v>24</v>
      </c>
      <c r="F80" s="6">
        <v>162</v>
      </c>
      <c r="G80" s="6">
        <v>417.9</v>
      </c>
      <c r="H80" s="6" t="s">
        <v>51</v>
      </c>
      <c r="I80" s="7">
        <v>45792</v>
      </c>
      <c r="J80" s="3"/>
      <c r="K80" s="3" t="s">
        <v>62</v>
      </c>
      <c r="L80" s="3"/>
      <c r="M80" s="3"/>
      <c r="N80" s="3"/>
      <c r="O80" s="3"/>
      <c r="P80" s="3"/>
      <c r="Q80" s="6" t="s">
        <v>180</v>
      </c>
      <c r="R80" s="7"/>
      <c r="S80" s="7"/>
      <c r="T80" s="7"/>
      <c r="U80" s="6"/>
      <c r="V80" s="11"/>
      <c r="W80" s="6"/>
      <c r="X80" s="6"/>
      <c r="Y80" s="6"/>
      <c r="Z80" s="6"/>
      <c r="AA80" s="8"/>
      <c r="AB80" s="8"/>
      <c r="AC80" s="6" t="s">
        <v>2345</v>
      </c>
      <c r="AD80" s="6"/>
      <c r="AE80" s="9"/>
    </row>
    <row r="81" spans="1:31" s="10" customFormat="1" ht="63" x14ac:dyDescent="0.25">
      <c r="A81" s="3">
        <v>71</v>
      </c>
      <c r="B81" s="3" t="s">
        <v>223</v>
      </c>
      <c r="C81" s="5" t="s">
        <v>2054</v>
      </c>
      <c r="D81" s="4" t="s">
        <v>2053</v>
      </c>
      <c r="E81" s="6">
        <v>24</v>
      </c>
      <c r="F81" s="6">
        <v>163</v>
      </c>
      <c r="G81" s="6">
        <v>408.9</v>
      </c>
      <c r="H81" s="6" t="s">
        <v>51</v>
      </c>
      <c r="I81" s="7">
        <v>45792</v>
      </c>
      <c r="J81" s="3"/>
      <c r="K81" s="3" t="s">
        <v>62</v>
      </c>
      <c r="L81" s="3"/>
      <c r="M81" s="3"/>
      <c r="N81" s="3"/>
      <c r="O81" s="3"/>
      <c r="P81" s="3"/>
      <c r="Q81" s="6" t="s">
        <v>180</v>
      </c>
      <c r="R81" s="7"/>
      <c r="S81" s="7"/>
      <c r="T81" s="7"/>
      <c r="U81" s="6"/>
      <c r="V81" s="11"/>
      <c r="W81" s="6"/>
      <c r="X81" s="6"/>
      <c r="Y81" s="6"/>
      <c r="Z81" s="6"/>
      <c r="AA81" s="8"/>
      <c r="AB81" s="8"/>
      <c r="AC81" s="6" t="s">
        <v>2345</v>
      </c>
      <c r="AD81" s="6"/>
      <c r="AE81" s="9"/>
    </row>
    <row r="82" spans="1:31" ht="16.5" x14ac:dyDescent="0.25">
      <c r="A82" s="12"/>
      <c r="B82" s="73" t="s">
        <v>2099</v>
      </c>
      <c r="C82" s="74"/>
      <c r="D82" s="74"/>
      <c r="E82" s="74"/>
      <c r="F82" s="74"/>
      <c r="G82" s="74"/>
      <c r="H82" s="75"/>
      <c r="I82" s="13"/>
      <c r="J82" s="14">
        <f>COUNTIF(J77:J81,"CN")+COUNTIF(J74:J81,"IG")+COUNTIF(J77:J81,"TK")</f>
        <v>2</v>
      </c>
      <c r="K82" s="14">
        <f>COUNTIF(K74:K81,"CMĐ")</f>
        <v>4</v>
      </c>
      <c r="L82" s="14">
        <f>COUNTIF(L74:L81,"XMDT")+COUNTIF(L77:L81,"Mốc")</f>
        <v>1</v>
      </c>
      <c r="M82" s="14">
        <f>COUNTIF(M81,"THÁn")</f>
        <v>0</v>
      </c>
      <c r="N82" s="14">
        <f>COUNTIF(N77:N81,"TÒA")</f>
        <v>0</v>
      </c>
      <c r="O82" s="14">
        <f>COUNTIF(O72:O81,"Cấp GCN")</f>
        <v>0</v>
      </c>
      <c r="P82" s="14">
        <f>COUNTIF(P80:P81,"SHN")</f>
        <v>0</v>
      </c>
      <c r="Q82" s="15"/>
      <c r="R82" s="13"/>
      <c r="S82" s="15"/>
      <c r="T82" s="15"/>
      <c r="U82" s="16"/>
      <c r="V82" s="11"/>
      <c r="W82" s="17"/>
      <c r="X82" s="2"/>
      <c r="AD82" s="14">
        <f>COUNTIF(AD81,"kt")</f>
        <v>0</v>
      </c>
    </row>
    <row r="83" spans="1:31" s="10" customFormat="1" ht="15.75" x14ac:dyDescent="0.25">
      <c r="A83" s="3">
        <v>72</v>
      </c>
      <c r="B83" s="3" t="s">
        <v>223</v>
      </c>
      <c r="C83" s="5" t="s">
        <v>2157</v>
      </c>
      <c r="D83" s="4" t="s">
        <v>2158</v>
      </c>
      <c r="E83" s="6">
        <v>24</v>
      </c>
      <c r="F83" s="6">
        <v>59</v>
      </c>
      <c r="G83" s="6">
        <v>2585.8000000000002</v>
      </c>
      <c r="H83" s="6" t="s">
        <v>51</v>
      </c>
      <c r="I83" s="7">
        <v>45797</v>
      </c>
      <c r="J83" s="3"/>
      <c r="K83" s="3" t="s">
        <v>62</v>
      </c>
      <c r="L83" s="3"/>
      <c r="M83" s="3"/>
      <c r="N83" s="3"/>
      <c r="O83" s="3"/>
      <c r="P83" s="3"/>
      <c r="Q83" s="6" t="s">
        <v>2156</v>
      </c>
      <c r="R83" s="7"/>
      <c r="S83" s="7"/>
      <c r="T83" s="7"/>
      <c r="U83" s="6"/>
      <c r="V83" s="11"/>
      <c r="W83" s="6"/>
      <c r="X83" s="6"/>
      <c r="Y83" s="6"/>
      <c r="Z83" s="6"/>
      <c r="AA83" s="8"/>
      <c r="AB83" s="8"/>
      <c r="AC83" s="6"/>
      <c r="AD83" s="6"/>
      <c r="AE83" s="9"/>
    </row>
    <row r="84" spans="1:31" ht="16.5" x14ac:dyDescent="0.25">
      <c r="A84" s="12"/>
      <c r="B84" s="73" t="s">
        <v>2208</v>
      </c>
      <c r="C84" s="74"/>
      <c r="D84" s="74"/>
      <c r="E84" s="74"/>
      <c r="F84" s="74"/>
      <c r="G84" s="74"/>
      <c r="H84" s="75"/>
      <c r="I84" s="13"/>
      <c r="J84" s="14">
        <f>COUNTIF(J79:J83,"CN")+COUNTIF(J76:J83,"IG")+COUNTIF(J79:J83,"TK")</f>
        <v>0</v>
      </c>
      <c r="K84" s="14">
        <f>COUNTIF(K83,"CMĐ")</f>
        <v>1</v>
      </c>
      <c r="L84" s="14">
        <f>COUNTIF(L76:L83,"XMDT")+COUNTIF(L79:L83,"Mốc")</f>
        <v>0</v>
      </c>
      <c r="M84" s="14">
        <f>COUNTIF(M83,"THÁn")</f>
        <v>0</v>
      </c>
      <c r="N84" s="14">
        <f>COUNTIF(N79:N83,"TÒA")</f>
        <v>0</v>
      </c>
      <c r="O84" s="14">
        <f>COUNTIF(O74:O83,"Cấp GCN")</f>
        <v>0</v>
      </c>
      <c r="P84" s="14">
        <f>COUNTIF(P82:P83,"SHN")</f>
        <v>0</v>
      </c>
      <c r="Q84" s="15"/>
      <c r="R84" s="13"/>
      <c r="S84" s="15"/>
      <c r="T84" s="15"/>
      <c r="U84" s="16"/>
      <c r="V84" s="11"/>
      <c r="W84" s="17"/>
      <c r="X84" s="2"/>
      <c r="AD84" s="14">
        <f>COUNTIF(AD83,"kt")</f>
        <v>0</v>
      </c>
    </row>
    <row r="85" spans="1:31" s="10" customFormat="1" ht="15.75" x14ac:dyDescent="0.25">
      <c r="A85" s="3">
        <v>73</v>
      </c>
      <c r="B85" s="3" t="s">
        <v>223</v>
      </c>
      <c r="C85" s="5" t="s">
        <v>2246</v>
      </c>
      <c r="D85" s="4" t="s">
        <v>2247</v>
      </c>
      <c r="E85" s="6">
        <v>20</v>
      </c>
      <c r="F85" s="6">
        <v>142</v>
      </c>
      <c r="G85" s="6">
        <v>1305.9000000000001</v>
      </c>
      <c r="H85" s="6" t="s">
        <v>51</v>
      </c>
      <c r="I85" s="7">
        <v>45804</v>
      </c>
      <c r="J85" s="3" t="s">
        <v>153</v>
      </c>
      <c r="K85" s="3"/>
      <c r="L85" s="3"/>
      <c r="M85" s="3"/>
      <c r="N85" s="3"/>
      <c r="O85" s="3"/>
      <c r="P85" s="3"/>
      <c r="Q85" s="6" t="s">
        <v>180</v>
      </c>
      <c r="R85" s="7"/>
      <c r="S85" s="7"/>
      <c r="T85" s="7"/>
      <c r="U85" s="6"/>
      <c r="V85" s="11"/>
      <c r="W85" s="6"/>
      <c r="X85" s="6"/>
      <c r="Y85" s="6"/>
      <c r="Z85" s="6"/>
      <c r="AA85" s="8"/>
      <c r="AB85" s="8"/>
      <c r="AC85" s="6"/>
      <c r="AD85" s="6"/>
      <c r="AE85" s="9"/>
    </row>
    <row r="86" spans="1:31" s="10" customFormat="1" ht="15.75" x14ac:dyDescent="0.25">
      <c r="A86" s="3">
        <v>74</v>
      </c>
      <c r="B86" s="3" t="s">
        <v>223</v>
      </c>
      <c r="C86" s="5" t="s">
        <v>2261</v>
      </c>
      <c r="D86" s="4" t="s">
        <v>2262</v>
      </c>
      <c r="E86" s="6">
        <v>38</v>
      </c>
      <c r="F86" s="6">
        <v>69</v>
      </c>
      <c r="G86" s="6">
        <v>454.5</v>
      </c>
      <c r="H86" s="6" t="s">
        <v>51</v>
      </c>
      <c r="I86" s="7">
        <v>45805</v>
      </c>
      <c r="J86" s="3"/>
      <c r="K86" s="3" t="s">
        <v>62</v>
      </c>
      <c r="L86" s="3"/>
      <c r="M86" s="3"/>
      <c r="N86" s="3"/>
      <c r="O86" s="3"/>
      <c r="P86" s="3"/>
      <c r="Q86" s="6" t="s">
        <v>180</v>
      </c>
      <c r="R86" s="7"/>
      <c r="S86" s="7"/>
      <c r="T86" s="7"/>
      <c r="U86" s="6"/>
      <c r="V86" s="11"/>
      <c r="W86" s="6"/>
      <c r="X86" s="6"/>
      <c r="Y86" s="6"/>
      <c r="Z86" s="6"/>
      <c r="AA86" s="8"/>
      <c r="AB86" s="8"/>
      <c r="AC86" s="6"/>
      <c r="AD86" s="6"/>
      <c r="AE86" s="9"/>
    </row>
    <row r="87" spans="1:31" s="10" customFormat="1" ht="15.75" x14ac:dyDescent="0.25">
      <c r="A87" s="3">
        <v>75</v>
      </c>
      <c r="B87" s="3" t="s">
        <v>223</v>
      </c>
      <c r="C87" s="5" t="s">
        <v>2269</v>
      </c>
      <c r="D87" s="4" t="s">
        <v>2270</v>
      </c>
      <c r="E87" s="6">
        <v>29</v>
      </c>
      <c r="F87" s="6">
        <v>56</v>
      </c>
      <c r="G87" s="6">
        <v>1338.6</v>
      </c>
      <c r="H87" s="6" t="s">
        <v>75</v>
      </c>
      <c r="I87" s="7">
        <v>45805</v>
      </c>
      <c r="J87" s="3"/>
      <c r="K87" s="3" t="s">
        <v>62</v>
      </c>
      <c r="L87" s="3"/>
      <c r="M87" s="3"/>
      <c r="N87" s="3"/>
      <c r="O87" s="3"/>
      <c r="P87" s="3"/>
      <c r="Q87" s="6" t="s">
        <v>180</v>
      </c>
      <c r="R87" s="7">
        <v>45828</v>
      </c>
      <c r="S87" s="7">
        <v>45829</v>
      </c>
      <c r="T87" s="7">
        <v>45829</v>
      </c>
      <c r="U87" s="6">
        <v>1776</v>
      </c>
      <c r="V87" s="11">
        <v>961551</v>
      </c>
      <c r="W87" s="6"/>
      <c r="X87" s="6"/>
      <c r="Y87" s="6"/>
      <c r="Z87" s="6"/>
      <c r="AA87" s="8"/>
      <c r="AB87" s="8"/>
      <c r="AC87" s="6"/>
      <c r="AD87" s="6"/>
      <c r="AE87" s="9"/>
    </row>
    <row r="88" spans="1:31" s="10" customFormat="1" ht="15.75" x14ac:dyDescent="0.25">
      <c r="A88" s="3">
        <v>76</v>
      </c>
      <c r="B88" s="3" t="s">
        <v>223</v>
      </c>
      <c r="C88" s="5" t="s">
        <v>2272</v>
      </c>
      <c r="D88" s="4"/>
      <c r="E88" s="6">
        <v>43</v>
      </c>
      <c r="F88" s="6">
        <v>13</v>
      </c>
      <c r="G88" s="6">
        <v>3392.7</v>
      </c>
      <c r="H88" s="6" t="s">
        <v>51</v>
      </c>
      <c r="I88" s="7">
        <v>45805</v>
      </c>
      <c r="J88" s="3"/>
      <c r="K88" s="3" t="s">
        <v>62</v>
      </c>
      <c r="L88" s="3"/>
      <c r="M88" s="3"/>
      <c r="N88" s="3"/>
      <c r="O88" s="3"/>
      <c r="P88" s="3"/>
      <c r="Q88" s="6" t="s">
        <v>180</v>
      </c>
      <c r="R88" s="7"/>
      <c r="S88" s="7"/>
      <c r="T88" s="7"/>
      <c r="U88" s="6"/>
      <c r="V88" s="11"/>
      <c r="W88" s="6"/>
      <c r="X88" s="6"/>
      <c r="Y88" s="6"/>
      <c r="Z88" s="6"/>
      <c r="AA88" s="8"/>
      <c r="AB88" s="8"/>
      <c r="AC88" s="6"/>
      <c r="AD88" s="6"/>
      <c r="AE88" s="9"/>
    </row>
    <row r="89" spans="1:31" ht="16.5" x14ac:dyDescent="0.25">
      <c r="A89" s="12"/>
      <c r="B89" s="73" t="s">
        <v>2324</v>
      </c>
      <c r="C89" s="74"/>
      <c r="D89" s="74"/>
      <c r="E89" s="74"/>
      <c r="F89" s="74"/>
      <c r="G89" s="74"/>
      <c r="H89" s="75"/>
      <c r="I89" s="13"/>
      <c r="J89" s="14">
        <f>COUNTIF(J85:J88,"CQ")+COUNTIF(J81:J88,"IG")+COUNTIF(J84:J88,"TK")</f>
        <v>1</v>
      </c>
      <c r="K89" s="14">
        <f>COUNTIF(K85:K88,"CMĐ")</f>
        <v>3</v>
      </c>
      <c r="L89" s="14">
        <f>COUNTIF(L81:L88,"XMDT")+COUNTIF(L84:L88,"Mốc")</f>
        <v>0</v>
      </c>
      <c r="M89" s="14">
        <f>COUNTIF(M88,"THÁn")</f>
        <v>0</v>
      </c>
      <c r="N89" s="14">
        <f>COUNTIF(N84:N88,"TÒA")</f>
        <v>0</v>
      </c>
      <c r="O89" s="14">
        <f>COUNTIF(O79:O88,"Cấp GCN")</f>
        <v>0</v>
      </c>
      <c r="P89" s="14">
        <f>COUNTIF(P87:P88,"SHN")</f>
        <v>0</v>
      </c>
      <c r="Q89" s="15"/>
      <c r="R89" s="13"/>
      <c r="S89" s="15"/>
      <c r="T89" s="15"/>
      <c r="U89" s="16"/>
      <c r="V89" s="11"/>
      <c r="W89" s="17"/>
      <c r="X89" s="2"/>
      <c r="AD89" s="14">
        <f>COUNTIF(AD88,"kt")</f>
        <v>0</v>
      </c>
    </row>
    <row r="90" spans="1:31" s="10" customFormat="1" ht="31.5" customHeight="1" x14ac:dyDescent="0.25">
      <c r="A90" s="3">
        <v>77</v>
      </c>
      <c r="B90" s="3" t="s">
        <v>223</v>
      </c>
      <c r="C90" s="5" t="s">
        <v>2423</v>
      </c>
      <c r="D90" s="4"/>
      <c r="E90" s="6">
        <v>19</v>
      </c>
      <c r="F90" s="6">
        <v>132</v>
      </c>
      <c r="G90" s="6">
        <v>1081.5</v>
      </c>
      <c r="H90" s="6" t="s">
        <v>75</v>
      </c>
      <c r="I90" s="7">
        <v>45817</v>
      </c>
      <c r="J90" s="3"/>
      <c r="K90" s="3" t="s">
        <v>62</v>
      </c>
      <c r="L90" s="3"/>
      <c r="M90" s="3"/>
      <c r="N90" s="3"/>
      <c r="O90" s="3"/>
      <c r="P90" s="3"/>
      <c r="Q90" s="6" t="s">
        <v>180</v>
      </c>
      <c r="R90" s="7"/>
      <c r="S90" s="7"/>
      <c r="T90" s="7"/>
      <c r="U90" s="6"/>
      <c r="V90" s="11"/>
      <c r="W90" s="6"/>
      <c r="X90" s="6"/>
      <c r="Y90" s="6"/>
      <c r="Z90" s="6"/>
      <c r="AA90" s="8"/>
      <c r="AB90" s="8"/>
      <c r="AC90" s="6"/>
      <c r="AD90" s="6"/>
      <c r="AE90" s="9"/>
    </row>
    <row r="91" spans="1:31" s="10" customFormat="1" ht="31.5" x14ac:dyDescent="0.25">
      <c r="A91" s="3">
        <v>78</v>
      </c>
      <c r="B91" s="3" t="s">
        <v>223</v>
      </c>
      <c r="C91" s="5" t="s">
        <v>2448</v>
      </c>
      <c r="D91" s="4" t="s">
        <v>2449</v>
      </c>
      <c r="E91" s="6">
        <v>20</v>
      </c>
      <c r="F91" s="6">
        <v>250</v>
      </c>
      <c r="G91" s="6">
        <v>800</v>
      </c>
      <c r="H91" s="6" t="s">
        <v>51</v>
      </c>
      <c r="I91" s="7">
        <v>45818</v>
      </c>
      <c r="J91" s="3"/>
      <c r="K91" s="3" t="s">
        <v>62</v>
      </c>
      <c r="L91" s="3"/>
      <c r="M91" s="3"/>
      <c r="N91" s="3"/>
      <c r="O91" s="3"/>
      <c r="P91" s="3"/>
      <c r="Q91" s="6" t="s">
        <v>180</v>
      </c>
      <c r="R91" s="7">
        <v>45828</v>
      </c>
      <c r="S91" s="7">
        <v>45832</v>
      </c>
      <c r="T91" s="7">
        <v>45832</v>
      </c>
      <c r="U91" s="6">
        <v>1838</v>
      </c>
      <c r="V91" s="11">
        <v>961551</v>
      </c>
      <c r="W91" s="6"/>
      <c r="X91" s="6"/>
      <c r="Y91" s="6"/>
      <c r="Z91" s="6"/>
      <c r="AA91" s="8"/>
      <c r="AB91" s="8"/>
      <c r="AC91" s="6" t="s">
        <v>2709</v>
      </c>
      <c r="AD91" s="6"/>
      <c r="AE91" s="9"/>
    </row>
    <row r="92" spans="1:31" s="10" customFormat="1" ht="15.75" x14ac:dyDescent="0.25">
      <c r="A92" s="3">
        <v>79</v>
      </c>
      <c r="B92" s="3" t="s">
        <v>223</v>
      </c>
      <c r="C92" s="5" t="s">
        <v>2476</v>
      </c>
      <c r="D92" s="4" t="s">
        <v>2477</v>
      </c>
      <c r="E92" s="6">
        <v>25</v>
      </c>
      <c r="F92" s="6">
        <v>211</v>
      </c>
      <c r="G92" s="6">
        <v>572.29999999999995</v>
      </c>
      <c r="H92" s="6" t="s">
        <v>51</v>
      </c>
      <c r="I92" s="7">
        <v>45819</v>
      </c>
      <c r="J92" s="3"/>
      <c r="K92" s="3" t="s">
        <v>62</v>
      </c>
      <c r="L92" s="3"/>
      <c r="M92" s="3"/>
      <c r="N92" s="3"/>
      <c r="O92" s="3"/>
      <c r="P92" s="3"/>
      <c r="Q92" s="6" t="s">
        <v>180</v>
      </c>
      <c r="R92" s="7"/>
      <c r="S92" s="7"/>
      <c r="T92" s="7"/>
      <c r="U92" s="6"/>
      <c r="V92" s="11"/>
      <c r="W92" s="6"/>
      <c r="X92" s="6"/>
      <c r="Y92" s="6"/>
      <c r="Z92" s="6"/>
      <c r="AA92" s="8"/>
      <c r="AB92" s="8"/>
      <c r="AC92" s="6"/>
      <c r="AD92" s="6"/>
      <c r="AE92" s="9"/>
    </row>
    <row r="93" spans="1:31" s="10" customFormat="1" ht="15.75" x14ac:dyDescent="0.25">
      <c r="A93" s="3">
        <v>80</v>
      </c>
      <c r="B93" s="3" t="s">
        <v>223</v>
      </c>
      <c r="C93" s="5" t="s">
        <v>2524</v>
      </c>
      <c r="D93" s="4" t="s">
        <v>2525</v>
      </c>
      <c r="E93" s="6">
        <v>80</v>
      </c>
      <c r="F93" s="6">
        <v>24</v>
      </c>
      <c r="G93" s="6">
        <v>1706.4</v>
      </c>
      <c r="H93" s="6" t="s">
        <v>51</v>
      </c>
      <c r="I93" s="7">
        <v>45824</v>
      </c>
      <c r="J93" s="3" t="s">
        <v>76</v>
      </c>
      <c r="K93" s="3"/>
      <c r="L93" s="3"/>
      <c r="M93" s="3"/>
      <c r="N93" s="3"/>
      <c r="O93" s="3"/>
      <c r="P93" s="3"/>
      <c r="Q93" s="6" t="s">
        <v>180</v>
      </c>
      <c r="R93" s="7"/>
      <c r="S93" s="7"/>
      <c r="T93" s="7"/>
      <c r="U93" s="6"/>
      <c r="V93" s="11"/>
      <c r="W93" s="6"/>
      <c r="X93" s="6"/>
      <c r="Y93" s="6"/>
      <c r="Z93" s="6"/>
      <c r="AA93" s="8"/>
      <c r="AB93" s="8"/>
      <c r="AC93" s="6"/>
      <c r="AD93" s="6"/>
      <c r="AE93" s="9"/>
    </row>
    <row r="94" spans="1:31" ht="16.5" x14ac:dyDescent="0.25">
      <c r="A94" s="12"/>
      <c r="B94" s="73" t="s">
        <v>2523</v>
      </c>
      <c r="C94" s="74"/>
      <c r="D94" s="74"/>
      <c r="E94" s="74"/>
      <c r="F94" s="74"/>
      <c r="G94" s="74"/>
      <c r="H94" s="75"/>
      <c r="I94" s="13"/>
      <c r="J94" s="14">
        <f>COUNTIF(J90:J93,"CT")+COUNTIF(J86:J93,"IG")+COUNTIF(J89:J93,"TK")</f>
        <v>1</v>
      </c>
      <c r="K94" s="14">
        <f>COUNTIF(K90:K93,"CMĐ")</f>
        <v>3</v>
      </c>
      <c r="L94" s="14">
        <f>COUNTIF(L86:L93,"XMDT")+COUNTIF(L89:L93,"Mốc")</f>
        <v>0</v>
      </c>
      <c r="M94" s="14">
        <f>COUNTIF(M93,"THÁn")</f>
        <v>0</v>
      </c>
      <c r="N94" s="14">
        <f>COUNTIF(N89:N93,"TÒA")</f>
        <v>0</v>
      </c>
      <c r="O94" s="14">
        <f>COUNTIF(O84:O93,"Cấp GCN")</f>
        <v>0</v>
      </c>
      <c r="P94" s="14">
        <f>COUNTIF(P92:P93,"SHN")</f>
        <v>0</v>
      </c>
      <c r="Q94" s="15"/>
      <c r="R94" s="13"/>
      <c r="S94" s="15"/>
      <c r="T94" s="15"/>
      <c r="U94" s="16"/>
      <c r="V94" s="11"/>
      <c r="W94" s="17"/>
      <c r="X94" s="2"/>
      <c r="AD94" s="14">
        <f>COUNTIF(AD93,"kt")</f>
        <v>0</v>
      </c>
    </row>
    <row r="95" spans="1:31" s="10" customFormat="1" ht="15.75" x14ac:dyDescent="0.25">
      <c r="A95" s="3">
        <v>81</v>
      </c>
      <c r="B95" s="3" t="s">
        <v>223</v>
      </c>
      <c r="C95" s="5" t="s">
        <v>896</v>
      </c>
      <c r="D95" s="4" t="s">
        <v>897</v>
      </c>
      <c r="E95" s="6">
        <v>43</v>
      </c>
      <c r="F95" s="6">
        <v>3</v>
      </c>
      <c r="G95" s="6">
        <v>717.4</v>
      </c>
      <c r="H95" s="6" t="s">
        <v>75</v>
      </c>
      <c r="I95" s="7">
        <v>45825</v>
      </c>
      <c r="J95" s="3" t="s">
        <v>76</v>
      </c>
      <c r="K95" s="3"/>
      <c r="L95" s="3"/>
      <c r="M95" s="3"/>
      <c r="N95" s="3"/>
      <c r="O95" s="3"/>
      <c r="P95" s="3"/>
      <c r="Q95" s="6" t="s">
        <v>180</v>
      </c>
      <c r="R95" s="7"/>
      <c r="S95" s="7"/>
      <c r="T95" s="7"/>
      <c r="U95" s="6"/>
      <c r="V95" s="11"/>
      <c r="W95" s="6"/>
      <c r="X95" s="6"/>
      <c r="Y95" s="6"/>
      <c r="Z95" s="6"/>
      <c r="AA95" s="8"/>
      <c r="AB95" s="8"/>
      <c r="AC95" s="6"/>
      <c r="AD95" s="6"/>
      <c r="AE95" s="9"/>
    </row>
    <row r="96" spans="1:31" s="10" customFormat="1" ht="47.25" x14ac:dyDescent="0.25">
      <c r="A96" s="3">
        <v>82</v>
      </c>
      <c r="B96" s="3" t="s">
        <v>223</v>
      </c>
      <c r="C96" s="5" t="s">
        <v>2552</v>
      </c>
      <c r="D96" s="4" t="s">
        <v>2553</v>
      </c>
      <c r="E96" s="6">
        <v>6</v>
      </c>
      <c r="F96" s="6">
        <v>63</v>
      </c>
      <c r="G96" s="6">
        <v>448.5</v>
      </c>
      <c r="H96" s="6" t="s">
        <v>75</v>
      </c>
      <c r="I96" s="7">
        <v>45825</v>
      </c>
      <c r="J96" s="3"/>
      <c r="K96" s="3"/>
      <c r="L96" s="3" t="s">
        <v>1</v>
      </c>
      <c r="M96" s="3"/>
      <c r="N96" s="3"/>
      <c r="O96" s="3"/>
      <c r="P96" s="3"/>
      <c r="Q96" s="6" t="s">
        <v>180</v>
      </c>
      <c r="R96" s="7"/>
      <c r="S96" s="7"/>
      <c r="T96" s="7"/>
      <c r="U96" s="6"/>
      <c r="V96" s="11"/>
      <c r="W96" s="6"/>
      <c r="X96" s="6"/>
      <c r="Y96" s="6"/>
      <c r="Z96" s="6"/>
      <c r="AA96" s="8"/>
      <c r="AB96" s="8"/>
      <c r="AC96" s="6"/>
      <c r="AD96" s="6"/>
      <c r="AE96" s="9"/>
    </row>
    <row r="97" spans="1:31" s="10" customFormat="1" ht="15.75" x14ac:dyDescent="0.25">
      <c r="A97" s="3">
        <v>83</v>
      </c>
      <c r="B97" s="3" t="s">
        <v>223</v>
      </c>
      <c r="C97" s="5" t="s">
        <v>2111</v>
      </c>
      <c r="D97" s="4" t="s">
        <v>2634</v>
      </c>
      <c r="E97" s="6">
        <v>4</v>
      </c>
      <c r="F97" s="6">
        <v>57</v>
      </c>
      <c r="G97" s="6">
        <v>1263.2</v>
      </c>
      <c r="H97" s="6" t="s">
        <v>1350</v>
      </c>
      <c r="I97" s="7">
        <v>45827</v>
      </c>
      <c r="J97" s="3"/>
      <c r="K97" s="3" t="s">
        <v>62</v>
      </c>
      <c r="L97" s="3"/>
      <c r="M97" s="3"/>
      <c r="N97" s="3"/>
      <c r="O97" s="3"/>
      <c r="P97" s="3"/>
      <c r="Q97" s="6" t="s">
        <v>180</v>
      </c>
      <c r="R97" s="7"/>
      <c r="S97" s="7"/>
      <c r="T97" s="7"/>
      <c r="U97" s="6"/>
      <c r="V97" s="11"/>
      <c r="W97" s="6"/>
      <c r="X97" s="6"/>
      <c r="Y97" s="6"/>
      <c r="Z97" s="6"/>
      <c r="AA97" s="8"/>
      <c r="AB97" s="8"/>
      <c r="AC97" s="6"/>
      <c r="AD97" s="6"/>
      <c r="AE97" s="9"/>
    </row>
    <row r="98" spans="1:31" ht="16.5" x14ac:dyDescent="0.25">
      <c r="A98" s="12"/>
      <c r="B98" s="73" t="s">
        <v>2655</v>
      </c>
      <c r="C98" s="74"/>
      <c r="D98" s="74"/>
      <c r="E98" s="74"/>
      <c r="F98" s="74"/>
      <c r="G98" s="74"/>
      <c r="H98" s="75"/>
      <c r="I98" s="13"/>
      <c r="J98" s="14">
        <f>COUNTIF(J94:J97,"CT")+COUNTIF(J90:J97,"IG")+COUNTIF(J93:J97,"TK")</f>
        <v>1</v>
      </c>
      <c r="K98" s="14">
        <f>COUNTIF(K94:K97,"CMĐ")</f>
        <v>1</v>
      </c>
      <c r="L98" s="14">
        <f>COUNTIF(L90:L97,"XMDT")+COUNTIF(L93:L97,"Mốc")</f>
        <v>1</v>
      </c>
      <c r="M98" s="14">
        <f>COUNTIF(M97,"THÁn")</f>
        <v>0</v>
      </c>
      <c r="N98" s="14">
        <f>COUNTIF(N93:N97,"TÒA")</f>
        <v>0</v>
      </c>
      <c r="O98" s="14">
        <f>COUNTIF(O88:O97,"Cấp GCN")</f>
        <v>0</v>
      </c>
      <c r="P98" s="14">
        <f>COUNTIF(P96:P97,"SHN")</f>
        <v>0</v>
      </c>
      <c r="Q98" s="15"/>
      <c r="R98" s="13"/>
      <c r="S98" s="15"/>
      <c r="T98" s="15"/>
      <c r="U98" s="16"/>
      <c r="V98" s="11"/>
      <c r="W98" s="17"/>
      <c r="X98" s="2"/>
      <c r="AD98" s="14">
        <f>COUNTIF(AD97,"kt")</f>
        <v>0</v>
      </c>
    </row>
    <row r="99" spans="1:31" s="10" customFormat="1" ht="15.75" x14ac:dyDescent="0.25">
      <c r="A99" s="3">
        <v>84</v>
      </c>
      <c r="B99" s="3" t="s">
        <v>223</v>
      </c>
      <c r="C99" s="5" t="s">
        <v>2659</v>
      </c>
      <c r="D99" s="4" t="s">
        <v>2660</v>
      </c>
      <c r="E99" s="6">
        <v>20</v>
      </c>
      <c r="F99" s="6">
        <v>135</v>
      </c>
      <c r="G99" s="6">
        <v>725.2</v>
      </c>
      <c r="H99" s="6" t="s">
        <v>51</v>
      </c>
      <c r="I99" s="7">
        <v>45832</v>
      </c>
      <c r="J99" s="3"/>
      <c r="K99" s="3" t="s">
        <v>62</v>
      </c>
      <c r="L99" s="3"/>
      <c r="M99" s="3"/>
      <c r="N99" s="3"/>
      <c r="O99" s="3"/>
      <c r="P99" s="3"/>
      <c r="Q99" s="6" t="s">
        <v>180</v>
      </c>
      <c r="R99" s="7"/>
      <c r="S99" s="7"/>
      <c r="T99" s="7"/>
      <c r="U99" s="6"/>
      <c r="V99" s="11"/>
      <c r="W99" s="6"/>
      <c r="X99" s="6"/>
      <c r="Y99" s="6"/>
      <c r="Z99" s="6"/>
      <c r="AA99" s="8"/>
      <c r="AB99" s="8"/>
      <c r="AC99" s="6"/>
      <c r="AD99" s="6"/>
      <c r="AE99" s="9"/>
    </row>
    <row r="100" spans="1:31" s="10" customFormat="1" ht="15.75" x14ac:dyDescent="0.25">
      <c r="A100" s="3">
        <v>85</v>
      </c>
      <c r="B100" s="3" t="s">
        <v>223</v>
      </c>
      <c r="C100" s="5" t="s">
        <v>2738</v>
      </c>
      <c r="D100" s="4" t="s">
        <v>966</v>
      </c>
      <c r="E100" s="6">
        <v>29</v>
      </c>
      <c r="F100" s="6">
        <v>201</v>
      </c>
      <c r="G100" s="6">
        <v>922.4</v>
      </c>
      <c r="H100" s="6" t="s">
        <v>75</v>
      </c>
      <c r="I100" s="7">
        <v>45835</v>
      </c>
      <c r="J100" s="3" t="s">
        <v>60</v>
      </c>
      <c r="K100" s="3"/>
      <c r="L100" s="3"/>
      <c r="M100" s="3"/>
      <c r="N100" s="3"/>
      <c r="O100" s="3"/>
      <c r="P100" s="3"/>
      <c r="Q100" s="6" t="s">
        <v>180</v>
      </c>
      <c r="R100" s="7"/>
      <c r="S100" s="7"/>
      <c r="T100" s="7"/>
      <c r="U100" s="6"/>
      <c r="V100" s="11"/>
      <c r="W100" s="6"/>
      <c r="X100" s="6"/>
      <c r="Y100" s="6"/>
      <c r="Z100" s="6"/>
      <c r="AA100" s="8"/>
      <c r="AB100" s="8"/>
      <c r="AC100" s="6"/>
      <c r="AD100" s="6"/>
      <c r="AE100" s="9"/>
    </row>
    <row r="101" spans="1:31" s="10" customFormat="1" ht="15.75" x14ac:dyDescent="0.25">
      <c r="A101" s="3">
        <v>86</v>
      </c>
      <c r="B101" s="3" t="s">
        <v>223</v>
      </c>
      <c r="C101" s="5"/>
      <c r="D101" s="4"/>
      <c r="E101" s="6"/>
      <c r="F101" s="6"/>
      <c r="G101" s="6"/>
      <c r="H101" s="6"/>
      <c r="I101" s="7"/>
      <c r="J101" s="3"/>
      <c r="K101" s="3"/>
      <c r="L101" s="3"/>
      <c r="M101" s="3"/>
      <c r="N101" s="3"/>
      <c r="O101" s="3"/>
      <c r="P101" s="3"/>
      <c r="Q101" s="6"/>
      <c r="R101" s="7"/>
      <c r="S101" s="7"/>
      <c r="T101" s="7"/>
      <c r="U101" s="6"/>
      <c r="V101" s="11"/>
      <c r="W101" s="6"/>
      <c r="X101" s="6"/>
      <c r="Y101" s="6"/>
      <c r="Z101" s="6"/>
      <c r="AA101" s="8"/>
      <c r="AB101" s="8"/>
      <c r="AC101" s="6"/>
      <c r="AD101" s="6"/>
      <c r="AE101" s="9"/>
    </row>
    <row r="102" spans="1:31" s="10" customFormat="1" ht="15.75" x14ac:dyDescent="0.25">
      <c r="A102" s="3">
        <v>87</v>
      </c>
      <c r="B102" s="3" t="s">
        <v>223</v>
      </c>
      <c r="C102" s="5"/>
      <c r="D102" s="4"/>
      <c r="E102" s="6"/>
      <c r="F102" s="6"/>
      <c r="G102" s="6"/>
      <c r="H102" s="6"/>
      <c r="I102" s="7"/>
      <c r="J102" s="3"/>
      <c r="K102" s="3"/>
      <c r="L102" s="3"/>
      <c r="M102" s="3"/>
      <c r="N102" s="3"/>
      <c r="O102" s="3"/>
      <c r="P102" s="3"/>
      <c r="Q102" s="6"/>
      <c r="R102" s="7"/>
      <c r="S102" s="7"/>
      <c r="T102" s="7"/>
      <c r="U102" s="6"/>
      <c r="V102" s="11"/>
      <c r="W102" s="6"/>
      <c r="X102" s="6"/>
      <c r="Y102" s="6"/>
      <c r="Z102" s="6"/>
      <c r="AA102" s="8"/>
      <c r="AB102" s="8"/>
      <c r="AC102" s="6"/>
      <c r="AD102" s="6"/>
      <c r="AE102" s="9"/>
    </row>
    <row r="103" spans="1:31" s="10" customFormat="1" ht="15.75" x14ac:dyDescent="0.25">
      <c r="A103" s="3">
        <v>88</v>
      </c>
      <c r="B103" s="3" t="s">
        <v>223</v>
      </c>
      <c r="C103" s="5"/>
      <c r="D103" s="4"/>
      <c r="E103" s="6"/>
      <c r="F103" s="6"/>
      <c r="G103" s="6"/>
      <c r="H103" s="6"/>
      <c r="I103" s="7"/>
      <c r="J103" s="3"/>
      <c r="K103" s="3"/>
      <c r="L103" s="3"/>
      <c r="M103" s="3"/>
      <c r="N103" s="3"/>
      <c r="O103" s="3"/>
      <c r="P103" s="3"/>
      <c r="Q103" s="6"/>
      <c r="R103" s="7"/>
      <c r="S103" s="7"/>
      <c r="T103" s="7"/>
      <c r="U103" s="6"/>
      <c r="V103" s="11"/>
      <c r="W103" s="6"/>
      <c r="X103" s="6"/>
      <c r="Y103" s="6"/>
      <c r="Z103" s="6"/>
      <c r="AA103" s="8"/>
      <c r="AB103" s="8"/>
      <c r="AC103" s="6"/>
      <c r="AD103" s="6"/>
      <c r="AE103" s="9"/>
    </row>
    <row r="104" spans="1:31" s="10" customFormat="1" ht="15.75" x14ac:dyDescent="0.25">
      <c r="A104" s="3">
        <v>89</v>
      </c>
      <c r="B104" s="3" t="s">
        <v>223</v>
      </c>
      <c r="C104" s="5"/>
      <c r="D104" s="4"/>
      <c r="E104" s="6"/>
      <c r="F104" s="6"/>
      <c r="G104" s="6"/>
      <c r="H104" s="6"/>
      <c r="I104" s="7"/>
      <c r="J104" s="3"/>
      <c r="K104" s="3"/>
      <c r="L104" s="3"/>
      <c r="M104" s="3"/>
      <c r="N104" s="3"/>
      <c r="O104" s="3"/>
      <c r="P104" s="3"/>
      <c r="Q104" s="6"/>
      <c r="R104" s="7"/>
      <c r="S104" s="7"/>
      <c r="T104" s="7"/>
      <c r="U104" s="6"/>
      <c r="V104" s="11"/>
      <c r="W104" s="6"/>
      <c r="X104" s="6"/>
      <c r="Y104" s="6"/>
      <c r="Z104" s="6"/>
      <c r="AA104" s="8"/>
      <c r="AB104" s="8"/>
      <c r="AC104" s="6"/>
      <c r="AD104" s="6"/>
      <c r="AE104" s="9"/>
    </row>
    <row r="105" spans="1:31" s="10" customFormat="1" ht="15.75" x14ac:dyDescent="0.25">
      <c r="A105" s="3">
        <v>90</v>
      </c>
      <c r="B105" s="3" t="s">
        <v>223</v>
      </c>
      <c r="C105" s="5"/>
      <c r="D105" s="4"/>
      <c r="E105" s="6"/>
      <c r="F105" s="6"/>
      <c r="G105" s="6"/>
      <c r="H105" s="6"/>
      <c r="I105" s="7"/>
      <c r="J105" s="3"/>
      <c r="K105" s="3"/>
      <c r="L105" s="3"/>
      <c r="M105" s="3"/>
      <c r="N105" s="3"/>
      <c r="O105" s="3"/>
      <c r="P105" s="3"/>
      <c r="Q105" s="6"/>
      <c r="R105" s="7"/>
      <c r="S105" s="7"/>
      <c r="T105" s="7"/>
      <c r="U105" s="6"/>
      <c r="V105" s="11"/>
      <c r="W105" s="6"/>
      <c r="X105" s="6"/>
      <c r="Y105" s="6"/>
      <c r="Z105" s="6"/>
      <c r="AA105" s="8"/>
      <c r="AB105" s="8"/>
      <c r="AC105" s="6"/>
      <c r="AD105" s="6"/>
      <c r="AE105" s="9"/>
    </row>
    <row r="106" spans="1:31" s="10" customFormat="1" ht="15.75" x14ac:dyDescent="0.25">
      <c r="A106" s="3">
        <v>91</v>
      </c>
      <c r="B106" s="3" t="s">
        <v>223</v>
      </c>
      <c r="C106" s="5"/>
      <c r="D106" s="4"/>
      <c r="E106" s="6"/>
      <c r="F106" s="6"/>
      <c r="G106" s="6"/>
      <c r="H106" s="6"/>
      <c r="I106" s="7"/>
      <c r="J106" s="3"/>
      <c r="K106" s="3"/>
      <c r="L106" s="3"/>
      <c r="M106" s="3"/>
      <c r="N106" s="3"/>
      <c r="O106" s="3"/>
      <c r="P106" s="3"/>
      <c r="Q106" s="6"/>
      <c r="R106" s="7"/>
      <c r="S106" s="7"/>
      <c r="T106" s="7"/>
      <c r="U106" s="6"/>
      <c r="V106" s="11"/>
      <c r="W106" s="6"/>
      <c r="X106" s="6"/>
      <c r="Y106" s="6"/>
      <c r="Z106" s="6"/>
      <c r="AA106" s="8"/>
      <c r="AB106" s="8"/>
      <c r="AC106" s="6"/>
      <c r="AD106" s="6"/>
      <c r="AE106" s="9"/>
    </row>
    <row r="107" spans="1:31" s="10" customFormat="1" ht="15.75" x14ac:dyDescent="0.25">
      <c r="A107" s="3">
        <v>92</v>
      </c>
      <c r="B107" s="3" t="s">
        <v>223</v>
      </c>
      <c r="C107" s="5"/>
      <c r="D107" s="4"/>
      <c r="E107" s="6"/>
      <c r="F107" s="6"/>
      <c r="G107" s="6"/>
      <c r="H107" s="6"/>
      <c r="I107" s="7"/>
      <c r="J107" s="3"/>
      <c r="K107" s="3"/>
      <c r="L107" s="3"/>
      <c r="M107" s="3"/>
      <c r="N107" s="3"/>
      <c r="O107" s="3"/>
      <c r="P107" s="3"/>
      <c r="Q107" s="6"/>
      <c r="R107" s="7"/>
      <c r="S107" s="7"/>
      <c r="T107" s="7"/>
      <c r="U107" s="6"/>
      <c r="V107" s="11"/>
      <c r="W107" s="6"/>
      <c r="X107" s="6"/>
      <c r="Y107" s="6"/>
      <c r="Z107" s="6"/>
      <c r="AA107" s="8"/>
      <c r="AB107" s="8"/>
      <c r="AC107" s="6"/>
      <c r="AD107" s="6"/>
      <c r="AE107" s="9"/>
    </row>
    <row r="108" spans="1:31" s="10" customFormat="1" ht="15.75" x14ac:dyDescent="0.25">
      <c r="A108" s="3">
        <v>93</v>
      </c>
      <c r="B108" s="3" t="s">
        <v>223</v>
      </c>
      <c r="C108" s="5"/>
      <c r="D108" s="4"/>
      <c r="E108" s="6"/>
      <c r="F108" s="6"/>
      <c r="G108" s="6"/>
      <c r="H108" s="6"/>
      <c r="I108" s="7"/>
      <c r="J108" s="3"/>
      <c r="K108" s="3"/>
      <c r="L108" s="3"/>
      <c r="M108" s="3"/>
      <c r="N108" s="3"/>
      <c r="O108" s="3"/>
      <c r="P108" s="3"/>
      <c r="Q108" s="6"/>
      <c r="R108" s="7"/>
      <c r="S108" s="7"/>
      <c r="T108" s="7"/>
      <c r="U108" s="6"/>
      <c r="V108" s="11"/>
      <c r="W108" s="6"/>
      <c r="X108" s="6"/>
      <c r="Y108" s="6"/>
      <c r="Z108" s="6"/>
      <c r="AA108" s="8"/>
      <c r="AB108" s="8"/>
      <c r="AC108" s="6"/>
      <c r="AD108" s="6"/>
      <c r="AE108" s="9"/>
    </row>
    <row r="109" spans="1:31" s="10" customFormat="1" ht="15.75" x14ac:dyDescent="0.25">
      <c r="A109" s="3">
        <v>94</v>
      </c>
      <c r="B109" s="3" t="s">
        <v>223</v>
      </c>
      <c r="C109" s="5"/>
      <c r="D109" s="4"/>
      <c r="E109" s="6"/>
      <c r="F109" s="6"/>
      <c r="G109" s="6"/>
      <c r="H109" s="6"/>
      <c r="I109" s="7"/>
      <c r="J109" s="3"/>
      <c r="K109" s="3"/>
      <c r="L109" s="3"/>
      <c r="M109" s="3"/>
      <c r="N109" s="3"/>
      <c r="O109" s="3"/>
      <c r="P109" s="3"/>
      <c r="Q109" s="6"/>
      <c r="R109" s="7"/>
      <c r="S109" s="7"/>
      <c r="T109" s="7"/>
      <c r="U109" s="6"/>
      <c r="V109" s="11"/>
      <c r="W109" s="6"/>
      <c r="X109" s="6"/>
      <c r="Y109" s="6"/>
      <c r="Z109" s="6"/>
      <c r="AA109" s="8"/>
      <c r="AB109" s="8"/>
      <c r="AC109" s="6"/>
      <c r="AD109" s="6"/>
      <c r="AE109" s="9"/>
    </row>
    <row r="110" spans="1:31" s="10" customFormat="1" ht="15.75" x14ac:dyDescent="0.25">
      <c r="A110" s="3">
        <v>95</v>
      </c>
      <c r="B110" s="3" t="s">
        <v>223</v>
      </c>
      <c r="C110" s="5"/>
      <c r="D110" s="4"/>
      <c r="E110" s="6"/>
      <c r="F110" s="6"/>
      <c r="G110" s="6"/>
      <c r="H110" s="6"/>
      <c r="I110" s="7"/>
      <c r="J110" s="3"/>
      <c r="K110" s="3"/>
      <c r="L110" s="3"/>
      <c r="M110" s="3"/>
      <c r="N110" s="3"/>
      <c r="O110" s="3"/>
      <c r="P110" s="3"/>
      <c r="Q110" s="6"/>
      <c r="R110" s="7"/>
      <c r="S110" s="7"/>
      <c r="T110" s="7"/>
      <c r="U110" s="6"/>
      <c r="V110" s="11"/>
      <c r="W110" s="6"/>
      <c r="X110" s="6"/>
      <c r="Y110" s="6"/>
      <c r="Z110" s="6"/>
      <c r="AA110" s="8"/>
      <c r="AB110" s="8"/>
      <c r="AC110" s="6"/>
      <c r="AD110" s="6"/>
      <c r="AE110" s="9"/>
    </row>
    <row r="111" spans="1:31" s="10" customFormat="1" ht="15.75" x14ac:dyDescent="0.25">
      <c r="A111" s="3">
        <v>96</v>
      </c>
      <c r="B111" s="3" t="s">
        <v>223</v>
      </c>
      <c r="C111" s="5"/>
      <c r="D111" s="4"/>
      <c r="E111" s="6"/>
      <c r="F111" s="6"/>
      <c r="G111" s="6"/>
      <c r="H111" s="6"/>
      <c r="I111" s="7"/>
      <c r="J111" s="3"/>
      <c r="K111" s="3"/>
      <c r="L111" s="3"/>
      <c r="M111" s="3"/>
      <c r="N111" s="3"/>
      <c r="O111" s="3"/>
      <c r="P111" s="3"/>
      <c r="Q111" s="6"/>
      <c r="R111" s="7"/>
      <c r="S111" s="7"/>
      <c r="T111" s="7"/>
      <c r="U111" s="6"/>
      <c r="V111" s="11"/>
      <c r="W111" s="6"/>
      <c r="X111" s="6"/>
      <c r="Y111" s="6"/>
      <c r="Z111" s="6"/>
      <c r="AA111" s="8"/>
      <c r="AB111" s="8"/>
      <c r="AC111" s="6"/>
      <c r="AD111" s="6"/>
      <c r="AE111" s="9"/>
    </row>
    <row r="112" spans="1:31" s="10" customFormat="1" ht="15.75" x14ac:dyDescent="0.25">
      <c r="A112" s="3">
        <v>97</v>
      </c>
      <c r="B112" s="3" t="s">
        <v>223</v>
      </c>
      <c r="C112" s="5"/>
      <c r="D112" s="4"/>
      <c r="E112" s="6"/>
      <c r="F112" s="6"/>
      <c r="G112" s="6"/>
      <c r="H112" s="6"/>
      <c r="I112" s="7"/>
      <c r="J112" s="3"/>
      <c r="K112" s="3"/>
      <c r="L112" s="3"/>
      <c r="M112" s="3"/>
      <c r="N112" s="3"/>
      <c r="O112" s="3"/>
      <c r="P112" s="3"/>
      <c r="Q112" s="6"/>
      <c r="R112" s="7"/>
      <c r="S112" s="7"/>
      <c r="T112" s="7"/>
      <c r="U112" s="6"/>
      <c r="V112" s="11"/>
      <c r="W112" s="6"/>
      <c r="X112" s="6"/>
      <c r="Y112" s="6"/>
      <c r="Z112" s="6"/>
      <c r="AA112" s="8"/>
      <c r="AB112" s="8"/>
      <c r="AC112" s="6"/>
      <c r="AD112" s="6"/>
      <c r="AE112" s="9"/>
    </row>
    <row r="113" spans="1:31" s="10" customFormat="1" ht="15.75" x14ac:dyDescent="0.25">
      <c r="A113" s="3">
        <v>98</v>
      </c>
      <c r="B113" s="3" t="s">
        <v>223</v>
      </c>
      <c r="C113" s="5"/>
      <c r="D113" s="4"/>
      <c r="E113" s="6"/>
      <c r="F113" s="6"/>
      <c r="G113" s="6"/>
      <c r="H113" s="6"/>
      <c r="I113" s="7"/>
      <c r="J113" s="3"/>
      <c r="K113" s="3"/>
      <c r="L113" s="3"/>
      <c r="M113" s="3"/>
      <c r="N113" s="3"/>
      <c r="O113" s="3"/>
      <c r="P113" s="3"/>
      <c r="Q113" s="6"/>
      <c r="R113" s="7"/>
      <c r="S113" s="7"/>
      <c r="T113" s="7"/>
      <c r="U113" s="6"/>
      <c r="V113" s="11"/>
      <c r="W113" s="6"/>
      <c r="X113" s="6"/>
      <c r="Y113" s="6"/>
      <c r="Z113" s="6"/>
      <c r="AA113" s="8"/>
      <c r="AB113" s="8"/>
      <c r="AC113" s="6"/>
      <c r="AD113" s="6"/>
      <c r="AE113" s="9"/>
    </row>
    <row r="114" spans="1:31" s="10" customFormat="1" ht="15.75" x14ac:dyDescent="0.25">
      <c r="A114" s="3">
        <v>99</v>
      </c>
      <c r="B114" s="3" t="s">
        <v>223</v>
      </c>
      <c r="C114" s="5"/>
      <c r="D114" s="4"/>
      <c r="E114" s="6"/>
      <c r="F114" s="6"/>
      <c r="G114" s="6"/>
      <c r="H114" s="6"/>
      <c r="I114" s="7"/>
      <c r="J114" s="3"/>
      <c r="K114" s="3"/>
      <c r="L114" s="3"/>
      <c r="M114" s="3"/>
      <c r="N114" s="3"/>
      <c r="O114" s="3"/>
      <c r="P114" s="3"/>
      <c r="Q114" s="6"/>
      <c r="R114" s="7"/>
      <c r="S114" s="7"/>
      <c r="T114" s="7"/>
      <c r="U114" s="6"/>
      <c r="V114" s="11"/>
      <c r="W114" s="6"/>
      <c r="X114" s="6"/>
      <c r="Y114" s="6"/>
      <c r="Z114" s="6"/>
      <c r="AA114" s="8"/>
      <c r="AB114" s="8"/>
      <c r="AC114" s="6"/>
      <c r="AD114" s="6"/>
      <c r="AE114" s="9"/>
    </row>
    <row r="115" spans="1:31" s="10" customFormat="1" ht="15.75" x14ac:dyDescent="0.25">
      <c r="A115" s="3">
        <v>100</v>
      </c>
      <c r="B115" s="3" t="s">
        <v>223</v>
      </c>
      <c r="C115" s="5"/>
      <c r="D115" s="4"/>
      <c r="E115" s="6"/>
      <c r="F115" s="6"/>
      <c r="G115" s="6"/>
      <c r="H115" s="6"/>
      <c r="I115" s="7"/>
      <c r="J115" s="3"/>
      <c r="K115" s="3"/>
      <c r="L115" s="3"/>
      <c r="M115" s="3"/>
      <c r="N115" s="3"/>
      <c r="O115" s="3"/>
      <c r="P115" s="3"/>
      <c r="Q115" s="6"/>
      <c r="R115" s="7"/>
      <c r="S115" s="7"/>
      <c r="T115" s="7"/>
      <c r="U115" s="6"/>
      <c r="V115" s="11"/>
      <c r="W115" s="6"/>
      <c r="X115" s="6"/>
      <c r="Y115" s="6"/>
      <c r="Z115" s="6"/>
      <c r="AA115" s="8"/>
      <c r="AB115" s="8"/>
      <c r="AC115" s="6"/>
      <c r="AD115" s="6"/>
      <c r="AE115" s="9"/>
    </row>
    <row r="116" spans="1:31" s="10" customFormat="1" ht="15.75" x14ac:dyDescent="0.25">
      <c r="A116" s="3">
        <v>101</v>
      </c>
      <c r="B116" s="3" t="s">
        <v>223</v>
      </c>
      <c r="C116" s="5"/>
      <c r="D116" s="4"/>
      <c r="E116" s="6"/>
      <c r="F116" s="6"/>
      <c r="G116" s="6"/>
      <c r="H116" s="6"/>
      <c r="I116" s="7"/>
      <c r="J116" s="3"/>
      <c r="K116" s="3"/>
      <c r="L116" s="3"/>
      <c r="M116" s="3"/>
      <c r="N116" s="3"/>
      <c r="O116" s="3"/>
      <c r="P116" s="3"/>
      <c r="Q116" s="6"/>
      <c r="R116" s="7"/>
      <c r="S116" s="7"/>
      <c r="T116" s="7"/>
      <c r="U116" s="6"/>
      <c r="V116" s="11"/>
      <c r="W116" s="6"/>
      <c r="X116" s="6"/>
      <c r="Y116" s="6"/>
      <c r="Z116" s="6"/>
      <c r="AA116" s="8"/>
      <c r="AB116" s="8"/>
      <c r="AC116" s="6"/>
      <c r="AD116" s="6"/>
      <c r="AE116" s="9"/>
    </row>
    <row r="117" spans="1:31" s="10" customFormat="1" ht="15.75" x14ac:dyDescent="0.25">
      <c r="A117" s="3">
        <v>102</v>
      </c>
      <c r="B117" s="3" t="s">
        <v>223</v>
      </c>
      <c r="C117" s="5"/>
      <c r="D117" s="4"/>
      <c r="E117" s="6"/>
      <c r="F117" s="6"/>
      <c r="G117" s="6"/>
      <c r="H117" s="6"/>
      <c r="I117" s="7"/>
      <c r="J117" s="3"/>
      <c r="K117" s="3"/>
      <c r="L117" s="3"/>
      <c r="M117" s="3"/>
      <c r="N117" s="3"/>
      <c r="O117" s="3"/>
      <c r="P117" s="3"/>
      <c r="Q117" s="6"/>
      <c r="R117" s="7"/>
      <c r="S117" s="7"/>
      <c r="T117" s="7"/>
      <c r="U117" s="6"/>
      <c r="V117" s="11"/>
      <c r="W117" s="6"/>
      <c r="X117" s="6"/>
      <c r="Y117" s="6"/>
      <c r="Z117" s="6"/>
      <c r="AA117" s="8"/>
      <c r="AB117" s="8"/>
      <c r="AC117" s="6"/>
      <c r="AD117" s="6"/>
      <c r="AE117" s="9"/>
    </row>
    <row r="118" spans="1:31" s="10" customFormat="1" ht="15.75" x14ac:dyDescent="0.25">
      <c r="A118" s="3">
        <v>103</v>
      </c>
      <c r="B118" s="3" t="s">
        <v>223</v>
      </c>
      <c r="C118" s="5"/>
      <c r="D118" s="4"/>
      <c r="E118" s="6"/>
      <c r="F118" s="6"/>
      <c r="G118" s="6"/>
      <c r="H118" s="6"/>
      <c r="I118" s="7"/>
      <c r="J118" s="3"/>
      <c r="K118" s="3"/>
      <c r="L118" s="3"/>
      <c r="M118" s="3"/>
      <c r="N118" s="3"/>
      <c r="O118" s="3"/>
      <c r="P118" s="3"/>
      <c r="Q118" s="6"/>
      <c r="R118" s="7"/>
      <c r="S118" s="7"/>
      <c r="T118" s="7"/>
      <c r="U118" s="6"/>
      <c r="V118" s="11"/>
      <c r="W118" s="6"/>
      <c r="X118" s="6"/>
      <c r="Y118" s="6"/>
      <c r="Z118" s="6"/>
      <c r="AA118" s="8"/>
      <c r="AB118" s="8"/>
      <c r="AC118" s="6"/>
      <c r="AD118" s="6"/>
      <c r="AE118" s="9"/>
    </row>
    <row r="119" spans="1:31" s="10" customFormat="1" ht="15.75" x14ac:dyDescent="0.25">
      <c r="A119" s="3">
        <v>104</v>
      </c>
      <c r="B119" s="3" t="s">
        <v>223</v>
      </c>
      <c r="C119" s="5"/>
      <c r="D119" s="4"/>
      <c r="E119" s="6"/>
      <c r="F119" s="6"/>
      <c r="G119" s="6"/>
      <c r="H119" s="6"/>
      <c r="I119" s="7"/>
      <c r="J119" s="3"/>
      <c r="K119" s="3"/>
      <c r="L119" s="3"/>
      <c r="M119" s="3"/>
      <c r="N119" s="3"/>
      <c r="O119" s="3"/>
      <c r="P119" s="3"/>
      <c r="Q119" s="6"/>
      <c r="R119" s="7"/>
      <c r="S119" s="7"/>
      <c r="T119" s="7"/>
      <c r="U119" s="6"/>
      <c r="V119" s="11"/>
      <c r="W119" s="6"/>
      <c r="X119" s="6"/>
      <c r="Y119" s="6"/>
      <c r="Z119" s="6"/>
      <c r="AA119" s="8"/>
      <c r="AB119" s="8"/>
      <c r="AC119" s="6"/>
      <c r="AD119" s="6"/>
      <c r="AE119" s="9"/>
    </row>
    <row r="120" spans="1:31" s="10" customFormat="1" ht="15.75" x14ac:dyDescent="0.25">
      <c r="A120" s="3">
        <v>105</v>
      </c>
      <c r="B120" s="3" t="s">
        <v>223</v>
      </c>
      <c r="C120" s="5"/>
      <c r="D120" s="4"/>
      <c r="E120" s="6"/>
      <c r="F120" s="6"/>
      <c r="G120" s="6"/>
      <c r="H120" s="6"/>
      <c r="I120" s="7"/>
      <c r="J120" s="3"/>
      <c r="K120" s="3"/>
      <c r="L120" s="3"/>
      <c r="M120" s="3"/>
      <c r="N120" s="3"/>
      <c r="O120" s="3"/>
      <c r="P120" s="3"/>
      <c r="Q120" s="6"/>
      <c r="R120" s="7"/>
      <c r="S120" s="7"/>
      <c r="T120" s="7"/>
      <c r="U120" s="6"/>
      <c r="V120" s="11"/>
      <c r="W120" s="6"/>
      <c r="X120" s="6"/>
      <c r="Y120" s="6"/>
      <c r="Z120" s="6"/>
      <c r="AA120" s="8"/>
      <c r="AB120" s="8"/>
      <c r="AC120" s="6"/>
      <c r="AD120" s="6"/>
      <c r="AE120" s="9"/>
    </row>
    <row r="121" spans="1:31" s="10" customFormat="1" ht="15.75" x14ac:dyDescent="0.25">
      <c r="A121" s="3">
        <v>106</v>
      </c>
      <c r="B121" s="3" t="s">
        <v>223</v>
      </c>
      <c r="C121" s="5"/>
      <c r="D121" s="4"/>
      <c r="E121" s="6"/>
      <c r="F121" s="6"/>
      <c r="G121" s="6"/>
      <c r="H121" s="6"/>
      <c r="I121" s="7"/>
      <c r="J121" s="3"/>
      <c r="K121" s="3"/>
      <c r="L121" s="3"/>
      <c r="M121" s="3"/>
      <c r="N121" s="3"/>
      <c r="O121" s="3"/>
      <c r="P121" s="3"/>
      <c r="Q121" s="6"/>
      <c r="R121" s="7"/>
      <c r="S121" s="7"/>
      <c r="T121" s="7"/>
      <c r="U121" s="6"/>
      <c r="V121" s="11"/>
      <c r="W121" s="6"/>
      <c r="X121" s="6"/>
      <c r="Y121" s="6"/>
      <c r="Z121" s="6"/>
      <c r="AA121" s="8"/>
      <c r="AB121" s="8"/>
      <c r="AC121" s="6"/>
      <c r="AD121" s="6"/>
      <c r="AE121" s="9"/>
    </row>
    <row r="122" spans="1:31" s="10" customFormat="1" ht="15.75" x14ac:dyDescent="0.25">
      <c r="A122" s="3">
        <v>107</v>
      </c>
      <c r="B122" s="3" t="s">
        <v>223</v>
      </c>
      <c r="C122" s="5"/>
      <c r="D122" s="4"/>
      <c r="E122" s="6"/>
      <c r="F122" s="6"/>
      <c r="G122" s="6"/>
      <c r="H122" s="6"/>
      <c r="I122" s="7"/>
      <c r="J122" s="3"/>
      <c r="K122" s="3"/>
      <c r="L122" s="3"/>
      <c r="M122" s="3"/>
      <c r="N122" s="3"/>
      <c r="O122" s="3"/>
      <c r="P122" s="3"/>
      <c r="Q122" s="6"/>
      <c r="R122" s="7"/>
      <c r="S122" s="7"/>
      <c r="T122" s="7"/>
      <c r="U122" s="6"/>
      <c r="V122" s="11"/>
      <c r="W122" s="6"/>
      <c r="X122" s="6"/>
      <c r="Y122" s="6"/>
      <c r="Z122" s="6"/>
      <c r="AA122" s="8"/>
      <c r="AB122" s="8"/>
      <c r="AC122" s="6"/>
      <c r="AD122" s="6"/>
      <c r="AE122" s="9"/>
    </row>
    <row r="123" spans="1:31" s="10" customFormat="1" ht="15.75" x14ac:dyDescent="0.25">
      <c r="A123" s="3">
        <v>108</v>
      </c>
      <c r="B123" s="3" t="s">
        <v>223</v>
      </c>
      <c r="C123" s="5"/>
      <c r="D123" s="4"/>
      <c r="E123" s="6"/>
      <c r="F123" s="6"/>
      <c r="G123" s="6"/>
      <c r="H123" s="6"/>
      <c r="I123" s="7"/>
      <c r="J123" s="3"/>
      <c r="K123" s="3"/>
      <c r="L123" s="3"/>
      <c r="M123" s="3"/>
      <c r="N123" s="3"/>
      <c r="O123" s="3"/>
      <c r="P123" s="3"/>
      <c r="Q123" s="6"/>
      <c r="R123" s="7"/>
      <c r="S123" s="7"/>
      <c r="T123" s="7"/>
      <c r="U123" s="6"/>
      <c r="V123" s="11"/>
      <c r="W123" s="6"/>
      <c r="X123" s="6"/>
      <c r="Y123" s="6"/>
      <c r="Z123" s="6"/>
      <c r="AA123" s="8"/>
      <c r="AB123" s="8"/>
      <c r="AC123" s="6"/>
      <c r="AD123" s="6"/>
      <c r="AE123" s="9"/>
    </row>
    <row r="124" spans="1:31" s="10" customFormat="1" ht="15.75" x14ac:dyDescent="0.25">
      <c r="A124" s="3">
        <v>109</v>
      </c>
      <c r="B124" s="3" t="s">
        <v>223</v>
      </c>
      <c r="C124" s="5"/>
      <c r="D124" s="4"/>
      <c r="E124" s="6"/>
      <c r="F124" s="6"/>
      <c r="G124" s="6"/>
      <c r="H124" s="6"/>
      <c r="I124" s="7"/>
      <c r="J124" s="3"/>
      <c r="K124" s="3"/>
      <c r="L124" s="3"/>
      <c r="M124" s="3"/>
      <c r="N124" s="3"/>
      <c r="O124" s="3"/>
      <c r="P124" s="3"/>
      <c r="Q124" s="6"/>
      <c r="R124" s="7"/>
      <c r="S124" s="7"/>
      <c r="T124" s="7"/>
      <c r="U124" s="6"/>
      <c r="V124" s="11"/>
      <c r="W124" s="6"/>
      <c r="X124" s="6"/>
      <c r="Y124" s="6"/>
      <c r="Z124" s="6"/>
      <c r="AA124" s="8"/>
      <c r="AB124" s="8"/>
      <c r="AC124" s="6"/>
      <c r="AD124" s="6"/>
      <c r="AE124" s="9"/>
    </row>
    <row r="125" spans="1:31" s="10" customFormat="1" ht="15.75" x14ac:dyDescent="0.25">
      <c r="A125" s="3">
        <v>110</v>
      </c>
      <c r="B125" s="3" t="s">
        <v>223</v>
      </c>
      <c r="C125" s="5"/>
      <c r="D125" s="4"/>
      <c r="E125" s="6"/>
      <c r="F125" s="6"/>
      <c r="G125" s="6"/>
      <c r="H125" s="6"/>
      <c r="I125" s="7"/>
      <c r="J125" s="3"/>
      <c r="K125" s="3"/>
      <c r="L125" s="3"/>
      <c r="M125" s="3"/>
      <c r="N125" s="3"/>
      <c r="O125" s="3"/>
      <c r="P125" s="3"/>
      <c r="Q125" s="6"/>
      <c r="R125" s="7"/>
      <c r="S125" s="7"/>
      <c r="T125" s="7"/>
      <c r="U125" s="6"/>
      <c r="V125" s="11"/>
      <c r="W125" s="6"/>
      <c r="X125" s="6"/>
      <c r="Y125" s="6"/>
      <c r="Z125" s="6"/>
      <c r="AA125" s="8"/>
      <c r="AB125" s="8"/>
      <c r="AC125" s="6"/>
      <c r="AD125" s="6"/>
      <c r="AE125" s="9"/>
    </row>
    <row r="126" spans="1:31" s="10" customFormat="1" ht="15.75" x14ac:dyDescent="0.25">
      <c r="A126" s="3">
        <v>111</v>
      </c>
      <c r="B126" s="3" t="s">
        <v>223</v>
      </c>
      <c r="C126" s="5"/>
      <c r="D126" s="4"/>
      <c r="E126" s="6"/>
      <c r="F126" s="6"/>
      <c r="G126" s="6"/>
      <c r="H126" s="6"/>
      <c r="I126" s="7"/>
      <c r="J126" s="3"/>
      <c r="K126" s="3"/>
      <c r="L126" s="3"/>
      <c r="M126" s="3"/>
      <c r="N126" s="3"/>
      <c r="O126" s="3"/>
      <c r="P126" s="3"/>
      <c r="Q126" s="6"/>
      <c r="R126" s="7"/>
      <c r="S126" s="7"/>
      <c r="T126" s="7"/>
      <c r="U126" s="6"/>
      <c r="V126" s="11"/>
      <c r="W126" s="6"/>
      <c r="X126" s="6"/>
      <c r="Y126" s="6"/>
      <c r="Z126" s="6"/>
      <c r="AA126" s="8"/>
      <c r="AB126" s="8"/>
      <c r="AC126" s="6"/>
      <c r="AD126" s="6"/>
      <c r="AE126" s="9"/>
    </row>
    <row r="127" spans="1:31" s="10" customFormat="1" ht="15.75" x14ac:dyDescent="0.25">
      <c r="A127" s="3">
        <v>112</v>
      </c>
      <c r="B127" s="3" t="s">
        <v>223</v>
      </c>
      <c r="C127" s="5"/>
      <c r="D127" s="4"/>
      <c r="E127" s="6"/>
      <c r="F127" s="6"/>
      <c r="G127" s="6"/>
      <c r="H127" s="6"/>
      <c r="I127" s="7"/>
      <c r="J127" s="3"/>
      <c r="K127" s="3"/>
      <c r="L127" s="3"/>
      <c r="M127" s="3"/>
      <c r="N127" s="3"/>
      <c r="O127" s="3"/>
      <c r="P127" s="3"/>
      <c r="Q127" s="6"/>
      <c r="R127" s="7"/>
      <c r="S127" s="7"/>
      <c r="T127" s="7"/>
      <c r="U127" s="6"/>
      <c r="V127" s="11"/>
      <c r="W127" s="6"/>
      <c r="X127" s="6"/>
      <c r="Y127" s="6"/>
      <c r="Z127" s="6"/>
      <c r="AA127" s="8"/>
      <c r="AB127" s="8"/>
      <c r="AC127" s="6"/>
      <c r="AD127" s="6"/>
      <c r="AE127" s="9"/>
    </row>
    <row r="128" spans="1:31" s="10" customFormat="1" ht="15.75" x14ac:dyDescent="0.25">
      <c r="A128" s="3">
        <v>113</v>
      </c>
      <c r="B128" s="3" t="s">
        <v>223</v>
      </c>
      <c r="C128" s="5"/>
      <c r="D128" s="4"/>
      <c r="E128" s="6"/>
      <c r="F128" s="6"/>
      <c r="G128" s="6"/>
      <c r="H128" s="6"/>
      <c r="I128" s="7"/>
      <c r="J128" s="3"/>
      <c r="K128" s="3"/>
      <c r="L128" s="3"/>
      <c r="M128" s="3"/>
      <c r="N128" s="3"/>
      <c r="O128" s="3"/>
      <c r="P128" s="3"/>
      <c r="Q128" s="6"/>
      <c r="R128" s="7"/>
      <c r="S128" s="7"/>
      <c r="T128" s="7"/>
      <c r="U128" s="6"/>
      <c r="V128" s="11"/>
      <c r="W128" s="6"/>
      <c r="X128" s="6"/>
      <c r="Y128" s="6"/>
      <c r="Z128" s="6"/>
      <c r="AA128" s="8"/>
      <c r="AB128" s="8"/>
      <c r="AC128" s="6"/>
      <c r="AD128" s="6"/>
      <c r="AE128" s="9"/>
    </row>
    <row r="129" spans="1:31" s="10" customFormat="1" ht="15.75" x14ac:dyDescent="0.25">
      <c r="A129" s="3">
        <v>114</v>
      </c>
      <c r="B129" s="3" t="s">
        <v>223</v>
      </c>
      <c r="C129" s="5"/>
      <c r="D129" s="4"/>
      <c r="E129" s="6"/>
      <c r="F129" s="6"/>
      <c r="G129" s="6"/>
      <c r="H129" s="6"/>
      <c r="I129" s="7"/>
      <c r="J129" s="3"/>
      <c r="K129" s="3"/>
      <c r="L129" s="3"/>
      <c r="M129" s="3"/>
      <c r="N129" s="3"/>
      <c r="O129" s="3"/>
      <c r="P129" s="3"/>
      <c r="Q129" s="6"/>
      <c r="R129" s="7"/>
      <c r="S129" s="7"/>
      <c r="T129" s="7"/>
      <c r="U129" s="6"/>
      <c r="V129" s="11"/>
      <c r="W129" s="6"/>
      <c r="X129" s="6"/>
      <c r="Y129" s="6"/>
      <c r="Z129" s="6"/>
      <c r="AA129" s="8"/>
      <c r="AB129" s="8"/>
      <c r="AC129" s="6"/>
      <c r="AD129" s="6"/>
      <c r="AE129" s="9"/>
    </row>
    <row r="130" spans="1:31" s="10" customFormat="1" ht="15.75" x14ac:dyDescent="0.25">
      <c r="A130" s="3">
        <v>115</v>
      </c>
      <c r="B130" s="3" t="s">
        <v>223</v>
      </c>
      <c r="C130" s="5"/>
      <c r="D130" s="4"/>
      <c r="E130" s="6"/>
      <c r="F130" s="6"/>
      <c r="G130" s="6"/>
      <c r="H130" s="6"/>
      <c r="I130" s="7"/>
      <c r="J130" s="3"/>
      <c r="K130" s="3"/>
      <c r="L130" s="3"/>
      <c r="M130" s="3"/>
      <c r="N130" s="3"/>
      <c r="O130" s="3"/>
      <c r="P130" s="3"/>
      <c r="Q130" s="6"/>
      <c r="R130" s="7"/>
      <c r="S130" s="7"/>
      <c r="T130" s="7"/>
      <c r="U130" s="6"/>
      <c r="V130" s="11"/>
      <c r="W130" s="6"/>
      <c r="X130" s="6"/>
      <c r="Y130" s="6"/>
      <c r="Z130" s="6"/>
      <c r="AA130" s="8"/>
      <c r="AB130" s="8"/>
      <c r="AC130" s="6"/>
      <c r="AD130" s="6"/>
      <c r="AE130" s="9"/>
    </row>
    <row r="131" spans="1:31" s="10" customFormat="1" ht="15.75" x14ac:dyDescent="0.25">
      <c r="A131" s="3">
        <v>116</v>
      </c>
      <c r="B131" s="3" t="s">
        <v>223</v>
      </c>
      <c r="C131" s="5"/>
      <c r="D131" s="4"/>
      <c r="E131" s="6"/>
      <c r="F131" s="6"/>
      <c r="G131" s="6"/>
      <c r="H131" s="6"/>
      <c r="I131" s="7"/>
      <c r="J131" s="3"/>
      <c r="K131" s="3"/>
      <c r="L131" s="3"/>
      <c r="M131" s="3"/>
      <c r="N131" s="3"/>
      <c r="O131" s="3"/>
      <c r="P131" s="3"/>
      <c r="Q131" s="6"/>
      <c r="R131" s="7"/>
      <c r="S131" s="7"/>
      <c r="T131" s="7"/>
      <c r="U131" s="6"/>
      <c r="V131" s="11"/>
      <c r="W131" s="6"/>
      <c r="X131" s="6"/>
      <c r="Y131" s="6"/>
      <c r="Z131" s="6"/>
      <c r="AA131" s="8"/>
      <c r="AB131" s="8"/>
      <c r="AC131" s="6"/>
      <c r="AD131" s="6"/>
      <c r="AE131" s="9"/>
    </row>
    <row r="132" spans="1:31" s="10" customFormat="1" ht="15.75" x14ac:dyDescent="0.25">
      <c r="A132" s="3">
        <v>117</v>
      </c>
      <c r="B132" s="3" t="s">
        <v>223</v>
      </c>
      <c r="C132" s="5"/>
      <c r="D132" s="4"/>
      <c r="E132" s="6"/>
      <c r="F132" s="6"/>
      <c r="G132" s="6"/>
      <c r="H132" s="6"/>
      <c r="I132" s="7"/>
      <c r="J132" s="3"/>
      <c r="K132" s="3"/>
      <c r="L132" s="3"/>
      <c r="M132" s="3"/>
      <c r="N132" s="3"/>
      <c r="O132" s="3"/>
      <c r="P132" s="3"/>
      <c r="Q132" s="6"/>
      <c r="R132" s="7"/>
      <c r="S132" s="7"/>
      <c r="T132" s="7"/>
      <c r="U132" s="6"/>
      <c r="V132" s="11"/>
      <c r="W132" s="6"/>
      <c r="X132" s="6"/>
      <c r="Y132" s="6"/>
      <c r="Z132" s="6"/>
      <c r="AA132" s="8"/>
      <c r="AB132" s="8"/>
      <c r="AC132" s="6"/>
      <c r="AD132" s="6"/>
      <c r="AE132" s="9"/>
    </row>
    <row r="133" spans="1:31" s="10" customFormat="1" ht="15.75" x14ac:dyDescent="0.25">
      <c r="A133" s="3">
        <v>118</v>
      </c>
      <c r="B133" s="3" t="s">
        <v>223</v>
      </c>
      <c r="C133" s="5"/>
      <c r="D133" s="4"/>
      <c r="E133" s="6"/>
      <c r="F133" s="6"/>
      <c r="G133" s="6"/>
      <c r="H133" s="6"/>
      <c r="I133" s="7"/>
      <c r="J133" s="3"/>
      <c r="K133" s="3"/>
      <c r="L133" s="3"/>
      <c r="M133" s="3"/>
      <c r="N133" s="3"/>
      <c r="O133" s="3"/>
      <c r="P133" s="3"/>
      <c r="Q133" s="6"/>
      <c r="R133" s="7"/>
      <c r="S133" s="7"/>
      <c r="T133" s="7"/>
      <c r="U133" s="6"/>
      <c r="V133" s="11"/>
      <c r="W133" s="6"/>
      <c r="X133" s="6"/>
      <c r="Y133" s="6"/>
      <c r="Z133" s="6"/>
      <c r="AA133" s="8"/>
      <c r="AB133" s="8"/>
      <c r="AC133" s="6"/>
      <c r="AD133" s="6"/>
      <c r="AE133" s="9"/>
    </row>
    <row r="134" spans="1:31" s="10" customFormat="1" ht="15.75" x14ac:dyDescent="0.25">
      <c r="A134" s="3">
        <v>119</v>
      </c>
      <c r="B134" s="3" t="s">
        <v>223</v>
      </c>
      <c r="C134" s="5"/>
      <c r="D134" s="4"/>
      <c r="E134" s="6"/>
      <c r="F134" s="6"/>
      <c r="G134" s="6"/>
      <c r="H134" s="6"/>
      <c r="I134" s="7"/>
      <c r="J134" s="3"/>
      <c r="K134" s="3"/>
      <c r="L134" s="3"/>
      <c r="M134" s="3"/>
      <c r="N134" s="3"/>
      <c r="O134" s="3"/>
      <c r="P134" s="3"/>
      <c r="Q134" s="6"/>
      <c r="R134" s="7"/>
      <c r="S134" s="7"/>
      <c r="T134" s="7"/>
      <c r="U134" s="6"/>
      <c r="V134" s="11"/>
      <c r="W134" s="6"/>
      <c r="X134" s="6"/>
      <c r="Y134" s="6"/>
      <c r="Z134" s="6"/>
      <c r="AA134" s="8"/>
      <c r="AB134" s="8"/>
      <c r="AC134" s="6"/>
      <c r="AD134" s="6"/>
      <c r="AE134" s="9"/>
    </row>
    <row r="135" spans="1:31" s="10" customFormat="1" ht="15.75" x14ac:dyDescent="0.25">
      <c r="A135" s="3">
        <v>120</v>
      </c>
      <c r="B135" s="3" t="s">
        <v>223</v>
      </c>
      <c r="C135" s="5"/>
      <c r="D135" s="4"/>
      <c r="E135" s="6"/>
      <c r="F135" s="6"/>
      <c r="G135" s="6"/>
      <c r="H135" s="6"/>
      <c r="I135" s="7"/>
      <c r="J135" s="3"/>
      <c r="K135" s="3"/>
      <c r="L135" s="3"/>
      <c r="M135" s="3"/>
      <c r="N135" s="3"/>
      <c r="O135" s="3"/>
      <c r="P135" s="3"/>
      <c r="Q135" s="6"/>
      <c r="R135" s="7"/>
      <c r="S135" s="7"/>
      <c r="T135" s="7"/>
      <c r="U135" s="6"/>
      <c r="V135" s="11"/>
      <c r="W135" s="6"/>
      <c r="X135" s="6"/>
      <c r="Y135" s="6"/>
      <c r="Z135" s="6"/>
      <c r="AA135" s="8"/>
      <c r="AB135" s="8"/>
      <c r="AC135" s="6"/>
      <c r="AD135" s="6"/>
      <c r="AE135" s="9"/>
    </row>
    <row r="136" spans="1:31" s="10" customFormat="1" ht="15.75" x14ac:dyDescent="0.25">
      <c r="A136" s="3">
        <v>121</v>
      </c>
      <c r="B136" s="3" t="s">
        <v>223</v>
      </c>
      <c r="C136" s="5"/>
      <c r="D136" s="4"/>
      <c r="E136" s="6"/>
      <c r="F136" s="6"/>
      <c r="G136" s="6"/>
      <c r="H136" s="6"/>
      <c r="I136" s="7"/>
      <c r="J136" s="3"/>
      <c r="K136" s="3"/>
      <c r="L136" s="3"/>
      <c r="M136" s="3"/>
      <c r="N136" s="3"/>
      <c r="O136" s="3"/>
      <c r="P136" s="3"/>
      <c r="Q136" s="6"/>
      <c r="R136" s="7"/>
      <c r="S136" s="7"/>
      <c r="T136" s="7"/>
      <c r="U136" s="6"/>
      <c r="V136" s="11"/>
      <c r="W136" s="6"/>
      <c r="X136" s="6"/>
      <c r="Y136" s="6"/>
      <c r="Z136" s="6"/>
      <c r="AA136" s="8"/>
      <c r="AB136" s="8"/>
      <c r="AC136" s="6"/>
      <c r="AD136" s="6"/>
      <c r="AE136" s="9"/>
    </row>
    <row r="137" spans="1:31" s="10" customFormat="1" ht="15.75" x14ac:dyDescent="0.25">
      <c r="A137" s="3">
        <v>122</v>
      </c>
      <c r="B137" s="3" t="s">
        <v>223</v>
      </c>
      <c r="C137" s="5"/>
      <c r="D137" s="4"/>
      <c r="E137" s="6"/>
      <c r="F137" s="6"/>
      <c r="G137" s="6"/>
      <c r="H137" s="6"/>
      <c r="I137" s="7"/>
      <c r="J137" s="3"/>
      <c r="K137" s="3"/>
      <c r="L137" s="3"/>
      <c r="M137" s="3"/>
      <c r="N137" s="3"/>
      <c r="O137" s="3"/>
      <c r="P137" s="3"/>
      <c r="Q137" s="6"/>
      <c r="R137" s="7"/>
      <c r="S137" s="7"/>
      <c r="T137" s="7"/>
      <c r="U137" s="6"/>
      <c r="V137" s="11"/>
      <c r="W137" s="6"/>
      <c r="X137" s="6"/>
      <c r="Y137" s="6"/>
      <c r="Z137" s="6"/>
      <c r="AA137" s="8"/>
      <c r="AB137" s="8"/>
      <c r="AC137" s="6"/>
      <c r="AD137" s="6"/>
      <c r="AE137" s="9"/>
    </row>
    <row r="138" spans="1:31" s="10" customFormat="1" ht="15.75" x14ac:dyDescent="0.25">
      <c r="A138" s="3">
        <v>123</v>
      </c>
      <c r="B138" s="3" t="s">
        <v>223</v>
      </c>
      <c r="C138" s="5"/>
      <c r="D138" s="4"/>
      <c r="E138" s="6"/>
      <c r="F138" s="6"/>
      <c r="G138" s="6"/>
      <c r="H138" s="6"/>
      <c r="I138" s="7"/>
      <c r="J138" s="3"/>
      <c r="K138" s="3"/>
      <c r="L138" s="3"/>
      <c r="M138" s="3"/>
      <c r="N138" s="3"/>
      <c r="O138" s="3"/>
      <c r="P138" s="3"/>
      <c r="Q138" s="6"/>
      <c r="R138" s="7"/>
      <c r="S138" s="7"/>
      <c r="T138" s="7"/>
      <c r="U138" s="6"/>
      <c r="V138" s="11"/>
      <c r="W138" s="6"/>
      <c r="X138" s="6"/>
      <c r="Y138" s="6"/>
      <c r="Z138" s="6"/>
      <c r="AA138" s="8"/>
      <c r="AB138" s="8"/>
      <c r="AC138" s="6"/>
      <c r="AD138" s="6"/>
      <c r="AE138" s="9"/>
    </row>
    <row r="139" spans="1:31" s="10" customFormat="1" ht="15.75" x14ac:dyDescent="0.25">
      <c r="A139" s="3">
        <v>124</v>
      </c>
      <c r="B139" s="3" t="s">
        <v>223</v>
      </c>
      <c r="C139" s="5"/>
      <c r="D139" s="4"/>
      <c r="E139" s="6"/>
      <c r="F139" s="6"/>
      <c r="G139" s="6"/>
      <c r="H139" s="6"/>
      <c r="I139" s="7"/>
      <c r="J139" s="3"/>
      <c r="K139" s="3"/>
      <c r="L139" s="3"/>
      <c r="M139" s="3"/>
      <c r="N139" s="3"/>
      <c r="O139" s="3"/>
      <c r="P139" s="3"/>
      <c r="Q139" s="6"/>
      <c r="R139" s="7"/>
      <c r="S139" s="7"/>
      <c r="T139" s="7"/>
      <c r="U139" s="6"/>
      <c r="V139" s="11"/>
      <c r="W139" s="6"/>
      <c r="X139" s="6"/>
      <c r="Y139" s="6"/>
      <c r="Z139" s="6"/>
      <c r="AA139" s="8"/>
      <c r="AB139" s="8"/>
      <c r="AC139" s="6"/>
      <c r="AD139" s="6"/>
      <c r="AE139" s="9"/>
    </row>
    <row r="140" spans="1:31" s="10" customFormat="1" ht="15.75" x14ac:dyDescent="0.25">
      <c r="A140" s="3">
        <v>125</v>
      </c>
      <c r="B140" s="3" t="s">
        <v>223</v>
      </c>
      <c r="C140" s="5"/>
      <c r="D140" s="4"/>
      <c r="E140" s="6"/>
      <c r="F140" s="6"/>
      <c r="G140" s="6"/>
      <c r="H140" s="6"/>
      <c r="I140" s="7"/>
      <c r="J140" s="3"/>
      <c r="K140" s="3"/>
      <c r="L140" s="3"/>
      <c r="M140" s="3"/>
      <c r="N140" s="3"/>
      <c r="O140" s="3"/>
      <c r="P140" s="3"/>
      <c r="Q140" s="6"/>
      <c r="R140" s="7"/>
      <c r="S140" s="7"/>
      <c r="T140" s="7"/>
      <c r="U140" s="6"/>
      <c r="V140" s="11"/>
      <c r="W140" s="6"/>
      <c r="X140" s="6"/>
      <c r="Y140" s="6"/>
      <c r="Z140" s="6"/>
      <c r="AA140" s="8"/>
      <c r="AB140" s="8"/>
      <c r="AC140" s="6"/>
      <c r="AD140" s="6"/>
      <c r="AE140" s="9"/>
    </row>
    <row r="141" spans="1:31" s="10" customFormat="1" ht="15.75" x14ac:dyDescent="0.25">
      <c r="A141" s="3">
        <v>126</v>
      </c>
      <c r="B141" s="3" t="s">
        <v>223</v>
      </c>
      <c r="C141" s="5"/>
      <c r="D141" s="4"/>
      <c r="E141" s="6"/>
      <c r="F141" s="6"/>
      <c r="G141" s="6"/>
      <c r="H141" s="6"/>
      <c r="I141" s="7"/>
      <c r="J141" s="3"/>
      <c r="K141" s="3"/>
      <c r="L141" s="3"/>
      <c r="M141" s="3"/>
      <c r="N141" s="3"/>
      <c r="O141" s="3"/>
      <c r="P141" s="3"/>
      <c r="Q141" s="6"/>
      <c r="R141" s="7"/>
      <c r="S141" s="7"/>
      <c r="T141" s="7"/>
      <c r="U141" s="6"/>
      <c r="V141" s="11"/>
      <c r="W141" s="6"/>
      <c r="X141" s="6"/>
      <c r="Y141" s="6"/>
      <c r="Z141" s="6"/>
      <c r="AA141" s="8"/>
      <c r="AB141" s="8"/>
      <c r="AC141" s="6"/>
      <c r="AD141" s="6"/>
      <c r="AE141" s="9"/>
    </row>
    <row r="142" spans="1:31" s="10" customFormat="1" ht="15.75" x14ac:dyDescent="0.25">
      <c r="A142" s="3">
        <v>127</v>
      </c>
      <c r="B142" s="3" t="s">
        <v>223</v>
      </c>
      <c r="C142" s="5"/>
      <c r="D142" s="4"/>
      <c r="E142" s="6"/>
      <c r="F142" s="6"/>
      <c r="G142" s="6"/>
      <c r="H142" s="6"/>
      <c r="I142" s="7"/>
      <c r="J142" s="3"/>
      <c r="K142" s="3"/>
      <c r="L142" s="3"/>
      <c r="M142" s="3"/>
      <c r="N142" s="3"/>
      <c r="O142" s="3"/>
      <c r="P142" s="3"/>
      <c r="Q142" s="6"/>
      <c r="R142" s="7"/>
      <c r="S142" s="7"/>
      <c r="T142" s="7"/>
      <c r="U142" s="6"/>
      <c r="V142" s="11"/>
      <c r="W142" s="6"/>
      <c r="X142" s="6"/>
      <c r="Y142" s="6"/>
      <c r="Z142" s="6"/>
      <c r="AA142" s="8"/>
      <c r="AB142" s="8"/>
      <c r="AC142" s="6"/>
      <c r="AD142" s="6"/>
      <c r="AE142" s="9"/>
    </row>
    <row r="143" spans="1:31" s="10" customFormat="1" ht="15.75" x14ac:dyDescent="0.25">
      <c r="A143" s="3">
        <v>128</v>
      </c>
      <c r="B143" s="3" t="s">
        <v>223</v>
      </c>
      <c r="C143" s="5"/>
      <c r="D143" s="4"/>
      <c r="E143" s="6"/>
      <c r="F143" s="6"/>
      <c r="G143" s="6"/>
      <c r="H143" s="6"/>
      <c r="I143" s="7"/>
      <c r="J143" s="3"/>
      <c r="K143" s="3"/>
      <c r="L143" s="3"/>
      <c r="M143" s="3"/>
      <c r="N143" s="3"/>
      <c r="O143" s="3"/>
      <c r="P143" s="3"/>
      <c r="Q143" s="6"/>
      <c r="R143" s="7"/>
      <c r="S143" s="7"/>
      <c r="T143" s="7"/>
      <c r="U143" s="6"/>
      <c r="V143" s="11"/>
      <c r="W143" s="6"/>
      <c r="X143" s="6"/>
      <c r="Y143" s="6"/>
      <c r="Z143" s="6"/>
      <c r="AA143" s="8"/>
      <c r="AB143" s="8"/>
      <c r="AC143" s="6"/>
      <c r="AD143" s="6"/>
      <c r="AE143" s="9"/>
    </row>
    <row r="144" spans="1:31" s="10" customFormat="1" ht="15.75" x14ac:dyDescent="0.25">
      <c r="A144" s="3">
        <v>129</v>
      </c>
      <c r="B144" s="3" t="s">
        <v>223</v>
      </c>
      <c r="C144" s="5"/>
      <c r="D144" s="4"/>
      <c r="E144" s="6"/>
      <c r="F144" s="6"/>
      <c r="G144" s="6"/>
      <c r="H144" s="6"/>
      <c r="I144" s="7"/>
      <c r="J144" s="3"/>
      <c r="K144" s="3"/>
      <c r="L144" s="3"/>
      <c r="M144" s="3"/>
      <c r="N144" s="3"/>
      <c r="O144" s="3"/>
      <c r="P144" s="3"/>
      <c r="Q144" s="6"/>
      <c r="R144" s="7"/>
      <c r="S144" s="7"/>
      <c r="T144" s="7"/>
      <c r="U144" s="6"/>
      <c r="V144" s="11"/>
      <c r="W144" s="6"/>
      <c r="X144" s="6"/>
      <c r="Y144" s="6"/>
      <c r="Z144" s="6"/>
      <c r="AA144" s="8"/>
      <c r="AB144" s="8"/>
      <c r="AC144" s="6"/>
      <c r="AD144" s="6"/>
      <c r="AE144" s="9"/>
    </row>
    <row r="145" spans="1:31" s="10" customFormat="1" ht="15.75" x14ac:dyDescent="0.25">
      <c r="A145" s="3">
        <v>130</v>
      </c>
      <c r="B145" s="3" t="s">
        <v>223</v>
      </c>
      <c r="C145" s="5"/>
      <c r="D145" s="4"/>
      <c r="E145" s="6"/>
      <c r="F145" s="6"/>
      <c r="G145" s="6"/>
      <c r="H145" s="6"/>
      <c r="I145" s="7"/>
      <c r="J145" s="3"/>
      <c r="K145" s="3"/>
      <c r="L145" s="3"/>
      <c r="M145" s="3"/>
      <c r="N145" s="3"/>
      <c r="O145" s="3"/>
      <c r="P145" s="3"/>
      <c r="Q145" s="6"/>
      <c r="R145" s="7"/>
      <c r="S145" s="7"/>
      <c r="T145" s="7"/>
      <c r="U145" s="6"/>
      <c r="V145" s="11"/>
      <c r="W145" s="6"/>
      <c r="X145" s="6"/>
      <c r="Y145" s="6"/>
      <c r="Z145" s="6"/>
      <c r="AA145" s="8"/>
      <c r="AB145" s="8"/>
      <c r="AC145" s="6"/>
      <c r="AD145" s="6"/>
      <c r="AE145" s="9"/>
    </row>
    <row r="146" spans="1:31" s="10" customFormat="1" ht="15.75" x14ac:dyDescent="0.25">
      <c r="A146" s="3">
        <v>131</v>
      </c>
      <c r="B146" s="3" t="s">
        <v>223</v>
      </c>
      <c r="C146" s="5"/>
      <c r="D146" s="4"/>
      <c r="E146" s="6"/>
      <c r="F146" s="6"/>
      <c r="G146" s="6"/>
      <c r="H146" s="6"/>
      <c r="I146" s="7"/>
      <c r="J146" s="3"/>
      <c r="K146" s="3"/>
      <c r="L146" s="3"/>
      <c r="M146" s="3"/>
      <c r="N146" s="3"/>
      <c r="O146" s="3"/>
      <c r="P146" s="3"/>
      <c r="Q146" s="6"/>
      <c r="R146" s="7"/>
      <c r="S146" s="7"/>
      <c r="T146" s="7"/>
      <c r="U146" s="6"/>
      <c r="V146" s="11"/>
      <c r="W146" s="6"/>
      <c r="X146" s="6"/>
      <c r="Y146" s="6"/>
      <c r="Z146" s="6"/>
      <c r="AA146" s="8"/>
      <c r="AB146" s="8"/>
      <c r="AC146" s="6"/>
      <c r="AD146" s="6"/>
      <c r="AE146" s="9"/>
    </row>
    <row r="147" spans="1:31" s="10" customFormat="1" ht="15.75" x14ac:dyDescent="0.25">
      <c r="A147" s="3">
        <v>132</v>
      </c>
      <c r="B147" s="3" t="s">
        <v>223</v>
      </c>
      <c r="C147" s="5"/>
      <c r="D147" s="4"/>
      <c r="E147" s="6"/>
      <c r="F147" s="6"/>
      <c r="G147" s="6"/>
      <c r="H147" s="6"/>
      <c r="I147" s="7"/>
      <c r="J147" s="3"/>
      <c r="K147" s="3"/>
      <c r="L147" s="3"/>
      <c r="M147" s="3"/>
      <c r="N147" s="3"/>
      <c r="O147" s="3"/>
      <c r="P147" s="3"/>
      <c r="Q147" s="6"/>
      <c r="R147" s="7"/>
      <c r="S147" s="7"/>
      <c r="T147" s="7"/>
      <c r="U147" s="6"/>
      <c r="V147" s="11"/>
      <c r="W147" s="6"/>
      <c r="X147" s="6"/>
      <c r="Y147" s="6"/>
      <c r="Z147" s="6"/>
      <c r="AA147" s="8"/>
      <c r="AB147" s="8"/>
      <c r="AC147" s="6"/>
      <c r="AD147" s="6"/>
      <c r="AE147" s="9"/>
    </row>
    <row r="148" spans="1:31" s="10" customFormat="1" ht="15.75" x14ac:dyDescent="0.25">
      <c r="A148" s="3">
        <v>133</v>
      </c>
      <c r="B148" s="3" t="s">
        <v>223</v>
      </c>
      <c r="C148" s="5"/>
      <c r="D148" s="4"/>
      <c r="E148" s="6"/>
      <c r="F148" s="6"/>
      <c r="G148" s="6"/>
      <c r="H148" s="6"/>
      <c r="I148" s="7"/>
      <c r="J148" s="3"/>
      <c r="K148" s="3"/>
      <c r="L148" s="3"/>
      <c r="M148" s="3"/>
      <c r="N148" s="3"/>
      <c r="O148" s="3"/>
      <c r="P148" s="3"/>
      <c r="Q148" s="6"/>
      <c r="R148" s="7"/>
      <c r="S148" s="7"/>
      <c r="T148" s="7"/>
      <c r="U148" s="6"/>
      <c r="V148" s="11"/>
      <c r="W148" s="6"/>
      <c r="X148" s="6"/>
      <c r="Y148" s="6"/>
      <c r="Z148" s="6"/>
      <c r="AA148" s="8"/>
      <c r="AB148" s="8"/>
      <c r="AC148" s="6"/>
      <c r="AD148" s="6"/>
      <c r="AE148" s="9"/>
    </row>
    <row r="149" spans="1:31" s="10" customFormat="1" ht="15.75" x14ac:dyDescent="0.25">
      <c r="A149" s="3">
        <v>134</v>
      </c>
      <c r="B149" s="3" t="s">
        <v>223</v>
      </c>
      <c r="C149" s="5"/>
      <c r="D149" s="4"/>
      <c r="E149" s="6"/>
      <c r="F149" s="6"/>
      <c r="G149" s="6"/>
      <c r="H149" s="6"/>
      <c r="I149" s="7"/>
      <c r="J149" s="3"/>
      <c r="K149" s="3"/>
      <c r="L149" s="3"/>
      <c r="M149" s="3"/>
      <c r="N149" s="3"/>
      <c r="O149" s="3"/>
      <c r="P149" s="3"/>
      <c r="Q149" s="6"/>
      <c r="R149" s="7"/>
      <c r="S149" s="7"/>
      <c r="T149" s="7"/>
      <c r="U149" s="6"/>
      <c r="V149" s="11"/>
      <c r="W149" s="6"/>
      <c r="X149" s="6"/>
      <c r="Y149" s="6"/>
      <c r="Z149" s="6"/>
      <c r="AA149" s="8"/>
      <c r="AB149" s="8"/>
      <c r="AC149" s="6"/>
      <c r="AD149" s="6"/>
      <c r="AE149" s="9"/>
    </row>
    <row r="150" spans="1:31" s="10" customFormat="1" ht="15.75" x14ac:dyDescent="0.25">
      <c r="A150" s="3">
        <v>135</v>
      </c>
      <c r="B150" s="3" t="s">
        <v>223</v>
      </c>
      <c r="C150" s="5"/>
      <c r="D150" s="4"/>
      <c r="E150" s="6"/>
      <c r="F150" s="6"/>
      <c r="G150" s="6"/>
      <c r="H150" s="6"/>
      <c r="I150" s="7"/>
      <c r="J150" s="3"/>
      <c r="K150" s="3"/>
      <c r="L150" s="3"/>
      <c r="M150" s="3"/>
      <c r="N150" s="3"/>
      <c r="O150" s="3"/>
      <c r="P150" s="3"/>
      <c r="Q150" s="6"/>
      <c r="R150" s="7"/>
      <c r="S150" s="7"/>
      <c r="T150" s="7"/>
      <c r="U150" s="6"/>
      <c r="V150" s="11"/>
      <c r="W150" s="6"/>
      <c r="X150" s="6"/>
      <c r="Y150" s="6"/>
      <c r="Z150" s="6"/>
      <c r="AA150" s="8"/>
      <c r="AB150" s="8"/>
      <c r="AC150" s="6"/>
      <c r="AD150" s="6"/>
      <c r="AE150" s="9"/>
    </row>
    <row r="151" spans="1:31" s="10" customFormat="1" ht="15.75" x14ac:dyDescent="0.25">
      <c r="A151" s="3">
        <v>136</v>
      </c>
      <c r="B151" s="3" t="s">
        <v>223</v>
      </c>
      <c r="C151" s="5"/>
      <c r="D151" s="4"/>
      <c r="E151" s="6"/>
      <c r="F151" s="6"/>
      <c r="G151" s="6"/>
      <c r="H151" s="6"/>
      <c r="I151" s="7"/>
      <c r="J151" s="3"/>
      <c r="K151" s="3"/>
      <c r="L151" s="3"/>
      <c r="M151" s="3"/>
      <c r="N151" s="3"/>
      <c r="O151" s="3"/>
      <c r="P151" s="3"/>
      <c r="Q151" s="6"/>
      <c r="R151" s="7"/>
      <c r="S151" s="7"/>
      <c r="T151" s="7"/>
      <c r="U151" s="6"/>
      <c r="V151" s="11"/>
      <c r="W151" s="6"/>
      <c r="X151" s="6"/>
      <c r="Y151" s="6"/>
      <c r="Z151" s="6"/>
      <c r="AA151" s="8"/>
      <c r="AB151" s="8"/>
      <c r="AC151" s="6"/>
      <c r="AD151" s="6"/>
      <c r="AE151" s="9"/>
    </row>
    <row r="152" spans="1:31" s="10" customFormat="1" ht="15.75" x14ac:dyDescent="0.25">
      <c r="A152" s="3">
        <v>137</v>
      </c>
      <c r="B152" s="3" t="s">
        <v>223</v>
      </c>
      <c r="C152" s="5"/>
      <c r="D152" s="4"/>
      <c r="E152" s="6"/>
      <c r="F152" s="6"/>
      <c r="G152" s="6"/>
      <c r="H152" s="6"/>
      <c r="I152" s="7"/>
      <c r="J152" s="3"/>
      <c r="K152" s="3"/>
      <c r="L152" s="3"/>
      <c r="M152" s="3"/>
      <c r="N152" s="3"/>
      <c r="O152" s="3"/>
      <c r="P152" s="3"/>
      <c r="Q152" s="6"/>
      <c r="R152" s="7"/>
      <c r="S152" s="7"/>
      <c r="T152" s="7"/>
      <c r="U152" s="6"/>
      <c r="V152" s="11"/>
      <c r="W152" s="6"/>
      <c r="X152" s="6"/>
      <c r="Y152" s="6"/>
      <c r="Z152" s="6"/>
      <c r="AA152" s="8"/>
      <c r="AB152" s="8"/>
      <c r="AC152" s="6"/>
      <c r="AD152" s="6"/>
      <c r="AE152" s="9"/>
    </row>
    <row r="153" spans="1:31" s="10" customFormat="1" ht="15.75" x14ac:dyDescent="0.25">
      <c r="A153" s="3">
        <v>138</v>
      </c>
      <c r="B153" s="3" t="s">
        <v>223</v>
      </c>
      <c r="C153" s="5"/>
      <c r="D153" s="4"/>
      <c r="E153" s="6"/>
      <c r="F153" s="6"/>
      <c r="G153" s="6"/>
      <c r="H153" s="6"/>
      <c r="I153" s="7"/>
      <c r="J153" s="3"/>
      <c r="K153" s="3"/>
      <c r="L153" s="3"/>
      <c r="M153" s="3"/>
      <c r="N153" s="3"/>
      <c r="O153" s="3"/>
      <c r="P153" s="3"/>
      <c r="Q153" s="6"/>
      <c r="R153" s="7"/>
      <c r="S153" s="7"/>
      <c r="T153" s="7"/>
      <c r="U153" s="6"/>
      <c r="V153" s="11"/>
      <c r="W153" s="6"/>
      <c r="X153" s="6"/>
      <c r="Y153" s="6"/>
      <c r="Z153" s="6"/>
      <c r="AA153" s="8"/>
      <c r="AB153" s="8"/>
      <c r="AC153" s="6"/>
      <c r="AD153" s="6"/>
      <c r="AE153" s="9"/>
    </row>
    <row r="154" spans="1:31" s="10" customFormat="1" ht="15.75" x14ac:dyDescent="0.25">
      <c r="A154" s="3">
        <v>139</v>
      </c>
      <c r="B154" s="3" t="s">
        <v>223</v>
      </c>
      <c r="C154" s="5"/>
      <c r="D154" s="4"/>
      <c r="E154" s="6"/>
      <c r="F154" s="6"/>
      <c r="G154" s="6"/>
      <c r="H154" s="6"/>
      <c r="I154" s="7"/>
      <c r="J154" s="3"/>
      <c r="K154" s="3"/>
      <c r="L154" s="3"/>
      <c r="M154" s="3"/>
      <c r="N154" s="3"/>
      <c r="O154" s="3"/>
      <c r="P154" s="3"/>
      <c r="Q154" s="6"/>
      <c r="R154" s="7"/>
      <c r="S154" s="7"/>
      <c r="T154" s="7"/>
      <c r="U154" s="6"/>
      <c r="V154" s="11"/>
      <c r="W154" s="6"/>
      <c r="X154" s="6"/>
      <c r="Y154" s="6"/>
      <c r="Z154" s="6"/>
      <c r="AA154" s="8"/>
      <c r="AB154" s="8"/>
      <c r="AC154" s="6"/>
      <c r="AD154" s="6"/>
      <c r="AE154" s="9"/>
    </row>
    <row r="155" spans="1:31" s="10" customFormat="1" ht="15.75" x14ac:dyDescent="0.25">
      <c r="A155" s="3">
        <v>140</v>
      </c>
      <c r="B155" s="3" t="s">
        <v>223</v>
      </c>
      <c r="C155" s="5"/>
      <c r="D155" s="4"/>
      <c r="E155" s="6"/>
      <c r="F155" s="6"/>
      <c r="G155" s="6"/>
      <c r="H155" s="6"/>
      <c r="I155" s="7"/>
      <c r="J155" s="3"/>
      <c r="K155" s="3"/>
      <c r="L155" s="3"/>
      <c r="M155" s="3"/>
      <c r="N155" s="3"/>
      <c r="O155" s="3"/>
      <c r="P155" s="3"/>
      <c r="Q155" s="6"/>
      <c r="R155" s="7"/>
      <c r="S155" s="7"/>
      <c r="T155" s="7"/>
      <c r="U155" s="6"/>
      <c r="V155" s="11"/>
      <c r="W155" s="6"/>
      <c r="X155" s="6"/>
      <c r="Y155" s="6"/>
      <c r="Z155" s="6"/>
      <c r="AA155" s="8"/>
      <c r="AB155" s="8"/>
      <c r="AC155" s="6"/>
      <c r="AD155" s="6"/>
      <c r="AE155" s="9"/>
    </row>
    <row r="156" spans="1:31" s="10" customFormat="1" ht="15.75" x14ac:dyDescent="0.25">
      <c r="A156" s="3">
        <v>141</v>
      </c>
      <c r="B156" s="3" t="s">
        <v>223</v>
      </c>
      <c r="C156" s="5"/>
      <c r="D156" s="4"/>
      <c r="E156" s="6"/>
      <c r="F156" s="6"/>
      <c r="G156" s="6"/>
      <c r="H156" s="6"/>
      <c r="I156" s="7"/>
      <c r="J156" s="3"/>
      <c r="K156" s="3"/>
      <c r="L156" s="3"/>
      <c r="M156" s="3"/>
      <c r="N156" s="3"/>
      <c r="O156" s="3"/>
      <c r="P156" s="3"/>
      <c r="Q156" s="6"/>
      <c r="R156" s="7"/>
      <c r="S156" s="7"/>
      <c r="T156" s="7"/>
      <c r="U156" s="6"/>
      <c r="V156" s="11"/>
      <c r="W156" s="6"/>
      <c r="X156" s="6"/>
      <c r="Y156" s="6"/>
      <c r="Z156" s="6"/>
      <c r="AA156" s="8"/>
      <c r="AB156" s="8"/>
      <c r="AC156" s="6"/>
      <c r="AD156" s="6"/>
      <c r="AE156" s="9"/>
    </row>
    <row r="157" spans="1:31" s="10" customFormat="1" ht="15.75" x14ac:dyDescent="0.25">
      <c r="A157" s="3">
        <v>142</v>
      </c>
      <c r="B157" s="3" t="s">
        <v>223</v>
      </c>
      <c r="C157" s="5"/>
      <c r="D157" s="4"/>
      <c r="E157" s="6"/>
      <c r="F157" s="6"/>
      <c r="G157" s="6"/>
      <c r="H157" s="6"/>
      <c r="I157" s="7"/>
      <c r="J157" s="3"/>
      <c r="K157" s="3"/>
      <c r="L157" s="3"/>
      <c r="M157" s="3"/>
      <c r="N157" s="3"/>
      <c r="O157" s="3"/>
      <c r="P157" s="3"/>
      <c r="Q157" s="6"/>
      <c r="R157" s="7"/>
      <c r="S157" s="7"/>
      <c r="T157" s="7"/>
      <c r="U157" s="6"/>
      <c r="V157" s="11"/>
      <c r="W157" s="6"/>
      <c r="X157" s="6"/>
      <c r="Y157" s="6"/>
      <c r="Z157" s="6"/>
      <c r="AA157" s="8"/>
      <c r="AB157" s="8"/>
      <c r="AC157" s="6"/>
      <c r="AD157" s="6"/>
      <c r="AE157" s="9"/>
    </row>
    <row r="158" spans="1:31" s="10" customFormat="1" ht="15.75" x14ac:dyDescent="0.25">
      <c r="A158" s="3">
        <v>143</v>
      </c>
      <c r="B158" s="3" t="s">
        <v>223</v>
      </c>
      <c r="C158" s="5"/>
      <c r="D158" s="4"/>
      <c r="E158" s="6"/>
      <c r="F158" s="6"/>
      <c r="G158" s="6"/>
      <c r="H158" s="6"/>
      <c r="I158" s="7"/>
      <c r="J158" s="3"/>
      <c r="K158" s="3"/>
      <c r="L158" s="3"/>
      <c r="M158" s="3"/>
      <c r="N158" s="3"/>
      <c r="O158" s="3"/>
      <c r="P158" s="3"/>
      <c r="Q158" s="6"/>
      <c r="R158" s="7"/>
      <c r="S158" s="7"/>
      <c r="T158" s="7"/>
      <c r="U158" s="6"/>
      <c r="V158" s="11"/>
      <c r="W158" s="6"/>
      <c r="X158" s="6"/>
      <c r="Y158" s="6"/>
      <c r="Z158" s="6"/>
      <c r="AA158" s="8"/>
      <c r="AB158" s="8"/>
      <c r="AC158" s="6"/>
      <c r="AD158" s="6"/>
      <c r="AE158" s="9"/>
    </row>
    <row r="159" spans="1:31" s="10" customFormat="1" ht="15.75" x14ac:dyDescent="0.25">
      <c r="A159" s="3">
        <v>144</v>
      </c>
      <c r="B159" s="3" t="s">
        <v>223</v>
      </c>
      <c r="C159" s="5"/>
      <c r="D159" s="4"/>
      <c r="E159" s="6"/>
      <c r="F159" s="6"/>
      <c r="G159" s="6"/>
      <c r="H159" s="6"/>
      <c r="I159" s="7"/>
      <c r="J159" s="3"/>
      <c r="K159" s="3"/>
      <c r="L159" s="3"/>
      <c r="M159" s="3"/>
      <c r="N159" s="3"/>
      <c r="O159" s="3"/>
      <c r="P159" s="3"/>
      <c r="Q159" s="6"/>
      <c r="R159" s="7"/>
      <c r="S159" s="7"/>
      <c r="T159" s="7"/>
      <c r="U159" s="6"/>
      <c r="V159" s="11"/>
      <c r="W159" s="6"/>
      <c r="X159" s="6"/>
      <c r="Y159" s="6"/>
      <c r="Z159" s="6"/>
      <c r="AA159" s="8"/>
      <c r="AB159" s="8"/>
      <c r="AC159" s="6"/>
      <c r="AD159" s="6"/>
      <c r="AE159" s="9"/>
    </row>
    <row r="160" spans="1:31" s="10" customFormat="1" ht="15.75" x14ac:dyDescent="0.25">
      <c r="A160" s="3">
        <v>145</v>
      </c>
      <c r="B160" s="3" t="s">
        <v>223</v>
      </c>
      <c r="C160" s="5"/>
      <c r="D160" s="4"/>
      <c r="E160" s="6"/>
      <c r="F160" s="6"/>
      <c r="G160" s="6"/>
      <c r="H160" s="6"/>
      <c r="I160" s="7"/>
      <c r="J160" s="3"/>
      <c r="K160" s="3"/>
      <c r="L160" s="3"/>
      <c r="M160" s="3"/>
      <c r="N160" s="3"/>
      <c r="O160" s="3"/>
      <c r="P160" s="3"/>
      <c r="Q160" s="6"/>
      <c r="R160" s="7"/>
      <c r="S160" s="7"/>
      <c r="T160" s="7"/>
      <c r="U160" s="6"/>
      <c r="V160" s="11"/>
      <c r="W160" s="6"/>
      <c r="X160" s="6"/>
      <c r="Y160" s="6"/>
      <c r="Z160" s="6"/>
      <c r="AA160" s="8"/>
      <c r="AB160" s="8"/>
      <c r="AC160" s="6"/>
      <c r="AD160" s="6"/>
      <c r="AE160" s="9"/>
    </row>
    <row r="161" spans="1:31" s="10" customFormat="1" ht="15.75" x14ac:dyDescent="0.25">
      <c r="A161" s="3">
        <v>146</v>
      </c>
      <c r="B161" s="3" t="s">
        <v>223</v>
      </c>
      <c r="C161" s="5"/>
      <c r="D161" s="4"/>
      <c r="E161" s="6"/>
      <c r="F161" s="6"/>
      <c r="G161" s="6"/>
      <c r="H161" s="6"/>
      <c r="I161" s="7"/>
      <c r="J161" s="3"/>
      <c r="K161" s="3"/>
      <c r="L161" s="3"/>
      <c r="M161" s="3"/>
      <c r="N161" s="3"/>
      <c r="O161" s="3"/>
      <c r="P161" s="3"/>
      <c r="Q161" s="6"/>
      <c r="R161" s="7"/>
      <c r="S161" s="7"/>
      <c r="T161" s="7"/>
      <c r="U161" s="6"/>
      <c r="V161" s="11"/>
      <c r="W161" s="6"/>
      <c r="X161" s="6"/>
      <c r="Y161" s="6"/>
      <c r="Z161" s="6"/>
      <c r="AA161" s="8"/>
      <c r="AB161" s="8"/>
      <c r="AC161" s="6"/>
      <c r="AD161" s="6"/>
      <c r="AE161" s="9"/>
    </row>
    <row r="162" spans="1:31" s="10" customFormat="1" ht="15.75" x14ac:dyDescent="0.25">
      <c r="A162" s="3">
        <v>147</v>
      </c>
      <c r="B162" s="3" t="s">
        <v>223</v>
      </c>
      <c r="C162" s="5"/>
      <c r="D162" s="4"/>
      <c r="E162" s="6"/>
      <c r="F162" s="6"/>
      <c r="G162" s="6"/>
      <c r="H162" s="6"/>
      <c r="I162" s="7"/>
      <c r="J162" s="3"/>
      <c r="K162" s="3"/>
      <c r="L162" s="3"/>
      <c r="M162" s="3"/>
      <c r="N162" s="3"/>
      <c r="O162" s="3"/>
      <c r="P162" s="3"/>
      <c r="Q162" s="6"/>
      <c r="R162" s="7"/>
      <c r="S162" s="7"/>
      <c r="T162" s="7"/>
      <c r="U162" s="6"/>
      <c r="V162" s="11"/>
      <c r="W162" s="6"/>
      <c r="X162" s="6"/>
      <c r="Y162" s="6"/>
      <c r="Z162" s="6"/>
      <c r="AA162" s="8"/>
      <c r="AB162" s="8"/>
      <c r="AC162" s="6"/>
      <c r="AD162" s="6"/>
      <c r="AE162" s="9"/>
    </row>
    <row r="163" spans="1:31" s="10" customFormat="1" ht="15.75" x14ac:dyDescent="0.25">
      <c r="A163" s="3">
        <v>148</v>
      </c>
      <c r="B163" s="3" t="s">
        <v>223</v>
      </c>
      <c r="C163" s="5"/>
      <c r="D163" s="4"/>
      <c r="E163" s="6"/>
      <c r="F163" s="6"/>
      <c r="G163" s="6"/>
      <c r="H163" s="6"/>
      <c r="I163" s="7"/>
      <c r="J163" s="3"/>
      <c r="K163" s="3"/>
      <c r="L163" s="3"/>
      <c r="M163" s="3"/>
      <c r="N163" s="3"/>
      <c r="O163" s="3"/>
      <c r="P163" s="3"/>
      <c r="Q163" s="6"/>
      <c r="R163" s="7"/>
      <c r="S163" s="7"/>
      <c r="T163" s="7"/>
      <c r="U163" s="6"/>
      <c r="V163" s="11"/>
      <c r="W163" s="6"/>
      <c r="X163" s="6"/>
      <c r="Y163" s="6"/>
      <c r="Z163" s="6"/>
      <c r="AA163" s="8"/>
      <c r="AB163" s="8"/>
      <c r="AC163" s="6"/>
      <c r="AD163" s="6"/>
      <c r="AE163" s="9"/>
    </row>
    <row r="164" spans="1:31" s="10" customFormat="1" ht="15.75" x14ac:dyDescent="0.25">
      <c r="A164" s="3">
        <v>149</v>
      </c>
      <c r="B164" s="3" t="s">
        <v>223</v>
      </c>
      <c r="C164" s="5"/>
      <c r="D164" s="4"/>
      <c r="E164" s="6"/>
      <c r="F164" s="6"/>
      <c r="G164" s="6"/>
      <c r="H164" s="6"/>
      <c r="I164" s="7"/>
      <c r="J164" s="3"/>
      <c r="K164" s="3"/>
      <c r="L164" s="3"/>
      <c r="M164" s="3"/>
      <c r="N164" s="3"/>
      <c r="O164" s="3"/>
      <c r="P164" s="3"/>
      <c r="Q164" s="6"/>
      <c r="R164" s="7"/>
      <c r="S164" s="7"/>
      <c r="T164" s="7"/>
      <c r="U164" s="6"/>
      <c r="V164" s="11"/>
      <c r="W164" s="6"/>
      <c r="X164" s="6"/>
      <c r="Y164" s="6"/>
      <c r="Z164" s="6"/>
      <c r="AA164" s="8"/>
      <c r="AB164" s="8"/>
      <c r="AC164" s="6"/>
      <c r="AD164" s="6"/>
      <c r="AE164" s="9"/>
    </row>
    <row r="165" spans="1:31" s="10" customFormat="1" ht="15.75" x14ac:dyDescent="0.25">
      <c r="A165" s="3">
        <v>150</v>
      </c>
      <c r="B165" s="3" t="s">
        <v>223</v>
      </c>
      <c r="C165" s="5"/>
      <c r="D165" s="4"/>
      <c r="E165" s="6"/>
      <c r="F165" s="6"/>
      <c r="G165" s="6"/>
      <c r="H165" s="6"/>
      <c r="I165" s="7"/>
      <c r="J165" s="3"/>
      <c r="K165" s="3"/>
      <c r="L165" s="3"/>
      <c r="M165" s="3"/>
      <c r="N165" s="3"/>
      <c r="O165" s="3"/>
      <c r="P165" s="3"/>
      <c r="Q165" s="6"/>
      <c r="R165" s="7"/>
      <c r="S165" s="7"/>
      <c r="T165" s="7"/>
      <c r="U165" s="6"/>
      <c r="V165" s="11"/>
      <c r="W165" s="6"/>
      <c r="X165" s="6"/>
      <c r="Y165" s="6"/>
      <c r="Z165" s="6"/>
      <c r="AA165" s="8"/>
      <c r="AB165" s="8"/>
      <c r="AC165" s="6"/>
      <c r="AD165" s="6"/>
      <c r="AE165" s="9"/>
    </row>
    <row r="166" spans="1:31" s="10" customFormat="1" ht="15.75" x14ac:dyDescent="0.25">
      <c r="A166" s="3">
        <v>151</v>
      </c>
      <c r="B166" s="3" t="s">
        <v>223</v>
      </c>
      <c r="C166" s="5"/>
      <c r="D166" s="4"/>
      <c r="E166" s="6"/>
      <c r="F166" s="6"/>
      <c r="G166" s="6"/>
      <c r="H166" s="6"/>
      <c r="I166" s="7"/>
      <c r="J166" s="3"/>
      <c r="K166" s="3"/>
      <c r="L166" s="3"/>
      <c r="M166" s="3"/>
      <c r="N166" s="3"/>
      <c r="O166" s="3"/>
      <c r="P166" s="3"/>
      <c r="Q166" s="6"/>
      <c r="R166" s="7"/>
      <c r="S166" s="7"/>
      <c r="T166" s="7"/>
      <c r="U166" s="6"/>
      <c r="V166" s="11"/>
      <c r="W166" s="6"/>
      <c r="X166" s="6"/>
      <c r="Y166" s="6"/>
      <c r="Z166" s="6"/>
      <c r="AA166" s="8"/>
      <c r="AB166" s="8"/>
      <c r="AC166" s="6"/>
      <c r="AD166" s="6"/>
      <c r="AE166" s="9"/>
    </row>
    <row r="167" spans="1:31" s="10" customFormat="1" ht="15.75" x14ac:dyDescent="0.25">
      <c r="A167" s="3">
        <v>152</v>
      </c>
      <c r="B167" s="3" t="s">
        <v>223</v>
      </c>
      <c r="C167" s="5"/>
      <c r="D167" s="4"/>
      <c r="E167" s="6"/>
      <c r="F167" s="6"/>
      <c r="G167" s="6"/>
      <c r="H167" s="6"/>
      <c r="I167" s="7"/>
      <c r="J167" s="3"/>
      <c r="K167" s="3"/>
      <c r="L167" s="3"/>
      <c r="M167" s="3"/>
      <c r="N167" s="3"/>
      <c r="O167" s="3"/>
      <c r="P167" s="3"/>
      <c r="Q167" s="6"/>
      <c r="R167" s="7"/>
      <c r="S167" s="7"/>
      <c r="T167" s="7"/>
      <c r="U167" s="6"/>
      <c r="V167" s="11"/>
      <c r="W167" s="6"/>
      <c r="X167" s="6"/>
      <c r="Y167" s="6"/>
      <c r="Z167" s="6"/>
      <c r="AA167" s="8"/>
      <c r="AB167" s="8"/>
      <c r="AC167" s="6"/>
      <c r="AD167" s="6"/>
      <c r="AE167" s="9"/>
    </row>
    <row r="168" spans="1:31" s="10" customFormat="1" ht="15.75" x14ac:dyDescent="0.25">
      <c r="A168" s="3">
        <v>153</v>
      </c>
      <c r="B168" s="3" t="s">
        <v>223</v>
      </c>
      <c r="C168" s="5"/>
      <c r="D168" s="4"/>
      <c r="E168" s="6"/>
      <c r="F168" s="6"/>
      <c r="G168" s="6"/>
      <c r="H168" s="6"/>
      <c r="I168" s="7"/>
      <c r="J168" s="3"/>
      <c r="K168" s="3"/>
      <c r="L168" s="3"/>
      <c r="M168" s="3"/>
      <c r="N168" s="3"/>
      <c r="O168" s="3"/>
      <c r="P168" s="3"/>
      <c r="Q168" s="6"/>
      <c r="R168" s="7"/>
      <c r="S168" s="7"/>
      <c r="T168" s="7"/>
      <c r="U168" s="6"/>
      <c r="V168" s="11"/>
      <c r="W168" s="6"/>
      <c r="X168" s="6"/>
      <c r="Y168" s="6"/>
      <c r="Z168" s="6"/>
      <c r="AA168" s="8"/>
      <c r="AB168" s="8"/>
      <c r="AC168" s="6"/>
      <c r="AD168" s="6"/>
      <c r="AE168" s="9"/>
    </row>
    <row r="169" spans="1:31" s="10" customFormat="1" ht="15.75" x14ac:dyDescent="0.25">
      <c r="A169" s="3">
        <v>154</v>
      </c>
      <c r="B169" s="3" t="s">
        <v>223</v>
      </c>
      <c r="C169" s="5"/>
      <c r="D169" s="4"/>
      <c r="E169" s="6"/>
      <c r="F169" s="6"/>
      <c r="G169" s="6"/>
      <c r="H169" s="6"/>
      <c r="I169" s="7"/>
      <c r="J169" s="3"/>
      <c r="K169" s="3"/>
      <c r="L169" s="3"/>
      <c r="M169" s="3"/>
      <c r="N169" s="3"/>
      <c r="O169" s="3"/>
      <c r="P169" s="3"/>
      <c r="Q169" s="6"/>
      <c r="R169" s="7"/>
      <c r="S169" s="7"/>
      <c r="T169" s="7"/>
      <c r="U169" s="6"/>
      <c r="V169" s="11"/>
      <c r="W169" s="6"/>
      <c r="X169" s="6"/>
      <c r="Y169" s="6"/>
      <c r="Z169" s="6"/>
      <c r="AA169" s="8"/>
      <c r="AB169" s="8"/>
      <c r="AC169" s="6"/>
      <c r="AD169" s="6"/>
      <c r="AE169" s="9"/>
    </row>
    <row r="170" spans="1:31" s="10" customFormat="1" ht="15.75" x14ac:dyDescent="0.25">
      <c r="A170" s="3">
        <v>155</v>
      </c>
      <c r="B170" s="3" t="s">
        <v>223</v>
      </c>
      <c r="C170" s="5"/>
      <c r="D170" s="4"/>
      <c r="E170" s="6"/>
      <c r="F170" s="6"/>
      <c r="G170" s="6"/>
      <c r="H170" s="6"/>
      <c r="I170" s="7"/>
      <c r="J170" s="3"/>
      <c r="K170" s="3"/>
      <c r="L170" s="3"/>
      <c r="M170" s="3"/>
      <c r="N170" s="3"/>
      <c r="O170" s="3"/>
      <c r="P170" s="3"/>
      <c r="Q170" s="6"/>
      <c r="R170" s="7"/>
      <c r="S170" s="7"/>
      <c r="T170" s="7"/>
      <c r="U170" s="6"/>
      <c r="V170" s="11"/>
      <c r="W170" s="6"/>
      <c r="X170" s="6"/>
      <c r="Y170" s="6"/>
      <c r="Z170" s="6"/>
      <c r="AA170" s="8"/>
      <c r="AB170" s="8"/>
      <c r="AC170" s="6"/>
      <c r="AD170" s="6"/>
      <c r="AE170" s="9"/>
    </row>
    <row r="171" spans="1:31" s="10" customFormat="1" ht="15.75" x14ac:dyDescent="0.25">
      <c r="A171" s="3">
        <v>156</v>
      </c>
      <c r="B171" s="3" t="s">
        <v>223</v>
      </c>
      <c r="C171" s="5"/>
      <c r="D171" s="4"/>
      <c r="E171" s="6"/>
      <c r="F171" s="6"/>
      <c r="G171" s="6"/>
      <c r="H171" s="6"/>
      <c r="I171" s="7"/>
      <c r="J171" s="3"/>
      <c r="K171" s="3"/>
      <c r="L171" s="3"/>
      <c r="M171" s="3"/>
      <c r="N171" s="3"/>
      <c r="O171" s="3"/>
      <c r="P171" s="3"/>
      <c r="Q171" s="6"/>
      <c r="R171" s="7"/>
      <c r="S171" s="7"/>
      <c r="T171" s="7"/>
      <c r="U171" s="6"/>
      <c r="V171" s="11"/>
      <c r="W171" s="6"/>
      <c r="X171" s="6"/>
      <c r="Y171" s="6"/>
      <c r="Z171" s="6"/>
      <c r="AA171" s="8"/>
      <c r="AB171" s="8"/>
      <c r="AC171" s="6"/>
      <c r="AD171" s="6"/>
      <c r="AE171" s="9"/>
    </row>
    <row r="172" spans="1:31" s="10" customFormat="1" ht="15.75" x14ac:dyDescent="0.25">
      <c r="A172" s="3">
        <v>157</v>
      </c>
      <c r="B172" s="3" t="s">
        <v>223</v>
      </c>
      <c r="C172" s="5"/>
      <c r="D172" s="4"/>
      <c r="E172" s="6"/>
      <c r="F172" s="6"/>
      <c r="G172" s="6"/>
      <c r="H172" s="6"/>
      <c r="I172" s="7"/>
      <c r="J172" s="3"/>
      <c r="K172" s="3"/>
      <c r="L172" s="3"/>
      <c r="M172" s="3"/>
      <c r="N172" s="3"/>
      <c r="O172" s="3"/>
      <c r="P172" s="3"/>
      <c r="Q172" s="6"/>
      <c r="R172" s="7"/>
      <c r="S172" s="7"/>
      <c r="T172" s="7"/>
      <c r="U172" s="6"/>
      <c r="V172" s="11"/>
      <c r="W172" s="6"/>
      <c r="X172" s="6"/>
      <c r="Y172" s="6"/>
      <c r="Z172" s="6"/>
      <c r="AA172" s="8"/>
      <c r="AB172" s="8"/>
      <c r="AC172" s="6"/>
      <c r="AD172" s="6"/>
      <c r="AE172" s="9"/>
    </row>
    <row r="173" spans="1:31" s="10" customFormat="1" ht="15.75" x14ac:dyDescent="0.25">
      <c r="A173" s="3">
        <v>158</v>
      </c>
      <c r="B173" s="3" t="s">
        <v>223</v>
      </c>
      <c r="C173" s="5"/>
      <c r="D173" s="4"/>
      <c r="E173" s="6"/>
      <c r="F173" s="6"/>
      <c r="G173" s="6"/>
      <c r="H173" s="6"/>
      <c r="I173" s="7"/>
      <c r="J173" s="3"/>
      <c r="K173" s="3"/>
      <c r="L173" s="3"/>
      <c r="M173" s="3"/>
      <c r="N173" s="3"/>
      <c r="O173" s="3"/>
      <c r="P173" s="3"/>
      <c r="Q173" s="6"/>
      <c r="R173" s="7"/>
      <c r="S173" s="7"/>
      <c r="T173" s="7"/>
      <c r="U173" s="6"/>
      <c r="V173" s="11"/>
      <c r="W173" s="6"/>
      <c r="X173" s="6"/>
      <c r="Y173" s="6"/>
      <c r="Z173" s="6"/>
      <c r="AA173" s="8"/>
      <c r="AB173" s="8"/>
      <c r="AC173" s="6"/>
      <c r="AD173" s="6"/>
      <c r="AE173" s="9"/>
    </row>
    <row r="174" spans="1:31" s="10" customFormat="1" ht="15.75" x14ac:dyDescent="0.25">
      <c r="A174" s="3">
        <v>159</v>
      </c>
      <c r="B174" s="3" t="s">
        <v>223</v>
      </c>
      <c r="C174" s="5"/>
      <c r="D174" s="4"/>
      <c r="E174" s="6"/>
      <c r="F174" s="6"/>
      <c r="G174" s="6"/>
      <c r="H174" s="6"/>
      <c r="I174" s="7"/>
      <c r="J174" s="3"/>
      <c r="K174" s="3"/>
      <c r="L174" s="3"/>
      <c r="M174" s="3"/>
      <c r="N174" s="3"/>
      <c r="O174" s="3"/>
      <c r="P174" s="3"/>
      <c r="Q174" s="6"/>
      <c r="R174" s="7"/>
      <c r="S174" s="7"/>
      <c r="T174" s="7"/>
      <c r="U174" s="6"/>
      <c r="V174" s="11"/>
      <c r="W174" s="6"/>
      <c r="X174" s="6"/>
      <c r="Y174" s="6"/>
      <c r="Z174" s="6"/>
      <c r="AA174" s="8"/>
      <c r="AB174" s="8"/>
      <c r="AC174" s="6"/>
      <c r="AD174" s="6"/>
      <c r="AE174" s="9"/>
    </row>
    <row r="175" spans="1:31" s="10" customFormat="1" ht="15.75" x14ac:dyDescent="0.25">
      <c r="A175" s="3">
        <v>160</v>
      </c>
      <c r="B175" s="3" t="s">
        <v>223</v>
      </c>
      <c r="C175" s="5"/>
      <c r="D175" s="4"/>
      <c r="E175" s="6"/>
      <c r="F175" s="6"/>
      <c r="G175" s="6"/>
      <c r="H175" s="6"/>
      <c r="I175" s="7"/>
      <c r="J175" s="3"/>
      <c r="K175" s="3"/>
      <c r="L175" s="3"/>
      <c r="M175" s="3"/>
      <c r="N175" s="3"/>
      <c r="O175" s="3"/>
      <c r="P175" s="3"/>
      <c r="Q175" s="6"/>
      <c r="R175" s="7"/>
      <c r="S175" s="7"/>
      <c r="T175" s="7"/>
      <c r="U175" s="6"/>
      <c r="V175" s="11"/>
      <c r="W175" s="6"/>
      <c r="X175" s="6"/>
      <c r="Y175" s="6"/>
      <c r="Z175" s="6"/>
      <c r="AA175" s="8"/>
      <c r="AB175" s="8"/>
      <c r="AC175" s="6"/>
      <c r="AD175" s="6"/>
      <c r="AE175" s="9"/>
    </row>
    <row r="176" spans="1:31" s="10" customFormat="1" ht="15.75" x14ac:dyDescent="0.25">
      <c r="A176" s="3">
        <v>161</v>
      </c>
      <c r="B176" s="3" t="s">
        <v>223</v>
      </c>
      <c r="C176" s="5"/>
      <c r="D176" s="4"/>
      <c r="E176" s="6"/>
      <c r="F176" s="6"/>
      <c r="G176" s="6"/>
      <c r="H176" s="6"/>
      <c r="I176" s="7"/>
      <c r="J176" s="3"/>
      <c r="K176" s="3"/>
      <c r="L176" s="3"/>
      <c r="M176" s="3"/>
      <c r="N176" s="3"/>
      <c r="O176" s="3"/>
      <c r="P176" s="3"/>
      <c r="Q176" s="6"/>
      <c r="R176" s="7"/>
      <c r="S176" s="7"/>
      <c r="T176" s="7"/>
      <c r="U176" s="6"/>
      <c r="V176" s="11"/>
      <c r="W176" s="6"/>
      <c r="X176" s="6"/>
      <c r="Y176" s="6"/>
      <c r="Z176" s="6"/>
      <c r="AA176" s="8"/>
      <c r="AB176" s="8"/>
      <c r="AC176" s="6"/>
      <c r="AD176" s="6"/>
      <c r="AE176" s="9"/>
    </row>
    <row r="177" spans="1:31" s="10" customFormat="1" ht="15.75" x14ac:dyDescent="0.25">
      <c r="A177" s="3">
        <v>162</v>
      </c>
      <c r="B177" s="3" t="s">
        <v>223</v>
      </c>
      <c r="C177" s="5"/>
      <c r="D177" s="4"/>
      <c r="E177" s="6"/>
      <c r="F177" s="6"/>
      <c r="G177" s="6"/>
      <c r="H177" s="6"/>
      <c r="I177" s="7"/>
      <c r="J177" s="3"/>
      <c r="K177" s="3"/>
      <c r="L177" s="3"/>
      <c r="M177" s="3"/>
      <c r="N177" s="3"/>
      <c r="O177" s="3"/>
      <c r="P177" s="3"/>
      <c r="Q177" s="6"/>
      <c r="R177" s="7"/>
      <c r="S177" s="7"/>
      <c r="T177" s="7"/>
      <c r="U177" s="6"/>
      <c r="V177" s="11"/>
      <c r="W177" s="6"/>
      <c r="X177" s="6"/>
      <c r="Y177" s="6"/>
      <c r="Z177" s="6"/>
      <c r="AA177" s="8"/>
      <c r="AB177" s="8"/>
      <c r="AC177" s="6"/>
      <c r="AD177" s="6"/>
      <c r="AE177" s="9"/>
    </row>
    <row r="178" spans="1:31" s="10" customFormat="1" ht="15.75" x14ac:dyDescent="0.25">
      <c r="A178" s="3">
        <v>163</v>
      </c>
      <c r="B178" s="3" t="s">
        <v>223</v>
      </c>
      <c r="C178" s="5"/>
      <c r="D178" s="4"/>
      <c r="E178" s="6"/>
      <c r="F178" s="6"/>
      <c r="G178" s="6"/>
      <c r="H178" s="6"/>
      <c r="I178" s="7"/>
      <c r="J178" s="3"/>
      <c r="K178" s="3"/>
      <c r="L178" s="3"/>
      <c r="M178" s="3"/>
      <c r="N178" s="3"/>
      <c r="O178" s="3"/>
      <c r="P178" s="3"/>
      <c r="Q178" s="6"/>
      <c r="R178" s="7"/>
      <c r="S178" s="7"/>
      <c r="T178" s="7"/>
      <c r="U178" s="6"/>
      <c r="V178" s="11"/>
      <c r="W178" s="6"/>
      <c r="X178" s="6"/>
      <c r="Y178" s="6"/>
      <c r="Z178" s="6"/>
      <c r="AA178" s="8"/>
      <c r="AB178" s="8"/>
      <c r="AC178" s="6"/>
      <c r="AD178" s="6"/>
      <c r="AE178" s="9"/>
    </row>
    <row r="179" spans="1:31" s="10" customFormat="1" ht="15.75" x14ac:dyDescent="0.25">
      <c r="A179" s="3">
        <v>164</v>
      </c>
      <c r="B179" s="3" t="s">
        <v>223</v>
      </c>
      <c r="C179" s="5"/>
      <c r="D179" s="4"/>
      <c r="E179" s="6"/>
      <c r="F179" s="6"/>
      <c r="G179" s="6"/>
      <c r="H179" s="6"/>
      <c r="I179" s="7"/>
      <c r="J179" s="3"/>
      <c r="K179" s="3"/>
      <c r="L179" s="3"/>
      <c r="M179" s="3"/>
      <c r="N179" s="3"/>
      <c r="O179" s="3"/>
      <c r="P179" s="3"/>
      <c r="Q179" s="6"/>
      <c r="R179" s="7"/>
      <c r="S179" s="7"/>
      <c r="T179" s="7"/>
      <c r="U179" s="6"/>
      <c r="V179" s="11"/>
      <c r="W179" s="6"/>
      <c r="X179" s="6"/>
      <c r="Y179" s="6"/>
      <c r="Z179" s="6"/>
      <c r="AA179" s="8"/>
      <c r="AB179" s="8"/>
      <c r="AC179" s="6"/>
      <c r="AD179" s="6"/>
      <c r="AE179" s="9"/>
    </row>
    <row r="180" spans="1:31" s="10" customFormat="1" ht="15.75" x14ac:dyDescent="0.25">
      <c r="A180" s="3">
        <v>165</v>
      </c>
      <c r="B180" s="3" t="s">
        <v>223</v>
      </c>
      <c r="C180" s="5"/>
      <c r="D180" s="4"/>
      <c r="E180" s="6"/>
      <c r="F180" s="6"/>
      <c r="G180" s="6"/>
      <c r="H180" s="6"/>
      <c r="I180" s="7"/>
      <c r="J180" s="3"/>
      <c r="K180" s="3"/>
      <c r="L180" s="3"/>
      <c r="M180" s="3"/>
      <c r="N180" s="3"/>
      <c r="O180" s="3"/>
      <c r="P180" s="3"/>
      <c r="Q180" s="6"/>
      <c r="R180" s="7"/>
      <c r="S180" s="7"/>
      <c r="T180" s="7"/>
      <c r="U180" s="6"/>
      <c r="V180" s="11"/>
      <c r="W180" s="6"/>
      <c r="X180" s="6"/>
      <c r="Y180" s="6"/>
      <c r="Z180" s="6"/>
      <c r="AA180" s="8"/>
      <c r="AB180" s="8"/>
      <c r="AC180" s="6"/>
      <c r="AD180" s="6"/>
      <c r="AE180" s="9"/>
    </row>
    <row r="181" spans="1:31" s="10" customFormat="1" ht="15.75" x14ac:dyDescent="0.25">
      <c r="A181" s="3">
        <v>166</v>
      </c>
      <c r="B181" s="3" t="s">
        <v>223</v>
      </c>
      <c r="C181" s="5"/>
      <c r="D181" s="4"/>
      <c r="E181" s="6"/>
      <c r="F181" s="6"/>
      <c r="G181" s="6"/>
      <c r="H181" s="6"/>
      <c r="I181" s="7"/>
      <c r="J181" s="3"/>
      <c r="K181" s="3"/>
      <c r="L181" s="3"/>
      <c r="M181" s="3"/>
      <c r="N181" s="3"/>
      <c r="O181" s="3"/>
      <c r="P181" s="3"/>
      <c r="Q181" s="6"/>
      <c r="R181" s="7"/>
      <c r="S181" s="7"/>
      <c r="T181" s="7"/>
      <c r="U181" s="6"/>
      <c r="V181" s="11"/>
      <c r="W181" s="6"/>
      <c r="X181" s="6"/>
      <c r="Y181" s="6"/>
      <c r="Z181" s="6"/>
      <c r="AA181" s="8"/>
      <c r="AB181" s="8"/>
      <c r="AC181" s="6"/>
      <c r="AD181" s="6"/>
      <c r="AE181" s="9"/>
    </row>
    <row r="182" spans="1:31" s="10" customFormat="1" ht="15.75" x14ac:dyDescent="0.25">
      <c r="A182" s="3">
        <v>167</v>
      </c>
      <c r="B182" s="3" t="s">
        <v>223</v>
      </c>
      <c r="C182" s="5"/>
      <c r="D182" s="4"/>
      <c r="E182" s="6"/>
      <c r="F182" s="6"/>
      <c r="G182" s="6"/>
      <c r="H182" s="6"/>
      <c r="I182" s="7"/>
      <c r="J182" s="3"/>
      <c r="K182" s="3"/>
      <c r="L182" s="3"/>
      <c r="M182" s="3"/>
      <c r="N182" s="3"/>
      <c r="O182" s="3"/>
      <c r="P182" s="3"/>
      <c r="Q182" s="6"/>
      <c r="R182" s="7"/>
      <c r="S182" s="7"/>
      <c r="T182" s="7"/>
      <c r="U182" s="6"/>
      <c r="V182" s="11"/>
      <c r="W182" s="6"/>
      <c r="X182" s="6"/>
      <c r="Y182" s="6"/>
      <c r="Z182" s="6"/>
      <c r="AA182" s="8"/>
      <c r="AB182" s="8"/>
      <c r="AC182" s="6"/>
      <c r="AD182" s="6"/>
      <c r="AE182" s="9"/>
    </row>
    <row r="183" spans="1:31" s="10" customFormat="1" ht="15.75" x14ac:dyDescent="0.25">
      <c r="A183" s="3">
        <v>168</v>
      </c>
      <c r="B183" s="3" t="s">
        <v>223</v>
      </c>
      <c r="C183" s="5"/>
      <c r="D183" s="4"/>
      <c r="E183" s="6"/>
      <c r="F183" s="6"/>
      <c r="G183" s="6"/>
      <c r="H183" s="6"/>
      <c r="I183" s="7"/>
      <c r="J183" s="3"/>
      <c r="K183" s="3"/>
      <c r="L183" s="3"/>
      <c r="M183" s="3"/>
      <c r="N183" s="3"/>
      <c r="O183" s="3"/>
      <c r="P183" s="3"/>
      <c r="Q183" s="6"/>
      <c r="R183" s="7"/>
      <c r="S183" s="7"/>
      <c r="T183" s="7"/>
      <c r="U183" s="6"/>
      <c r="V183" s="11"/>
      <c r="W183" s="6"/>
      <c r="X183" s="6"/>
      <c r="Y183" s="6"/>
      <c r="Z183" s="6"/>
      <c r="AA183" s="8"/>
      <c r="AB183" s="8"/>
      <c r="AC183" s="6"/>
      <c r="AD183" s="6"/>
      <c r="AE183" s="9"/>
    </row>
    <row r="184" spans="1:31" ht="16.5" x14ac:dyDescent="0.25">
      <c r="A184" s="12"/>
      <c r="B184" s="73" t="s">
        <v>37</v>
      </c>
      <c r="C184" s="74"/>
      <c r="D184" s="74"/>
      <c r="E184" s="74"/>
      <c r="F184" s="74"/>
      <c r="G184" s="74"/>
      <c r="H184" s="75"/>
      <c r="I184" s="13"/>
      <c r="J184" s="14">
        <f>COUNTIF(J3:J183,"CQ")+COUNTIF(J183,"CN")+COUNTIF(J183,"TK")</f>
        <v>5</v>
      </c>
      <c r="K184" s="14">
        <f ca="1">COUNTIF(K3:K183,"CMĐ")</f>
        <v>18</v>
      </c>
      <c r="L184" s="14">
        <f>COUNTIF(L183,"XMDT")+COUNTIF(L183,"Mốc")</f>
        <v>0</v>
      </c>
      <c r="M184" s="14">
        <f>COUNTIF(M183,"THÁn")</f>
        <v>0</v>
      </c>
      <c r="N184" s="14">
        <f>COUNTIF(N183,"TÒA")</f>
        <v>0</v>
      </c>
      <c r="O184" s="14">
        <f>COUNTIF(O3:O183,"Cấp GCN")</f>
        <v>0</v>
      </c>
      <c r="P184" s="14">
        <f>COUNTIF(P3:P183,"SHN")</f>
        <v>5</v>
      </c>
      <c r="Q184" s="15"/>
      <c r="R184" s="13"/>
      <c r="S184" s="15"/>
      <c r="T184" s="15"/>
      <c r="U184" s="16"/>
      <c r="V184" s="11"/>
      <c r="W184" s="17"/>
      <c r="X184" s="2"/>
      <c r="AD184" s="14">
        <f>COUNTIF(AD183,"kt")</f>
        <v>0</v>
      </c>
    </row>
  </sheetData>
  <mergeCells count="15">
    <mergeCell ref="A1:AC1"/>
    <mergeCell ref="B184:H184"/>
    <mergeCell ref="B8:H8"/>
    <mergeCell ref="B19:H19"/>
    <mergeCell ref="B46:H46"/>
    <mergeCell ref="B52:H52"/>
    <mergeCell ref="B55:H55"/>
    <mergeCell ref="B63:H63"/>
    <mergeCell ref="B67:H67"/>
    <mergeCell ref="B73:H73"/>
    <mergeCell ref="B82:H82"/>
    <mergeCell ref="B84:H84"/>
    <mergeCell ref="B89:H89"/>
    <mergeCell ref="B94:H94"/>
    <mergeCell ref="B98:H98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92"/>
  <sheetViews>
    <sheetView tabSelected="1" zoomScaleNormal="100" workbookViewId="0">
      <pane ySplit="2" topLeftCell="A27" activePane="bottomLeft" state="frozen"/>
      <selection pane="bottomLeft" activeCell="H51" sqref="H51"/>
    </sheetView>
  </sheetViews>
  <sheetFormatPr defaultRowHeight="15" x14ac:dyDescent="0.25"/>
  <cols>
    <col min="1" max="1" width="6.5703125" customWidth="1"/>
    <col min="2" max="2" width="10.7109375" style="57" bestFit="1" customWidth="1"/>
    <col min="3" max="3" width="10.85546875" customWidth="1"/>
    <col min="4" max="4" width="21.5703125" customWidth="1"/>
    <col min="5" max="5" width="23.7109375" bestFit="1" customWidth="1"/>
    <col min="6" max="6" width="5.7109375" customWidth="1"/>
    <col min="7" max="7" width="7.85546875" style="72" customWidth="1"/>
    <col min="8" max="8" width="28.140625" customWidth="1"/>
    <col min="9" max="9" width="29.85546875" bestFit="1" customWidth="1"/>
  </cols>
  <sheetData>
    <row r="1" spans="1:10" ht="25.5" customHeight="1" x14ac:dyDescent="0.35">
      <c r="A1" s="78"/>
      <c r="B1" s="78"/>
      <c r="C1" s="78"/>
      <c r="D1" s="78"/>
      <c r="E1" s="78"/>
      <c r="F1" s="78"/>
      <c r="G1" s="78"/>
    </row>
    <row r="2" spans="1:10" ht="31.5" x14ac:dyDescent="0.25">
      <c r="A2" s="1" t="s">
        <v>2755</v>
      </c>
      <c r="B2" s="56" t="s">
        <v>2810</v>
      </c>
      <c r="C2" s="1" t="s">
        <v>9</v>
      </c>
      <c r="D2" s="1" t="s">
        <v>10</v>
      </c>
      <c r="E2" s="1" t="s">
        <v>15</v>
      </c>
      <c r="F2" s="1" t="s">
        <v>7</v>
      </c>
      <c r="G2" s="68" t="s">
        <v>16</v>
      </c>
      <c r="H2" s="1" t="s">
        <v>2816</v>
      </c>
      <c r="I2" s="1" t="s">
        <v>2999</v>
      </c>
      <c r="J2" s="1" t="s">
        <v>3309</v>
      </c>
    </row>
    <row r="3" spans="1:10" ht="15.75" x14ac:dyDescent="0.25">
      <c r="A3" s="37">
        <v>1</v>
      </c>
      <c r="B3" s="38">
        <v>45840</v>
      </c>
      <c r="C3" s="37" t="s">
        <v>2801</v>
      </c>
      <c r="D3" s="5" t="s">
        <v>2802</v>
      </c>
      <c r="E3" s="4" t="s">
        <v>2803</v>
      </c>
      <c r="F3" s="6">
        <v>3</v>
      </c>
      <c r="G3" s="69" t="s">
        <v>2804</v>
      </c>
      <c r="H3" s="37" t="s">
        <v>2805</v>
      </c>
      <c r="I3" s="38">
        <v>45840</v>
      </c>
    </row>
    <row r="4" spans="1:10" ht="15.75" x14ac:dyDescent="0.25">
      <c r="A4" s="37">
        <v>2</v>
      </c>
      <c r="B4" s="38">
        <v>45840</v>
      </c>
      <c r="C4" s="37" t="s">
        <v>2801</v>
      </c>
      <c r="D4" s="5" t="s">
        <v>2802</v>
      </c>
      <c r="E4" s="4" t="s">
        <v>2806</v>
      </c>
      <c r="F4" s="6">
        <v>3</v>
      </c>
      <c r="G4" s="69" t="s">
        <v>2807</v>
      </c>
      <c r="H4" s="37" t="s">
        <v>2805</v>
      </c>
      <c r="I4" s="38">
        <v>45840</v>
      </c>
    </row>
    <row r="5" spans="1:10" ht="15.75" x14ac:dyDescent="0.25">
      <c r="A5" s="37">
        <v>3</v>
      </c>
      <c r="B5" s="38">
        <v>45840</v>
      </c>
      <c r="C5" s="37" t="s">
        <v>2801</v>
      </c>
      <c r="D5" s="5" t="s">
        <v>2802</v>
      </c>
      <c r="E5" s="37" t="s">
        <v>2808</v>
      </c>
      <c r="F5" s="37">
        <v>3</v>
      </c>
      <c r="G5" s="70" t="s">
        <v>2809</v>
      </c>
      <c r="H5" s="37" t="s">
        <v>2805</v>
      </c>
      <c r="I5" s="38">
        <v>45840</v>
      </c>
    </row>
    <row r="6" spans="1:10" ht="31.5" x14ac:dyDescent="0.25">
      <c r="A6" s="37">
        <v>4</v>
      </c>
      <c r="B6" s="38">
        <v>45841</v>
      </c>
      <c r="C6" s="37" t="s">
        <v>2801</v>
      </c>
      <c r="D6" s="5" t="s">
        <v>2824</v>
      </c>
      <c r="E6" s="4"/>
      <c r="F6" s="6">
        <v>41</v>
      </c>
      <c r="G6" s="69">
        <v>1181</v>
      </c>
      <c r="H6" s="37" t="s">
        <v>2825</v>
      </c>
      <c r="I6" s="39">
        <v>45841</v>
      </c>
      <c r="J6" t="s">
        <v>2845</v>
      </c>
    </row>
    <row r="7" spans="1:10" ht="15.75" x14ac:dyDescent="0.25">
      <c r="A7" s="37">
        <v>5</v>
      </c>
      <c r="B7" s="38">
        <v>45841</v>
      </c>
      <c r="C7" s="37" t="s">
        <v>2794</v>
      </c>
      <c r="D7" s="5" t="s">
        <v>1174</v>
      </c>
      <c r="E7" s="4"/>
      <c r="F7" s="6">
        <v>18</v>
      </c>
      <c r="G7" s="69">
        <v>48</v>
      </c>
      <c r="H7" s="37" t="s">
        <v>2847</v>
      </c>
      <c r="I7" s="39">
        <v>45841</v>
      </c>
      <c r="J7" t="s">
        <v>2846</v>
      </c>
    </row>
    <row r="8" spans="1:10" ht="31.5" x14ac:dyDescent="0.25">
      <c r="A8" s="37">
        <v>6</v>
      </c>
      <c r="B8" s="38">
        <v>45845</v>
      </c>
      <c r="C8" s="37" t="s">
        <v>2801</v>
      </c>
      <c r="D8" s="40" t="s">
        <v>1071</v>
      </c>
      <c r="E8" s="37"/>
      <c r="F8" s="41">
        <v>35</v>
      </c>
      <c r="G8" s="71" t="s">
        <v>2909</v>
      </c>
      <c r="H8" s="37" t="s">
        <v>2910</v>
      </c>
      <c r="I8" s="38">
        <v>45845</v>
      </c>
    </row>
    <row r="9" spans="1:10" ht="15.75" x14ac:dyDescent="0.25">
      <c r="A9" s="37">
        <v>7</v>
      </c>
      <c r="B9" s="38">
        <v>45845</v>
      </c>
      <c r="C9" s="37" t="s">
        <v>2940</v>
      </c>
      <c r="D9" s="40" t="s">
        <v>1733</v>
      </c>
      <c r="E9" s="37"/>
      <c r="F9" s="41">
        <v>4</v>
      </c>
      <c r="G9" s="71">
        <v>56</v>
      </c>
      <c r="H9" s="37" t="s">
        <v>2939</v>
      </c>
      <c r="I9" s="38">
        <v>45845</v>
      </c>
    </row>
    <row r="10" spans="1:10" ht="15.75" x14ac:dyDescent="0.25">
      <c r="A10" s="37">
        <v>8</v>
      </c>
      <c r="B10" s="38">
        <v>45845</v>
      </c>
      <c r="C10" s="37" t="s">
        <v>2940</v>
      </c>
      <c r="D10" s="40" t="s">
        <v>655</v>
      </c>
      <c r="E10" s="37"/>
      <c r="F10" s="41">
        <v>4</v>
      </c>
      <c r="G10" s="71">
        <v>44</v>
      </c>
      <c r="H10" s="37" t="s">
        <v>2939</v>
      </c>
      <c r="I10" s="38">
        <v>45845</v>
      </c>
    </row>
    <row r="11" spans="1:10" ht="15.75" x14ac:dyDescent="0.25">
      <c r="A11" s="37">
        <v>9</v>
      </c>
      <c r="B11" s="38">
        <v>45845</v>
      </c>
      <c r="C11" s="37" t="s">
        <v>2940</v>
      </c>
      <c r="D11" s="40" t="s">
        <v>2944</v>
      </c>
      <c r="E11" s="37"/>
      <c r="F11" s="41">
        <v>11</v>
      </c>
      <c r="G11" s="71">
        <v>177</v>
      </c>
      <c r="H11" s="37" t="s">
        <v>2945</v>
      </c>
      <c r="I11" s="38">
        <v>45845</v>
      </c>
    </row>
    <row r="12" spans="1:10" ht="31.5" x14ac:dyDescent="0.25">
      <c r="A12" s="37">
        <v>10</v>
      </c>
      <c r="B12" s="38">
        <v>45846</v>
      </c>
      <c r="C12" s="37" t="s">
        <v>2782</v>
      </c>
      <c r="D12" s="40" t="s">
        <v>2954</v>
      </c>
      <c r="E12" s="37" t="s">
        <v>2955</v>
      </c>
      <c r="F12" s="41">
        <v>5</v>
      </c>
      <c r="G12" s="71">
        <v>565</v>
      </c>
      <c r="H12" s="37" t="s">
        <v>2956</v>
      </c>
      <c r="I12" s="37" t="s">
        <v>3277</v>
      </c>
    </row>
    <row r="13" spans="1:10" ht="15.75" x14ac:dyDescent="0.25">
      <c r="A13" s="37">
        <v>11</v>
      </c>
      <c r="B13" s="38">
        <v>45846</v>
      </c>
      <c r="C13" s="37" t="s">
        <v>2974</v>
      </c>
      <c r="D13" s="40" t="s">
        <v>2947</v>
      </c>
      <c r="E13" s="37"/>
      <c r="F13" s="41">
        <v>4</v>
      </c>
      <c r="G13" s="71">
        <v>115</v>
      </c>
      <c r="H13" s="37" t="s">
        <v>2939</v>
      </c>
      <c r="I13" s="38">
        <v>45846</v>
      </c>
    </row>
    <row r="14" spans="1:10" ht="31.5" x14ac:dyDescent="0.25">
      <c r="A14" s="37">
        <v>12</v>
      </c>
      <c r="B14" s="38">
        <v>45846</v>
      </c>
      <c r="C14" s="37" t="s">
        <v>2794</v>
      </c>
      <c r="D14" s="40" t="s">
        <v>2975</v>
      </c>
      <c r="E14" s="37"/>
      <c r="F14" s="41">
        <v>4</v>
      </c>
      <c r="G14" s="70">
        <v>348</v>
      </c>
      <c r="H14" s="37" t="s">
        <v>2976</v>
      </c>
      <c r="I14" s="38">
        <v>45846</v>
      </c>
    </row>
    <row r="15" spans="1:10" ht="31.5" x14ac:dyDescent="0.25">
      <c r="A15" s="37">
        <v>13</v>
      </c>
      <c r="B15" s="38">
        <v>45846</v>
      </c>
      <c r="C15" s="37" t="s">
        <v>2794</v>
      </c>
      <c r="D15" s="40" t="s">
        <v>2990</v>
      </c>
      <c r="E15" s="37" t="s">
        <v>2991</v>
      </c>
      <c r="F15" s="41">
        <v>11</v>
      </c>
      <c r="G15" s="71">
        <v>81</v>
      </c>
      <c r="H15" s="37" t="s">
        <v>2997</v>
      </c>
      <c r="I15" s="37"/>
    </row>
    <row r="16" spans="1:10" ht="15.75" x14ac:dyDescent="0.25">
      <c r="A16" s="37">
        <v>14</v>
      </c>
      <c r="B16" s="38">
        <v>45846</v>
      </c>
      <c r="C16" s="37" t="s">
        <v>2992</v>
      </c>
      <c r="D16" s="40" t="s">
        <v>237</v>
      </c>
      <c r="E16" s="37" t="s">
        <v>2993</v>
      </c>
      <c r="F16" s="41">
        <v>52</v>
      </c>
      <c r="G16" s="71" t="s">
        <v>2994</v>
      </c>
      <c r="H16" s="37" t="s">
        <v>2998</v>
      </c>
      <c r="I16" s="37"/>
    </row>
    <row r="17" spans="1:16" ht="15.75" x14ac:dyDescent="0.25">
      <c r="A17" s="37">
        <v>15</v>
      </c>
      <c r="B17" s="38">
        <v>45846</v>
      </c>
      <c r="C17" s="37" t="s">
        <v>2992</v>
      </c>
      <c r="D17" s="40" t="s">
        <v>237</v>
      </c>
      <c r="E17" s="4" t="s">
        <v>2995</v>
      </c>
      <c r="F17" s="6">
        <v>52</v>
      </c>
      <c r="G17" s="69" t="s">
        <v>2996</v>
      </c>
      <c r="H17" s="37" t="s">
        <v>2998</v>
      </c>
      <c r="I17" s="37"/>
    </row>
    <row r="18" spans="1:16" ht="47.25" x14ac:dyDescent="0.25">
      <c r="A18" s="37">
        <v>16</v>
      </c>
      <c r="B18" s="38">
        <v>45847</v>
      </c>
      <c r="C18" s="37" t="s">
        <v>2794</v>
      </c>
      <c r="D18" s="5" t="s">
        <v>3014</v>
      </c>
      <c r="E18" s="4" t="s">
        <v>3015</v>
      </c>
      <c r="F18" s="6" t="s">
        <v>3016</v>
      </c>
      <c r="G18" s="69">
        <v>859</v>
      </c>
      <c r="H18" s="37" t="s">
        <v>3032</v>
      </c>
      <c r="I18" s="37" t="s">
        <v>3033</v>
      </c>
    </row>
    <row r="19" spans="1:16" ht="15.75" x14ac:dyDescent="0.25">
      <c r="A19" s="37">
        <v>17</v>
      </c>
      <c r="B19" s="38">
        <v>45847</v>
      </c>
      <c r="C19" s="37" t="s">
        <v>2992</v>
      </c>
      <c r="D19" s="58" t="s">
        <v>3035</v>
      </c>
      <c r="E19" s="5" t="s">
        <v>3034</v>
      </c>
      <c r="F19" s="6">
        <v>46</v>
      </c>
      <c r="G19" s="69">
        <v>66</v>
      </c>
      <c r="H19" s="37" t="s">
        <v>3036</v>
      </c>
      <c r="I19" s="37"/>
    </row>
    <row r="20" spans="1:16" ht="31.5" x14ac:dyDescent="0.25">
      <c r="A20" s="37">
        <v>18</v>
      </c>
      <c r="B20" s="38">
        <v>45848</v>
      </c>
      <c r="C20" s="37" t="s">
        <v>27</v>
      </c>
      <c r="D20" s="5" t="s">
        <v>3037</v>
      </c>
      <c r="E20" s="4"/>
      <c r="F20" s="6" t="s">
        <v>3038</v>
      </c>
      <c r="G20" s="69" t="s">
        <v>3039</v>
      </c>
      <c r="H20" s="37" t="s">
        <v>2976</v>
      </c>
      <c r="I20" s="38">
        <v>45848</v>
      </c>
    </row>
    <row r="21" spans="1:16" ht="15.75" x14ac:dyDescent="0.25">
      <c r="A21" s="37">
        <v>19</v>
      </c>
      <c r="B21" s="38">
        <v>45848</v>
      </c>
      <c r="C21" s="43" t="s">
        <v>2940</v>
      </c>
      <c r="D21" s="5" t="s">
        <v>2039</v>
      </c>
      <c r="E21" s="4"/>
      <c r="F21" s="6">
        <v>33</v>
      </c>
      <c r="G21" s="69">
        <v>37</v>
      </c>
      <c r="H21" s="37" t="s">
        <v>2939</v>
      </c>
      <c r="I21" s="38">
        <v>45848</v>
      </c>
    </row>
    <row r="22" spans="1:16" ht="15.75" x14ac:dyDescent="0.25">
      <c r="A22" s="37">
        <v>20</v>
      </c>
      <c r="B22" s="38">
        <v>45848</v>
      </c>
      <c r="C22" s="37" t="s">
        <v>2794</v>
      </c>
      <c r="D22" s="5" t="s">
        <v>3073</v>
      </c>
      <c r="E22" s="4"/>
      <c r="F22" s="6">
        <v>77</v>
      </c>
      <c r="G22" s="69">
        <v>79</v>
      </c>
      <c r="H22" s="37" t="s">
        <v>3088</v>
      </c>
      <c r="I22" s="38">
        <v>45848</v>
      </c>
      <c r="P22" t="s">
        <v>1319</v>
      </c>
    </row>
    <row r="23" spans="1:16" ht="15.75" x14ac:dyDescent="0.25">
      <c r="A23" s="37">
        <v>21</v>
      </c>
      <c r="B23" s="38">
        <v>45849</v>
      </c>
      <c r="C23" s="37" t="s">
        <v>2794</v>
      </c>
      <c r="D23" s="5" t="s">
        <v>3086</v>
      </c>
      <c r="E23" s="4"/>
      <c r="F23" s="6">
        <v>6</v>
      </c>
      <c r="G23" s="69">
        <v>206</v>
      </c>
      <c r="H23" s="37" t="s">
        <v>3087</v>
      </c>
      <c r="I23" s="38">
        <v>45849</v>
      </c>
    </row>
    <row r="24" spans="1:16" ht="31.5" x14ac:dyDescent="0.25">
      <c r="A24" s="37">
        <v>21</v>
      </c>
      <c r="B24" s="38">
        <v>45852</v>
      </c>
      <c r="C24" s="37" t="s">
        <v>2798</v>
      </c>
      <c r="D24" s="5" t="s">
        <v>2524</v>
      </c>
      <c r="E24" t="s">
        <v>3110</v>
      </c>
      <c r="F24" s="6">
        <v>24</v>
      </c>
      <c r="G24" s="69" t="s">
        <v>3111</v>
      </c>
      <c r="H24" s="37" t="s">
        <v>3112</v>
      </c>
      <c r="I24" s="37" t="s">
        <v>3278</v>
      </c>
    </row>
    <row r="25" spans="1:16" ht="15.75" x14ac:dyDescent="0.25">
      <c r="A25" s="37">
        <v>22</v>
      </c>
      <c r="B25" s="38">
        <v>45852</v>
      </c>
      <c r="C25" s="37" t="s">
        <v>2794</v>
      </c>
      <c r="D25" s="5" t="s">
        <v>3116</v>
      </c>
      <c r="E25" s="4" t="s">
        <v>3117</v>
      </c>
      <c r="F25" s="6">
        <v>14</v>
      </c>
      <c r="G25" s="69" t="s">
        <v>3118</v>
      </c>
      <c r="H25" s="37" t="s">
        <v>3119</v>
      </c>
      <c r="I25" s="37"/>
    </row>
    <row r="26" spans="1:16" ht="15.75" x14ac:dyDescent="0.25">
      <c r="A26" s="37">
        <v>23</v>
      </c>
      <c r="B26" s="38">
        <v>45852</v>
      </c>
      <c r="C26" s="37" t="s">
        <v>2794</v>
      </c>
      <c r="D26" s="5" t="s">
        <v>3116</v>
      </c>
      <c r="E26" s="4" t="s">
        <v>3120</v>
      </c>
      <c r="F26" s="6">
        <v>14</v>
      </c>
      <c r="G26" s="69" t="s">
        <v>3121</v>
      </c>
      <c r="H26" s="37" t="s">
        <v>3119</v>
      </c>
      <c r="I26" s="37"/>
    </row>
    <row r="27" spans="1:16" ht="15.75" x14ac:dyDescent="0.25">
      <c r="A27" s="37">
        <v>24</v>
      </c>
      <c r="B27" s="38">
        <v>45852</v>
      </c>
      <c r="C27" s="37" t="s">
        <v>2794</v>
      </c>
      <c r="D27" s="5" t="s">
        <v>3116</v>
      </c>
      <c r="E27" s="4" t="s">
        <v>3122</v>
      </c>
      <c r="F27" s="6">
        <v>14</v>
      </c>
      <c r="G27" s="69" t="s">
        <v>3123</v>
      </c>
      <c r="H27" s="37" t="s">
        <v>3119</v>
      </c>
      <c r="I27" s="37"/>
    </row>
    <row r="28" spans="1:16" ht="15.75" x14ac:dyDescent="0.25">
      <c r="A28" s="37">
        <v>25</v>
      </c>
      <c r="B28" s="38">
        <v>45854</v>
      </c>
      <c r="C28" s="37" t="s">
        <v>2798</v>
      </c>
      <c r="D28" s="5" t="s">
        <v>896</v>
      </c>
      <c r="E28" s="4" t="s">
        <v>3168</v>
      </c>
      <c r="F28" s="6">
        <v>43</v>
      </c>
      <c r="G28" s="69">
        <v>3</v>
      </c>
      <c r="H28" s="37" t="s">
        <v>3169</v>
      </c>
      <c r="I28" s="37" t="s">
        <v>3318</v>
      </c>
    </row>
    <row r="29" spans="1:16" x14ac:dyDescent="0.25">
      <c r="A29" s="37">
        <v>26</v>
      </c>
      <c r="B29" s="38">
        <v>45854</v>
      </c>
      <c r="C29" s="37" t="s">
        <v>2798</v>
      </c>
      <c r="D29" s="37" t="s">
        <v>1989</v>
      </c>
      <c r="E29" s="37"/>
      <c r="F29" s="37">
        <v>43</v>
      </c>
      <c r="G29" s="70">
        <v>54</v>
      </c>
      <c r="H29" s="37" t="s">
        <v>3169</v>
      </c>
      <c r="I29" s="37" t="s">
        <v>62</v>
      </c>
    </row>
    <row r="30" spans="1:16" x14ac:dyDescent="0.25">
      <c r="A30" s="37">
        <v>27</v>
      </c>
      <c r="B30" s="38">
        <v>45854</v>
      </c>
      <c r="C30" s="37" t="s">
        <v>2798</v>
      </c>
      <c r="D30" s="37" t="s">
        <v>1183</v>
      </c>
      <c r="F30" s="37">
        <v>15</v>
      </c>
      <c r="G30" s="70">
        <v>305</v>
      </c>
      <c r="H30" s="37" t="s">
        <v>3169</v>
      </c>
      <c r="I30" s="37" t="s">
        <v>62</v>
      </c>
    </row>
    <row r="31" spans="1:16" x14ac:dyDescent="0.25">
      <c r="A31" s="37">
        <v>28</v>
      </c>
      <c r="B31" s="38">
        <v>45854</v>
      </c>
      <c r="C31" s="37" t="s">
        <v>2782</v>
      </c>
      <c r="D31" s="37" t="s">
        <v>3170</v>
      </c>
      <c r="E31" s="37" t="s">
        <v>3170</v>
      </c>
      <c r="F31" s="37">
        <v>10</v>
      </c>
      <c r="G31" s="70" t="s">
        <v>3171</v>
      </c>
      <c r="H31" s="37" t="s">
        <v>3172</v>
      </c>
      <c r="I31" s="37"/>
    </row>
    <row r="32" spans="1:16" x14ac:dyDescent="0.25">
      <c r="A32" s="37">
        <v>29</v>
      </c>
      <c r="B32" s="38">
        <v>45854</v>
      </c>
      <c r="C32" s="37" t="s">
        <v>2782</v>
      </c>
      <c r="D32" s="37" t="s">
        <v>3173</v>
      </c>
      <c r="E32" s="37"/>
      <c r="F32" s="37">
        <v>10</v>
      </c>
      <c r="G32" s="70" t="s">
        <v>3171</v>
      </c>
      <c r="H32" s="37" t="s">
        <v>3172</v>
      </c>
      <c r="I32" s="37"/>
    </row>
    <row r="33" spans="1:9" x14ac:dyDescent="0.25">
      <c r="A33" s="37">
        <v>30</v>
      </c>
      <c r="B33" s="38">
        <v>45854</v>
      </c>
      <c r="C33" s="37" t="s">
        <v>2792</v>
      </c>
      <c r="D33" s="37"/>
      <c r="E33" s="37" t="s">
        <v>3174</v>
      </c>
      <c r="F33" s="37">
        <v>27</v>
      </c>
      <c r="G33" s="70" t="s">
        <v>3175</v>
      </c>
      <c r="H33" s="37" t="s">
        <v>3176</v>
      </c>
      <c r="I33" s="37"/>
    </row>
    <row r="34" spans="1:9" ht="15.75" x14ac:dyDescent="0.25">
      <c r="A34" s="37">
        <v>31</v>
      </c>
      <c r="B34" s="38">
        <v>45854</v>
      </c>
      <c r="C34" s="37" t="s">
        <v>2794</v>
      </c>
      <c r="D34" s="5"/>
      <c r="E34" s="4" t="s">
        <v>3177</v>
      </c>
      <c r="F34" s="6">
        <v>24</v>
      </c>
      <c r="G34" s="69" t="s">
        <v>3178</v>
      </c>
      <c r="H34" s="37" t="s">
        <v>3179</v>
      </c>
      <c r="I34" s="37"/>
    </row>
    <row r="35" spans="1:9" ht="15.75" x14ac:dyDescent="0.25">
      <c r="A35" s="37">
        <v>32</v>
      </c>
      <c r="B35" s="38">
        <v>45854</v>
      </c>
      <c r="C35" s="37" t="s">
        <v>2794</v>
      </c>
      <c r="D35" s="5"/>
      <c r="E35" s="43" t="s">
        <v>3180</v>
      </c>
      <c r="F35" s="6">
        <v>24</v>
      </c>
      <c r="G35" s="69" t="s">
        <v>3181</v>
      </c>
      <c r="H35" s="37" t="s">
        <v>3179</v>
      </c>
      <c r="I35" s="37"/>
    </row>
    <row r="36" spans="1:9" x14ac:dyDescent="0.25">
      <c r="A36" s="37">
        <v>33</v>
      </c>
      <c r="B36" s="38">
        <v>45854</v>
      </c>
      <c r="C36" s="37" t="s">
        <v>2794</v>
      </c>
      <c r="D36" s="37"/>
      <c r="E36" s="37" t="s">
        <v>3182</v>
      </c>
      <c r="F36" s="37">
        <v>24</v>
      </c>
      <c r="G36" s="70" t="s">
        <v>3183</v>
      </c>
      <c r="H36" s="37" t="s">
        <v>3179</v>
      </c>
      <c r="I36" s="37"/>
    </row>
    <row r="37" spans="1:9" ht="15.75" x14ac:dyDescent="0.25">
      <c r="A37" s="37">
        <v>34</v>
      </c>
      <c r="B37" s="38">
        <v>45854</v>
      </c>
      <c r="C37" s="37" t="s">
        <v>2782</v>
      </c>
      <c r="D37" s="5"/>
      <c r="E37" s="4" t="s">
        <v>3184</v>
      </c>
      <c r="F37" s="6">
        <v>62</v>
      </c>
      <c r="G37" s="69" t="s">
        <v>3185</v>
      </c>
      <c r="H37" s="37" t="s">
        <v>3172</v>
      </c>
      <c r="I37" s="37" t="s">
        <v>3308</v>
      </c>
    </row>
    <row r="38" spans="1:9" ht="15.75" x14ac:dyDescent="0.25">
      <c r="A38" s="37">
        <v>35</v>
      </c>
      <c r="B38" s="38">
        <v>45854</v>
      </c>
      <c r="C38" s="37" t="s">
        <v>2782</v>
      </c>
      <c r="D38" s="5"/>
      <c r="E38" s="4" t="s">
        <v>3187</v>
      </c>
      <c r="F38" s="6">
        <v>62</v>
      </c>
      <c r="G38" s="69" t="s">
        <v>3186</v>
      </c>
      <c r="H38" s="37" t="s">
        <v>3172</v>
      </c>
      <c r="I38" s="37" t="s">
        <v>3308</v>
      </c>
    </row>
    <row r="39" spans="1:9" ht="15.75" x14ac:dyDescent="0.25">
      <c r="A39" s="37">
        <v>36</v>
      </c>
      <c r="B39" s="38">
        <v>45854</v>
      </c>
      <c r="C39" s="37" t="s">
        <v>2782</v>
      </c>
      <c r="D39" s="5"/>
      <c r="E39" s="4" t="s">
        <v>3188</v>
      </c>
      <c r="F39" s="6">
        <v>62</v>
      </c>
      <c r="G39" s="69" t="s">
        <v>3189</v>
      </c>
      <c r="H39" s="37" t="s">
        <v>3172</v>
      </c>
      <c r="I39" s="37" t="s">
        <v>3308</v>
      </c>
    </row>
    <row r="40" spans="1:9" x14ac:dyDescent="0.25">
      <c r="A40" s="37">
        <v>37</v>
      </c>
      <c r="B40" s="38">
        <v>45854</v>
      </c>
      <c r="C40" s="37" t="s">
        <v>2782</v>
      </c>
      <c r="D40" s="37"/>
      <c r="E40" s="37" t="s">
        <v>3190</v>
      </c>
      <c r="F40" s="37">
        <v>62</v>
      </c>
      <c r="G40" s="70" t="s">
        <v>3191</v>
      </c>
      <c r="H40" s="37" t="s">
        <v>3172</v>
      </c>
      <c r="I40" s="37" t="s">
        <v>3308</v>
      </c>
    </row>
    <row r="41" spans="1:9" x14ac:dyDescent="0.25">
      <c r="A41" s="37">
        <v>38</v>
      </c>
      <c r="B41" s="38">
        <v>45854</v>
      </c>
      <c r="C41" s="37" t="s">
        <v>2782</v>
      </c>
      <c r="D41" s="37"/>
      <c r="E41" s="37" t="s">
        <v>3192</v>
      </c>
      <c r="F41" s="37">
        <v>62</v>
      </c>
      <c r="G41" s="70" t="s">
        <v>3193</v>
      </c>
      <c r="H41" s="37" t="s">
        <v>3172</v>
      </c>
      <c r="I41" s="37" t="s">
        <v>3308</v>
      </c>
    </row>
    <row r="42" spans="1:9" x14ac:dyDescent="0.25">
      <c r="A42" s="37">
        <v>39</v>
      </c>
      <c r="B42" s="38">
        <v>45854</v>
      </c>
      <c r="C42" s="37" t="s">
        <v>2798</v>
      </c>
      <c r="D42" s="37" t="s">
        <v>3194</v>
      </c>
      <c r="E42" s="37"/>
      <c r="F42" s="37" t="s">
        <v>3195</v>
      </c>
      <c r="G42" s="70" t="s">
        <v>3196</v>
      </c>
      <c r="H42" s="37" t="s">
        <v>3088</v>
      </c>
      <c r="I42" s="38">
        <v>45854</v>
      </c>
    </row>
    <row r="43" spans="1:9" x14ac:dyDescent="0.25">
      <c r="A43" s="37">
        <v>40</v>
      </c>
      <c r="B43" s="38">
        <v>45854</v>
      </c>
      <c r="C43" s="37" t="s">
        <v>2801</v>
      </c>
      <c r="D43" s="37" t="s">
        <v>3197</v>
      </c>
      <c r="E43" s="37" t="s">
        <v>3200</v>
      </c>
      <c r="F43" s="37">
        <v>5</v>
      </c>
      <c r="G43" s="70" t="s">
        <v>3198</v>
      </c>
      <c r="H43" s="37" t="s">
        <v>3199</v>
      </c>
      <c r="I43" s="37" t="s">
        <v>2888</v>
      </c>
    </row>
    <row r="44" spans="1:9" ht="18.75" x14ac:dyDescent="0.3">
      <c r="A44" s="37">
        <v>41</v>
      </c>
      <c r="B44" s="38">
        <v>45854</v>
      </c>
      <c r="C44" s="37" t="s">
        <v>2798</v>
      </c>
      <c r="D44" s="5" t="s">
        <v>2213</v>
      </c>
      <c r="E44" s="47" t="s">
        <v>2214</v>
      </c>
      <c r="F44" s="48" t="s">
        <v>3074</v>
      </c>
      <c r="G44" s="48" t="s">
        <v>3075</v>
      </c>
      <c r="H44" s="37" t="s">
        <v>3307</v>
      </c>
      <c r="I44" s="37"/>
    </row>
    <row r="45" spans="1:9" ht="15.75" x14ac:dyDescent="0.25">
      <c r="A45" s="37">
        <v>42</v>
      </c>
      <c r="B45" s="38">
        <v>45854</v>
      </c>
      <c r="C45" s="37" t="s">
        <v>2782</v>
      </c>
      <c r="D45" s="5"/>
      <c r="E45" s="4" t="s">
        <v>3279</v>
      </c>
      <c r="F45" s="6">
        <v>15</v>
      </c>
      <c r="G45" s="69" t="s">
        <v>3280</v>
      </c>
      <c r="H45" s="37" t="s">
        <v>3306</v>
      </c>
      <c r="I45" s="37"/>
    </row>
    <row r="46" spans="1:9" x14ac:dyDescent="0.25">
      <c r="A46" s="37">
        <v>43</v>
      </c>
      <c r="B46" s="38">
        <v>45854</v>
      </c>
      <c r="C46" s="37" t="s">
        <v>2794</v>
      </c>
      <c r="D46" s="37"/>
      <c r="E46" s="37" t="s">
        <v>3281</v>
      </c>
      <c r="F46" s="37">
        <v>20</v>
      </c>
      <c r="G46" s="70" t="s">
        <v>3282</v>
      </c>
      <c r="H46" s="37" t="s">
        <v>3179</v>
      </c>
      <c r="I46" s="37"/>
    </row>
    <row r="47" spans="1:9" x14ac:dyDescent="0.25">
      <c r="A47" s="37">
        <v>44</v>
      </c>
      <c r="B47" s="38">
        <v>45855</v>
      </c>
      <c r="C47" s="37" t="s">
        <v>2782</v>
      </c>
      <c r="D47" s="37" t="s">
        <v>3303</v>
      </c>
      <c r="E47" s="37"/>
      <c r="F47" s="37">
        <v>4</v>
      </c>
      <c r="G47" s="70" t="s">
        <v>3304</v>
      </c>
      <c r="H47" s="37" t="s">
        <v>3305</v>
      </c>
      <c r="I47" s="37"/>
    </row>
    <row r="48" spans="1:9" x14ac:dyDescent="0.25">
      <c r="A48" s="37">
        <v>45</v>
      </c>
      <c r="B48" s="38">
        <v>45855</v>
      </c>
      <c r="C48" s="37" t="s">
        <v>2801</v>
      </c>
      <c r="D48" s="37" t="s">
        <v>1168</v>
      </c>
      <c r="E48" s="37"/>
      <c r="F48" s="37">
        <v>37</v>
      </c>
      <c r="G48" s="70" t="s">
        <v>3322</v>
      </c>
      <c r="H48" s="37"/>
      <c r="I48" s="37" t="s">
        <v>3323</v>
      </c>
    </row>
    <row r="49" spans="1:9" x14ac:dyDescent="0.25">
      <c r="A49" s="37">
        <v>46</v>
      </c>
      <c r="B49" s="38">
        <v>45855</v>
      </c>
      <c r="C49" s="37" t="s">
        <v>2792</v>
      </c>
      <c r="D49" s="37" t="s">
        <v>2341</v>
      </c>
      <c r="E49" s="37" t="s">
        <v>3324</v>
      </c>
      <c r="F49" s="37">
        <v>21</v>
      </c>
      <c r="G49" s="70" t="s">
        <v>3325</v>
      </c>
      <c r="H49" s="37" t="s">
        <v>3326</v>
      </c>
      <c r="I49" s="37"/>
    </row>
    <row r="50" spans="1:9" x14ac:dyDescent="0.25">
      <c r="A50" s="37"/>
      <c r="B50" s="38"/>
      <c r="C50" s="37"/>
      <c r="D50" s="37"/>
      <c r="E50" s="37"/>
      <c r="F50" s="37"/>
      <c r="G50" s="70"/>
      <c r="H50" s="37"/>
      <c r="I50" s="37"/>
    </row>
    <row r="51" spans="1:9" x14ac:dyDescent="0.25">
      <c r="A51" s="37"/>
      <c r="B51" s="38"/>
      <c r="C51" s="37"/>
      <c r="D51" s="37"/>
      <c r="E51" s="37"/>
      <c r="F51" s="37"/>
      <c r="G51" s="70"/>
      <c r="H51" s="37"/>
      <c r="I51" s="37"/>
    </row>
    <row r="52" spans="1:9" x14ac:dyDescent="0.25">
      <c r="A52" s="37"/>
      <c r="B52" s="38"/>
      <c r="C52" s="37"/>
      <c r="D52" s="37"/>
      <c r="E52" s="37"/>
      <c r="F52" s="37"/>
      <c r="G52" s="70"/>
      <c r="H52" s="37"/>
      <c r="I52" s="37"/>
    </row>
    <row r="53" spans="1:9" x14ac:dyDescent="0.25">
      <c r="A53" s="37"/>
      <c r="B53" s="38"/>
      <c r="C53" s="37"/>
      <c r="D53" s="37"/>
      <c r="E53" s="37"/>
      <c r="F53" s="37"/>
      <c r="G53" s="70"/>
      <c r="H53" s="37"/>
      <c r="I53" s="37"/>
    </row>
    <row r="54" spans="1:9" x14ac:dyDescent="0.25">
      <c r="A54" s="37"/>
      <c r="B54" s="38"/>
      <c r="C54" s="37"/>
      <c r="D54" s="37"/>
      <c r="E54" s="37"/>
      <c r="F54" s="37"/>
      <c r="G54" s="70"/>
      <c r="H54" s="37"/>
      <c r="I54" s="37"/>
    </row>
    <row r="55" spans="1:9" x14ac:dyDescent="0.25">
      <c r="A55" s="37"/>
      <c r="B55" s="38"/>
      <c r="C55" s="37"/>
      <c r="D55" s="37"/>
      <c r="E55" s="37"/>
      <c r="F55" s="37"/>
      <c r="G55" s="70"/>
      <c r="H55" s="37"/>
      <c r="I55" s="37"/>
    </row>
    <row r="56" spans="1:9" x14ac:dyDescent="0.25">
      <c r="A56" s="37"/>
      <c r="B56" s="38"/>
      <c r="C56" s="37"/>
      <c r="D56" s="37"/>
      <c r="E56" s="37"/>
      <c r="F56" s="37"/>
      <c r="G56" s="70"/>
      <c r="H56" s="37"/>
      <c r="I56" s="37"/>
    </row>
    <row r="57" spans="1:9" x14ac:dyDescent="0.25">
      <c r="A57" s="37"/>
      <c r="B57" s="38"/>
      <c r="C57" s="37"/>
      <c r="D57" s="37"/>
      <c r="E57" s="37"/>
      <c r="F57" s="37"/>
      <c r="G57" s="70"/>
      <c r="H57" s="37"/>
      <c r="I57" s="37"/>
    </row>
    <row r="58" spans="1:9" x14ac:dyDescent="0.25">
      <c r="A58" s="37"/>
      <c r="B58" s="38"/>
      <c r="C58" s="37"/>
      <c r="D58" s="37"/>
      <c r="E58" s="37"/>
      <c r="F58" s="37"/>
      <c r="G58" s="70"/>
      <c r="H58" s="37"/>
      <c r="I58" s="37"/>
    </row>
    <row r="59" spans="1:9" x14ac:dyDescent="0.25">
      <c r="A59" s="37"/>
      <c r="B59" s="38"/>
      <c r="C59" s="37"/>
      <c r="D59" s="37"/>
      <c r="E59" s="37"/>
      <c r="F59" s="37"/>
      <c r="G59" s="70"/>
      <c r="H59" s="37"/>
      <c r="I59" s="37"/>
    </row>
    <row r="60" spans="1:9" x14ac:dyDescent="0.25">
      <c r="A60" s="37"/>
      <c r="B60" s="38"/>
      <c r="C60" s="37"/>
      <c r="D60" s="37"/>
      <c r="E60" s="37"/>
      <c r="F60" s="37"/>
      <c r="G60" s="70"/>
      <c r="H60" s="37"/>
      <c r="I60" s="37"/>
    </row>
    <row r="61" spans="1:9" x14ac:dyDescent="0.25">
      <c r="A61" s="37"/>
      <c r="B61" s="38"/>
      <c r="C61" s="37"/>
      <c r="D61" s="37"/>
      <c r="E61" s="37"/>
      <c r="F61" s="37"/>
      <c r="G61" s="70"/>
      <c r="H61" s="37"/>
      <c r="I61" s="37"/>
    </row>
    <row r="62" spans="1:9" x14ac:dyDescent="0.25">
      <c r="A62" s="37"/>
      <c r="B62" s="38"/>
      <c r="C62" s="37"/>
      <c r="D62" s="37"/>
      <c r="E62" s="37"/>
      <c r="F62" s="37"/>
      <c r="G62" s="70"/>
      <c r="H62" s="37"/>
      <c r="I62" s="37"/>
    </row>
    <row r="63" spans="1:9" x14ac:dyDescent="0.25">
      <c r="A63" s="37"/>
      <c r="B63" s="38"/>
      <c r="C63" s="37"/>
      <c r="D63" s="37"/>
      <c r="E63" s="37"/>
      <c r="F63" s="37"/>
      <c r="G63" s="70"/>
      <c r="H63" s="37"/>
      <c r="I63" s="37"/>
    </row>
    <row r="64" spans="1:9" x14ac:dyDescent="0.25">
      <c r="A64" s="37"/>
      <c r="B64" s="38"/>
      <c r="C64" s="37"/>
      <c r="D64" s="37"/>
      <c r="E64" s="37"/>
      <c r="F64" s="37"/>
      <c r="G64" s="70"/>
      <c r="H64" s="37"/>
      <c r="I64" s="37"/>
    </row>
    <row r="65" spans="1:9" x14ac:dyDescent="0.25">
      <c r="A65" s="37"/>
      <c r="B65" s="38"/>
      <c r="C65" s="37"/>
      <c r="D65" s="37"/>
      <c r="E65" s="37"/>
      <c r="F65" s="37"/>
      <c r="G65" s="70"/>
      <c r="H65" s="37"/>
      <c r="I65" s="37"/>
    </row>
    <row r="66" spans="1:9" x14ac:dyDescent="0.25">
      <c r="A66" s="37"/>
      <c r="B66" s="38"/>
      <c r="C66" s="37"/>
      <c r="D66" s="37"/>
      <c r="E66" s="37"/>
      <c r="F66" s="37"/>
      <c r="G66" s="70"/>
      <c r="H66" s="37"/>
      <c r="I66" s="37"/>
    </row>
    <row r="67" spans="1:9" x14ac:dyDescent="0.25">
      <c r="A67" s="37"/>
      <c r="B67" s="38"/>
      <c r="C67" s="37"/>
      <c r="D67" s="37"/>
      <c r="E67" s="37"/>
      <c r="F67" s="37"/>
      <c r="G67" s="70"/>
      <c r="H67" s="37"/>
      <c r="I67" s="37"/>
    </row>
    <row r="68" spans="1:9" x14ac:dyDescent="0.25">
      <c r="A68" s="37"/>
      <c r="B68" s="38"/>
      <c r="C68" s="37"/>
      <c r="D68" s="37"/>
      <c r="E68" s="37"/>
      <c r="F68" s="37"/>
      <c r="G68" s="70"/>
      <c r="H68" s="37"/>
      <c r="I68" s="37"/>
    </row>
    <row r="69" spans="1:9" x14ac:dyDescent="0.25">
      <c r="A69" s="37"/>
      <c r="B69" s="38"/>
      <c r="C69" s="37"/>
      <c r="D69" s="37"/>
      <c r="E69" s="37"/>
      <c r="F69" s="37"/>
      <c r="G69" s="70"/>
      <c r="H69" s="37"/>
      <c r="I69" s="37"/>
    </row>
    <row r="70" spans="1:9" x14ac:dyDescent="0.25">
      <c r="A70" s="37"/>
      <c r="B70" s="38"/>
      <c r="C70" s="37"/>
      <c r="D70" s="37"/>
      <c r="E70" s="37"/>
      <c r="F70" s="37"/>
      <c r="G70" s="70"/>
      <c r="H70" s="37"/>
      <c r="I70" s="37"/>
    </row>
    <row r="71" spans="1:9" x14ac:dyDescent="0.25">
      <c r="A71" s="37"/>
      <c r="B71" s="38"/>
      <c r="C71" s="37"/>
      <c r="D71" s="37"/>
      <c r="E71" s="37"/>
      <c r="F71" s="37"/>
      <c r="G71" s="70"/>
      <c r="H71" s="37"/>
      <c r="I71" s="37"/>
    </row>
    <row r="72" spans="1:9" x14ac:dyDescent="0.25">
      <c r="A72" s="37"/>
      <c r="B72" s="38"/>
      <c r="C72" s="37"/>
      <c r="D72" s="37"/>
      <c r="E72" s="37"/>
      <c r="F72" s="37"/>
      <c r="G72" s="70"/>
      <c r="H72" s="37"/>
      <c r="I72" s="37"/>
    </row>
    <row r="73" spans="1:9" x14ac:dyDescent="0.25">
      <c r="A73" s="37"/>
      <c r="B73" s="38"/>
      <c r="C73" s="37"/>
      <c r="D73" s="37"/>
      <c r="E73" s="37"/>
      <c r="F73" s="37"/>
      <c r="G73" s="70"/>
      <c r="H73" s="37"/>
      <c r="I73" s="37"/>
    </row>
    <row r="74" spans="1:9" x14ac:dyDescent="0.25">
      <c r="A74" s="37"/>
      <c r="B74" s="38"/>
      <c r="C74" s="37"/>
      <c r="D74" s="37"/>
      <c r="E74" s="37"/>
      <c r="F74" s="37"/>
      <c r="G74" s="70"/>
      <c r="H74" s="37"/>
      <c r="I74" s="37"/>
    </row>
    <row r="75" spans="1:9" x14ac:dyDescent="0.25">
      <c r="A75" s="37"/>
      <c r="B75" s="38"/>
      <c r="C75" s="37"/>
      <c r="D75" s="37"/>
      <c r="E75" s="37"/>
      <c r="F75" s="37"/>
      <c r="G75" s="70"/>
      <c r="H75" s="37"/>
      <c r="I75" s="37"/>
    </row>
    <row r="76" spans="1:9" x14ac:dyDescent="0.25">
      <c r="A76" s="37"/>
      <c r="B76" s="38"/>
      <c r="C76" s="37"/>
      <c r="D76" s="37"/>
      <c r="E76" s="37"/>
      <c r="F76" s="37"/>
      <c r="G76" s="70"/>
      <c r="H76" s="37"/>
      <c r="I76" s="37"/>
    </row>
    <row r="77" spans="1:9" x14ac:dyDescent="0.25">
      <c r="A77" s="37"/>
      <c r="B77" s="38"/>
      <c r="C77" s="37"/>
      <c r="D77" s="37"/>
      <c r="E77" s="37"/>
      <c r="F77" s="37"/>
      <c r="G77" s="70"/>
      <c r="H77" s="37"/>
      <c r="I77" s="37"/>
    </row>
    <row r="78" spans="1:9" x14ac:dyDescent="0.25">
      <c r="A78" s="37"/>
      <c r="B78" s="38"/>
      <c r="C78" s="37"/>
      <c r="D78" s="37"/>
      <c r="E78" s="37"/>
      <c r="F78" s="37"/>
      <c r="G78" s="70"/>
      <c r="H78" s="37"/>
      <c r="I78" s="37"/>
    </row>
    <row r="79" spans="1:9" x14ac:dyDescent="0.25">
      <c r="A79" s="37"/>
      <c r="B79" s="38"/>
      <c r="C79" s="37"/>
      <c r="D79" s="37"/>
      <c r="E79" s="37"/>
      <c r="F79" s="37"/>
      <c r="G79" s="70"/>
      <c r="H79" s="37"/>
      <c r="I79" s="37"/>
    </row>
    <row r="80" spans="1:9" x14ac:dyDescent="0.25">
      <c r="A80" s="37"/>
      <c r="B80" s="38"/>
      <c r="C80" s="37"/>
      <c r="D80" s="37"/>
      <c r="E80" s="37"/>
      <c r="F80" s="37"/>
      <c r="G80" s="70"/>
      <c r="H80" s="37"/>
      <c r="I80" s="37"/>
    </row>
    <row r="81" spans="1:9" x14ac:dyDescent="0.25">
      <c r="A81" s="37"/>
      <c r="B81" s="38"/>
      <c r="C81" s="37"/>
      <c r="D81" s="37"/>
      <c r="E81" s="37"/>
      <c r="F81" s="37"/>
      <c r="G81" s="70"/>
      <c r="H81" s="37"/>
      <c r="I81" s="37"/>
    </row>
    <row r="82" spans="1:9" x14ac:dyDescent="0.25">
      <c r="A82" s="37"/>
      <c r="B82" s="38"/>
      <c r="C82" s="37"/>
      <c r="D82" s="37"/>
      <c r="E82" s="37"/>
      <c r="F82" s="37"/>
      <c r="G82" s="70"/>
      <c r="H82" s="37"/>
      <c r="I82" s="37"/>
    </row>
    <row r="83" spans="1:9" x14ac:dyDescent="0.25">
      <c r="A83" s="37"/>
      <c r="B83" s="38"/>
      <c r="C83" s="37"/>
      <c r="D83" s="37"/>
      <c r="E83" s="37"/>
      <c r="F83" s="37"/>
      <c r="G83" s="70"/>
      <c r="H83" s="37"/>
      <c r="I83" s="37"/>
    </row>
    <row r="84" spans="1:9" x14ac:dyDescent="0.25">
      <c r="A84" s="37"/>
      <c r="B84" s="38"/>
      <c r="C84" s="37"/>
      <c r="D84" s="37"/>
      <c r="E84" s="37"/>
      <c r="F84" s="37"/>
      <c r="G84" s="70"/>
      <c r="H84" s="37"/>
      <c r="I84" s="37"/>
    </row>
    <row r="85" spans="1:9" x14ac:dyDescent="0.25">
      <c r="A85" s="37"/>
      <c r="B85" s="38"/>
      <c r="C85" s="37"/>
      <c r="D85" s="37"/>
      <c r="E85" s="37"/>
      <c r="F85" s="37"/>
      <c r="G85" s="70"/>
      <c r="H85" s="37"/>
      <c r="I85" s="37"/>
    </row>
    <row r="86" spans="1:9" x14ac:dyDescent="0.25">
      <c r="A86" s="37"/>
      <c r="B86" s="38"/>
      <c r="C86" s="37"/>
      <c r="D86" s="37"/>
      <c r="E86" s="37"/>
      <c r="F86" s="37"/>
      <c r="G86" s="70"/>
      <c r="H86" s="37"/>
      <c r="I86" s="37"/>
    </row>
    <row r="87" spans="1:9" x14ac:dyDescent="0.25">
      <c r="A87" s="37"/>
      <c r="B87" s="38"/>
      <c r="C87" s="37"/>
      <c r="D87" s="37"/>
      <c r="E87" s="37"/>
      <c r="F87" s="37"/>
      <c r="G87" s="70"/>
      <c r="H87" s="37"/>
      <c r="I87" s="37"/>
    </row>
    <row r="88" spans="1:9" x14ac:dyDescent="0.25">
      <c r="A88" s="37"/>
      <c r="B88" s="38"/>
      <c r="C88" s="37"/>
      <c r="D88" s="37"/>
      <c r="E88" s="37"/>
      <c r="F88" s="37"/>
      <c r="G88" s="70"/>
      <c r="H88" s="37"/>
      <c r="I88" s="37"/>
    </row>
    <row r="89" spans="1:9" x14ac:dyDescent="0.25">
      <c r="A89" s="37"/>
      <c r="B89" s="38"/>
      <c r="C89" s="37"/>
      <c r="D89" s="37"/>
      <c r="E89" s="37"/>
      <c r="F89" s="37"/>
      <c r="G89" s="70"/>
      <c r="H89" s="37"/>
      <c r="I89" s="37"/>
    </row>
    <row r="90" spans="1:9" x14ac:dyDescent="0.25">
      <c r="A90" s="37"/>
      <c r="B90" s="38"/>
      <c r="C90" s="37"/>
      <c r="D90" s="37"/>
      <c r="E90" s="37"/>
      <c r="F90" s="37"/>
      <c r="G90" s="70"/>
      <c r="H90" s="37"/>
      <c r="I90" s="37"/>
    </row>
    <row r="91" spans="1:9" x14ac:dyDescent="0.25">
      <c r="A91" s="37"/>
      <c r="B91" s="38"/>
      <c r="C91" s="37"/>
      <c r="D91" s="37"/>
      <c r="E91" s="37"/>
      <c r="F91" s="37"/>
      <c r="G91" s="70"/>
      <c r="H91" s="37"/>
      <c r="I91" s="37"/>
    </row>
    <row r="92" spans="1:9" x14ac:dyDescent="0.25">
      <c r="A92" s="37"/>
      <c r="B92" s="38"/>
      <c r="C92" s="37"/>
      <c r="D92" s="37"/>
      <c r="E92" s="37"/>
      <c r="F92" s="37"/>
      <c r="G92" s="70"/>
      <c r="H92" s="37"/>
      <c r="I92" s="37"/>
    </row>
  </sheetData>
  <mergeCells count="1">
    <mergeCell ref="A1:G1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787"/>
  <sheetViews>
    <sheetView zoomScale="85" zoomScaleNormal="85" workbookViewId="0">
      <pane ySplit="2" topLeftCell="A288" activePane="bottomLeft" state="frozen"/>
      <selection pane="bottomLeft" activeCell="J313" sqref="J313"/>
    </sheetView>
  </sheetViews>
  <sheetFormatPr defaultRowHeight="18.75" x14ac:dyDescent="0.3"/>
  <cols>
    <col min="1" max="1" width="6.5703125" customWidth="1"/>
    <col min="2" max="2" width="10.85546875" customWidth="1"/>
    <col min="3" max="3" width="35.42578125" bestFit="1" customWidth="1"/>
    <col min="4" max="4" width="17.140625" style="47" bestFit="1" customWidth="1"/>
    <col min="5" max="5" width="10.28515625" bestFit="1" customWidth="1"/>
    <col min="6" max="6" width="7.85546875" customWidth="1"/>
    <col min="7" max="7" width="9.28515625" customWidth="1"/>
    <col min="8" max="8" width="11.7109375" hidden="1" customWidth="1"/>
    <col min="9" max="9" width="12" style="57" customWidth="1"/>
    <col min="10" max="10" width="40.42578125" bestFit="1" customWidth="1"/>
    <col min="11" max="11" width="12" customWidth="1"/>
    <col min="12" max="12" width="14.7109375" bestFit="1" customWidth="1"/>
    <col min="13" max="13" width="15" bestFit="1" customWidth="1"/>
    <col min="14" max="14" width="12.140625" hidden="1" customWidth="1"/>
    <col min="15" max="15" width="12.140625" customWidth="1"/>
    <col min="16" max="16" width="26.140625" hidden="1" customWidth="1"/>
    <col min="17" max="17" width="14.140625" bestFit="1" customWidth="1"/>
    <col min="18" max="18" width="13.28515625" hidden="1" customWidth="1"/>
    <col min="19" max="19" width="15.28515625" style="2" bestFit="1" customWidth="1"/>
    <col min="20" max="20" width="14.7109375" bestFit="1" customWidth="1"/>
  </cols>
  <sheetData>
    <row r="1" spans="1:20" ht="25.5" customHeight="1" x14ac:dyDescent="0.3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20" ht="47.25" x14ac:dyDescent="0.25">
      <c r="A2" s="45" t="s">
        <v>2755</v>
      </c>
      <c r="B2" s="45" t="s">
        <v>9</v>
      </c>
      <c r="C2" s="45" t="s">
        <v>10</v>
      </c>
      <c r="D2" s="46" t="s">
        <v>15</v>
      </c>
      <c r="E2" s="45" t="s">
        <v>7</v>
      </c>
      <c r="F2" s="45" t="s">
        <v>16</v>
      </c>
      <c r="G2" s="45" t="s">
        <v>6</v>
      </c>
      <c r="H2" s="45" t="s">
        <v>17</v>
      </c>
      <c r="I2" s="59"/>
      <c r="J2" s="45" t="s">
        <v>2744</v>
      </c>
      <c r="K2" s="45" t="s">
        <v>2813</v>
      </c>
      <c r="L2" s="45" t="s">
        <v>2748</v>
      </c>
      <c r="M2" s="45" t="s">
        <v>2</v>
      </c>
      <c r="N2" s="45" t="s">
        <v>20</v>
      </c>
      <c r="O2" s="45" t="s">
        <v>29</v>
      </c>
      <c r="P2" s="45" t="s">
        <v>30</v>
      </c>
      <c r="Q2" s="45" t="s">
        <v>31</v>
      </c>
      <c r="R2" s="45" t="s">
        <v>22</v>
      </c>
      <c r="S2" s="45" t="s">
        <v>2749</v>
      </c>
      <c r="T2" s="44" t="s">
        <v>2772</v>
      </c>
    </row>
    <row r="3" spans="1:20" ht="15.75" x14ac:dyDescent="0.25">
      <c r="A3" s="48">
        <v>1</v>
      </c>
      <c r="B3" s="48" t="s">
        <v>2750</v>
      </c>
      <c r="C3" s="5" t="s">
        <v>2742</v>
      </c>
      <c r="D3" s="4" t="s">
        <v>2743</v>
      </c>
      <c r="E3" s="6">
        <v>29</v>
      </c>
      <c r="F3" s="6">
        <v>111</v>
      </c>
      <c r="G3" s="6">
        <v>1814.8</v>
      </c>
      <c r="H3" s="6" t="s">
        <v>586</v>
      </c>
      <c r="I3" s="7">
        <v>45838</v>
      </c>
      <c r="J3" s="48"/>
      <c r="K3" s="48" t="s">
        <v>2814</v>
      </c>
      <c r="L3" s="48" t="s">
        <v>62</v>
      </c>
      <c r="M3" s="48" t="s">
        <v>2791</v>
      </c>
      <c r="N3" s="48"/>
      <c r="O3" s="48"/>
      <c r="P3" s="48"/>
      <c r="Q3" s="48"/>
      <c r="R3" s="48"/>
      <c r="S3" s="48" t="s">
        <v>2800</v>
      </c>
      <c r="T3" s="48"/>
    </row>
    <row r="4" spans="1:20" ht="15.75" x14ac:dyDescent="0.25">
      <c r="A4" s="48">
        <v>2</v>
      </c>
      <c r="B4" s="48" t="s">
        <v>2751</v>
      </c>
      <c r="C4" s="5" t="s">
        <v>2752</v>
      </c>
      <c r="D4" s="4" t="s">
        <v>2746</v>
      </c>
      <c r="E4" s="6">
        <v>25</v>
      </c>
      <c r="F4" s="6">
        <v>215</v>
      </c>
      <c r="G4" s="6">
        <v>538.5</v>
      </c>
      <c r="H4" s="6" t="s">
        <v>586</v>
      </c>
      <c r="I4" s="7">
        <v>45838</v>
      </c>
      <c r="J4" s="48" t="s">
        <v>3085</v>
      </c>
      <c r="K4" s="48" t="s">
        <v>2814</v>
      </c>
      <c r="L4" s="48" t="s">
        <v>62</v>
      </c>
      <c r="M4" s="48" t="s">
        <v>2791</v>
      </c>
      <c r="N4" s="48"/>
      <c r="O4" s="48"/>
      <c r="P4" s="48"/>
      <c r="Q4" s="48"/>
      <c r="R4" s="48"/>
      <c r="S4" s="48" t="s">
        <v>2800</v>
      </c>
      <c r="T4" s="48"/>
    </row>
    <row r="5" spans="1:20" ht="15.75" x14ac:dyDescent="0.25">
      <c r="A5" s="48">
        <v>3</v>
      </c>
      <c r="B5" s="48" t="s">
        <v>2750</v>
      </c>
      <c r="C5" s="48" t="s">
        <v>2738</v>
      </c>
      <c r="D5" s="49" t="s">
        <v>966</v>
      </c>
      <c r="E5" s="48">
        <v>29</v>
      </c>
      <c r="F5" s="48">
        <v>201</v>
      </c>
      <c r="G5" s="48">
        <v>922.4</v>
      </c>
      <c r="H5" s="48" t="s">
        <v>2753</v>
      </c>
      <c r="I5" s="50">
        <v>45835</v>
      </c>
      <c r="J5" s="48"/>
      <c r="K5" s="48" t="s">
        <v>2814</v>
      </c>
      <c r="L5" s="48" t="s">
        <v>153</v>
      </c>
      <c r="M5" s="48" t="s">
        <v>2791</v>
      </c>
      <c r="N5" s="48"/>
      <c r="O5" s="48"/>
      <c r="P5" s="48"/>
      <c r="Q5" s="48"/>
      <c r="R5" s="48"/>
      <c r="S5" s="48" t="s">
        <v>2800</v>
      </c>
      <c r="T5" s="48"/>
    </row>
    <row r="6" spans="1:20" ht="15.75" x14ac:dyDescent="0.25">
      <c r="A6" s="48">
        <v>140</v>
      </c>
      <c r="B6" s="48" t="s">
        <v>28</v>
      </c>
      <c r="C6" s="5" t="s">
        <v>2756</v>
      </c>
      <c r="D6" s="4" t="s">
        <v>2757</v>
      </c>
      <c r="E6" s="6">
        <v>19</v>
      </c>
      <c r="F6" s="6">
        <v>549</v>
      </c>
      <c r="G6" s="3">
        <v>928</v>
      </c>
      <c r="H6" s="3" t="s">
        <v>2761</v>
      </c>
      <c r="I6" s="50">
        <v>45838</v>
      </c>
      <c r="J6" s="48"/>
      <c r="K6" s="48" t="s">
        <v>2814</v>
      </c>
      <c r="L6" s="48" t="s">
        <v>2758</v>
      </c>
      <c r="M6" s="48" t="s">
        <v>2796</v>
      </c>
      <c r="N6" s="48"/>
      <c r="O6" s="48"/>
      <c r="P6" s="48"/>
      <c r="Q6" s="48"/>
      <c r="R6" s="48"/>
      <c r="S6" s="48" t="s">
        <v>2760</v>
      </c>
      <c r="T6" s="48"/>
    </row>
    <row r="7" spans="1:20" ht="15.75" x14ac:dyDescent="0.25">
      <c r="A7" s="48">
        <v>4</v>
      </c>
      <c r="B7" s="48" t="s">
        <v>2751</v>
      </c>
      <c r="C7" s="5" t="s">
        <v>79</v>
      </c>
      <c r="D7" s="4" t="s">
        <v>80</v>
      </c>
      <c r="E7" s="6">
        <v>60</v>
      </c>
      <c r="F7" s="6">
        <v>36</v>
      </c>
      <c r="G7" s="3">
        <v>101</v>
      </c>
      <c r="H7" s="3" t="s">
        <v>55</v>
      </c>
      <c r="I7" s="7">
        <v>45663</v>
      </c>
      <c r="J7" s="48"/>
      <c r="K7" s="48"/>
      <c r="L7" s="48" t="s">
        <v>2759</v>
      </c>
      <c r="M7" s="48"/>
      <c r="N7" s="50">
        <v>45838</v>
      </c>
      <c r="O7" s="50">
        <v>45839</v>
      </c>
      <c r="P7" s="50">
        <v>45839</v>
      </c>
      <c r="Q7" s="48">
        <v>2115</v>
      </c>
      <c r="R7" s="48">
        <v>1619454</v>
      </c>
      <c r="S7" s="52"/>
      <c r="T7" s="48" t="s">
        <v>2773</v>
      </c>
    </row>
    <row r="8" spans="1:20" ht="15.75" x14ac:dyDescent="0.25">
      <c r="A8" s="48">
        <v>5</v>
      </c>
      <c r="B8" s="48" t="s">
        <v>28</v>
      </c>
      <c r="C8" s="40" t="s">
        <v>1166</v>
      </c>
      <c r="D8" s="49" t="s">
        <v>1991</v>
      </c>
      <c r="E8" s="41">
        <v>29</v>
      </c>
      <c r="F8" s="41">
        <v>171</v>
      </c>
      <c r="G8" s="48">
        <v>68.5</v>
      </c>
      <c r="H8" s="3" t="s">
        <v>55</v>
      </c>
      <c r="I8" s="50">
        <v>45792</v>
      </c>
      <c r="J8" s="48"/>
      <c r="K8" s="48"/>
      <c r="L8" s="48" t="s">
        <v>52</v>
      </c>
      <c r="M8" s="48"/>
      <c r="N8" s="50">
        <v>45832</v>
      </c>
      <c r="O8" s="50">
        <v>45839</v>
      </c>
      <c r="P8" s="50">
        <v>45839</v>
      </c>
      <c r="Q8" s="48">
        <v>2092</v>
      </c>
      <c r="R8" s="48">
        <v>1416978</v>
      </c>
      <c r="S8" s="52"/>
      <c r="T8" s="48" t="s">
        <v>2773</v>
      </c>
    </row>
    <row r="9" spans="1:20" ht="15.75" x14ac:dyDescent="0.25">
      <c r="A9" s="48">
        <v>6</v>
      </c>
      <c r="B9" s="48" t="s">
        <v>28</v>
      </c>
      <c r="C9" s="40" t="s">
        <v>2443</v>
      </c>
      <c r="D9" s="49" t="s">
        <v>2444</v>
      </c>
      <c r="E9" s="41">
        <v>36</v>
      </c>
      <c r="F9" s="41">
        <v>101</v>
      </c>
      <c r="G9" s="48">
        <v>236</v>
      </c>
      <c r="H9" s="3" t="s">
        <v>2761</v>
      </c>
      <c r="I9" s="50">
        <v>45818</v>
      </c>
      <c r="J9" s="48"/>
      <c r="K9" s="48"/>
      <c r="L9" s="48" t="s">
        <v>62</v>
      </c>
      <c r="M9" s="48" t="s">
        <v>133</v>
      </c>
      <c r="N9" s="50">
        <v>45838</v>
      </c>
      <c r="O9" s="50">
        <v>45839</v>
      </c>
      <c r="P9" s="50">
        <v>45839</v>
      </c>
      <c r="Q9" s="48">
        <v>2111</v>
      </c>
      <c r="R9" s="48">
        <v>809727</v>
      </c>
      <c r="S9" s="52"/>
      <c r="T9" s="48" t="s">
        <v>2773</v>
      </c>
    </row>
    <row r="10" spans="1:20" ht="15.75" x14ac:dyDescent="0.25">
      <c r="A10" s="48">
        <v>7</v>
      </c>
      <c r="B10" s="48" t="s">
        <v>26</v>
      </c>
      <c r="C10" s="40" t="s">
        <v>1341</v>
      </c>
      <c r="D10" s="49" t="s">
        <v>1342</v>
      </c>
      <c r="E10" s="41">
        <v>30</v>
      </c>
      <c r="F10" s="41">
        <v>42</v>
      </c>
      <c r="G10" s="48">
        <v>129.19999999999999</v>
      </c>
      <c r="H10" s="3" t="s">
        <v>2761</v>
      </c>
      <c r="I10" s="50">
        <v>45744</v>
      </c>
      <c r="J10" s="48"/>
      <c r="K10" s="48"/>
      <c r="L10" s="48" t="s">
        <v>52</v>
      </c>
      <c r="M10" s="48" t="s">
        <v>2762</v>
      </c>
      <c r="N10" s="50">
        <v>45797</v>
      </c>
      <c r="O10" s="50">
        <v>45839</v>
      </c>
      <c r="P10" s="50">
        <v>45839</v>
      </c>
      <c r="Q10" s="48">
        <v>2110</v>
      </c>
      <c r="R10" s="48">
        <v>2833958</v>
      </c>
      <c r="S10" s="52"/>
      <c r="T10" s="48" t="s">
        <v>2773</v>
      </c>
    </row>
    <row r="11" spans="1:20" ht="31.5" x14ac:dyDescent="0.25">
      <c r="A11" s="48">
        <v>8</v>
      </c>
      <c r="B11" s="48" t="s">
        <v>26</v>
      </c>
      <c r="C11" s="40" t="s">
        <v>1071</v>
      </c>
      <c r="D11" s="49">
        <v>949685773</v>
      </c>
      <c r="E11" s="41">
        <v>35</v>
      </c>
      <c r="F11" s="41" t="s">
        <v>2763</v>
      </c>
      <c r="G11" s="48" t="s">
        <v>2764</v>
      </c>
      <c r="H11" s="42" t="s">
        <v>903</v>
      </c>
      <c r="I11" s="50">
        <v>45733</v>
      </c>
      <c r="J11" s="48"/>
      <c r="K11" s="48"/>
      <c r="L11" s="48" t="s">
        <v>687</v>
      </c>
      <c r="M11" s="48" t="s">
        <v>2762</v>
      </c>
      <c r="N11" s="50">
        <v>45834</v>
      </c>
      <c r="O11" s="50">
        <v>45839</v>
      </c>
      <c r="P11" s="50">
        <v>45839</v>
      </c>
      <c r="Q11" s="48">
        <v>2104</v>
      </c>
      <c r="R11" s="48">
        <v>2523401</v>
      </c>
      <c r="S11" s="52"/>
      <c r="T11" s="48" t="s">
        <v>2773</v>
      </c>
    </row>
    <row r="12" spans="1:20" ht="15.75" x14ac:dyDescent="0.25">
      <c r="A12" s="48">
        <v>9</v>
      </c>
      <c r="B12" s="48" t="s">
        <v>2751</v>
      </c>
      <c r="C12" s="40" t="s">
        <v>2399</v>
      </c>
      <c r="D12" s="49">
        <v>939370210</v>
      </c>
      <c r="E12" s="41">
        <v>32</v>
      </c>
      <c r="F12" s="41">
        <v>260</v>
      </c>
      <c r="G12" s="48">
        <v>143.80000000000001</v>
      </c>
      <c r="H12" s="42" t="s">
        <v>2429</v>
      </c>
      <c r="I12" s="50">
        <v>45820</v>
      </c>
      <c r="J12" s="48"/>
      <c r="K12" s="48"/>
      <c r="L12" s="48" t="s">
        <v>153</v>
      </c>
      <c r="M12" s="48" t="s">
        <v>2754</v>
      </c>
      <c r="N12" s="50">
        <v>45835</v>
      </c>
      <c r="O12" s="50">
        <v>45839</v>
      </c>
      <c r="P12" s="50" t="s">
        <v>2787</v>
      </c>
      <c r="Q12" s="48" t="s">
        <v>2788</v>
      </c>
      <c r="R12" s="48">
        <v>1619454</v>
      </c>
      <c r="S12" s="52"/>
      <c r="T12" s="48" t="s">
        <v>2773</v>
      </c>
    </row>
    <row r="13" spans="1:20" ht="15.75" x14ac:dyDescent="0.25">
      <c r="A13" s="48">
        <v>10</v>
      </c>
      <c r="B13" s="48" t="s">
        <v>2751</v>
      </c>
      <c r="C13" s="40" t="s">
        <v>2452</v>
      </c>
      <c r="D13" s="49">
        <v>909645533</v>
      </c>
      <c r="E13" s="41">
        <v>18</v>
      </c>
      <c r="F13" s="41">
        <v>475</v>
      </c>
      <c r="G13" s="48">
        <v>164.5</v>
      </c>
      <c r="H13" s="42" t="s">
        <v>586</v>
      </c>
      <c r="I13" s="50">
        <v>45819</v>
      </c>
      <c r="J13" s="48"/>
      <c r="K13" s="48"/>
      <c r="L13" s="48" t="s">
        <v>62</v>
      </c>
      <c r="M13" s="48" t="s">
        <v>2754</v>
      </c>
      <c r="N13" s="50">
        <v>45835</v>
      </c>
      <c r="O13" s="50">
        <v>45839</v>
      </c>
      <c r="P13" s="50">
        <v>45839</v>
      </c>
      <c r="Q13" s="48">
        <v>2102</v>
      </c>
      <c r="R13" s="48">
        <v>809727</v>
      </c>
      <c r="S13" s="52"/>
      <c r="T13" s="48" t="s">
        <v>2773</v>
      </c>
    </row>
    <row r="14" spans="1:20" ht="15.75" x14ac:dyDescent="0.25">
      <c r="A14" s="48">
        <v>11</v>
      </c>
      <c r="B14" s="48" t="s">
        <v>27</v>
      </c>
      <c r="C14" s="40" t="s">
        <v>2192</v>
      </c>
      <c r="D14" s="49">
        <v>906818891</v>
      </c>
      <c r="E14" s="41">
        <v>8</v>
      </c>
      <c r="F14" s="48" t="s">
        <v>2307</v>
      </c>
      <c r="G14" s="48" t="s">
        <v>2765</v>
      </c>
      <c r="H14" s="42" t="s">
        <v>2766</v>
      </c>
      <c r="I14" s="50">
        <v>45807</v>
      </c>
      <c r="J14" s="48"/>
      <c r="K14" s="48"/>
      <c r="L14" s="48" t="s">
        <v>1</v>
      </c>
      <c r="M14" s="48" t="s">
        <v>180</v>
      </c>
      <c r="N14" s="50">
        <v>45807</v>
      </c>
      <c r="O14" s="50">
        <v>45839</v>
      </c>
      <c r="P14" s="50">
        <v>45839</v>
      </c>
      <c r="Q14" s="48">
        <v>2101</v>
      </c>
      <c r="R14" s="48">
        <v>1619454</v>
      </c>
      <c r="S14" s="52"/>
      <c r="T14" s="48" t="s">
        <v>2773</v>
      </c>
    </row>
    <row r="15" spans="1:20" ht="15.75" x14ac:dyDescent="0.25">
      <c r="A15" s="48">
        <v>12</v>
      </c>
      <c r="B15" s="48" t="s">
        <v>27</v>
      </c>
      <c r="C15" s="40" t="s">
        <v>1977</v>
      </c>
      <c r="D15" s="49">
        <v>919373681</v>
      </c>
      <c r="E15" s="41">
        <v>13</v>
      </c>
      <c r="F15" s="41">
        <v>13</v>
      </c>
      <c r="G15" s="48">
        <v>69.599999999999994</v>
      </c>
      <c r="H15" s="42" t="s">
        <v>2767</v>
      </c>
      <c r="I15" s="50">
        <v>45791</v>
      </c>
      <c r="J15" s="48"/>
      <c r="K15" s="48"/>
      <c r="L15" s="48" t="s">
        <v>1</v>
      </c>
      <c r="M15" s="48" t="s">
        <v>180</v>
      </c>
      <c r="N15" s="50">
        <v>45791</v>
      </c>
      <c r="O15" s="50">
        <v>45839</v>
      </c>
      <c r="P15" s="50">
        <v>45839</v>
      </c>
      <c r="Q15" s="48">
        <v>2100</v>
      </c>
      <c r="R15" s="48">
        <v>809727</v>
      </c>
      <c r="S15" s="52"/>
      <c r="T15" s="48" t="s">
        <v>2773</v>
      </c>
    </row>
    <row r="16" spans="1:20" ht="15.75" x14ac:dyDescent="0.25">
      <c r="A16" s="48">
        <v>13</v>
      </c>
      <c r="B16" s="48" t="s">
        <v>2751</v>
      </c>
      <c r="C16" s="40" t="s">
        <v>2643</v>
      </c>
      <c r="D16" s="49" t="s">
        <v>2644</v>
      </c>
      <c r="E16" s="41">
        <v>32</v>
      </c>
      <c r="F16" s="41">
        <v>82</v>
      </c>
      <c r="G16" s="48">
        <v>1998.8</v>
      </c>
      <c r="H16" s="3" t="s">
        <v>2761</v>
      </c>
      <c r="I16" s="50">
        <v>45828</v>
      </c>
      <c r="J16" s="48"/>
      <c r="K16" s="48"/>
      <c r="L16" s="48" t="s">
        <v>153</v>
      </c>
      <c r="M16" s="48" t="s">
        <v>2754</v>
      </c>
      <c r="N16" s="50">
        <v>45835</v>
      </c>
      <c r="O16" s="50">
        <v>45839</v>
      </c>
      <c r="P16" s="50">
        <v>45839</v>
      </c>
      <c r="Q16" s="48">
        <v>2097</v>
      </c>
      <c r="R16" s="48">
        <v>1019155</v>
      </c>
      <c r="S16" s="52"/>
      <c r="T16" s="48" t="s">
        <v>2773</v>
      </c>
    </row>
    <row r="17" spans="1:20" ht="15.75" x14ac:dyDescent="0.25">
      <c r="A17" s="48">
        <v>14</v>
      </c>
      <c r="B17" s="48" t="s">
        <v>28</v>
      </c>
      <c r="C17" s="5" t="s">
        <v>1265</v>
      </c>
      <c r="D17" s="4" t="s">
        <v>1264</v>
      </c>
      <c r="E17" s="6">
        <v>4</v>
      </c>
      <c r="F17" s="6">
        <v>400</v>
      </c>
      <c r="G17" s="6">
        <v>1155.0999999999999</v>
      </c>
      <c r="H17" s="6" t="s">
        <v>51</v>
      </c>
      <c r="I17" s="7">
        <v>45723</v>
      </c>
      <c r="J17" s="48"/>
      <c r="K17" s="48"/>
      <c r="L17" s="48" t="s">
        <v>62</v>
      </c>
      <c r="M17" s="48" t="s">
        <v>133</v>
      </c>
      <c r="N17" s="48" t="s">
        <v>2768</v>
      </c>
      <c r="O17" s="50">
        <v>45841</v>
      </c>
      <c r="P17" s="50">
        <v>45841</v>
      </c>
      <c r="Q17" s="48">
        <v>2178</v>
      </c>
      <c r="R17" s="48">
        <v>809727</v>
      </c>
      <c r="S17" s="52"/>
      <c r="T17" s="48"/>
    </row>
    <row r="18" spans="1:20" ht="15.75" x14ac:dyDescent="0.25">
      <c r="A18" s="48">
        <v>15</v>
      </c>
      <c r="B18" s="48" t="s">
        <v>28</v>
      </c>
      <c r="C18" s="5" t="s">
        <v>868</v>
      </c>
      <c r="D18" s="4" t="s">
        <v>2229</v>
      </c>
      <c r="E18" s="6">
        <v>16</v>
      </c>
      <c r="F18" s="6">
        <v>93</v>
      </c>
      <c r="G18" s="6">
        <v>794.3</v>
      </c>
      <c r="H18" s="6" t="s">
        <v>51</v>
      </c>
      <c r="I18" s="7">
        <v>45803</v>
      </c>
      <c r="J18" s="48"/>
      <c r="K18" s="48"/>
      <c r="L18" s="48" t="s">
        <v>62</v>
      </c>
      <c r="M18" s="48" t="s">
        <v>133</v>
      </c>
      <c r="N18" s="48" t="s">
        <v>2768</v>
      </c>
      <c r="O18" s="50">
        <v>45840</v>
      </c>
      <c r="P18" s="50">
        <v>45840</v>
      </c>
      <c r="Q18" s="48">
        <v>2141</v>
      </c>
      <c r="R18" s="48">
        <v>961551</v>
      </c>
      <c r="S18" s="52"/>
      <c r="T18" s="48"/>
    </row>
    <row r="19" spans="1:20" ht="15.75" x14ac:dyDescent="0.25">
      <c r="A19" s="48">
        <v>16</v>
      </c>
      <c r="B19" s="48" t="s">
        <v>26</v>
      </c>
      <c r="C19" s="5" t="s">
        <v>1151</v>
      </c>
      <c r="D19" s="4" t="s">
        <v>1152</v>
      </c>
      <c r="E19" s="6">
        <v>32</v>
      </c>
      <c r="F19" s="6">
        <v>1060</v>
      </c>
      <c r="G19" s="3">
        <v>663.3</v>
      </c>
      <c r="H19" s="3" t="s">
        <v>51</v>
      </c>
      <c r="I19" s="7">
        <v>45736</v>
      </c>
      <c r="J19" s="48"/>
      <c r="K19" s="48"/>
      <c r="L19" s="48" t="s">
        <v>62</v>
      </c>
      <c r="M19" s="48" t="s">
        <v>133</v>
      </c>
      <c r="N19" s="48" t="s">
        <v>2768</v>
      </c>
      <c r="O19" s="50">
        <v>45840</v>
      </c>
      <c r="P19" s="50">
        <v>45840</v>
      </c>
      <c r="Q19" s="48">
        <v>2131</v>
      </c>
      <c r="R19" s="48">
        <v>961551</v>
      </c>
      <c r="S19" s="52"/>
      <c r="T19" s="48"/>
    </row>
    <row r="20" spans="1:20" ht="15.75" x14ac:dyDescent="0.25">
      <c r="A20" s="48">
        <v>17</v>
      </c>
      <c r="B20" s="48" t="s">
        <v>2750</v>
      </c>
      <c r="C20" s="5" t="s">
        <v>2665</v>
      </c>
      <c r="D20" s="4" t="s">
        <v>2666</v>
      </c>
      <c r="E20" s="6">
        <v>17</v>
      </c>
      <c r="F20" s="6">
        <v>169</v>
      </c>
      <c r="G20" s="6">
        <v>1194.0999999999999</v>
      </c>
      <c r="H20" s="6" t="s">
        <v>55</v>
      </c>
      <c r="I20" s="7">
        <v>45832</v>
      </c>
      <c r="J20" s="48"/>
      <c r="K20" s="48"/>
      <c r="L20" s="48" t="s">
        <v>153</v>
      </c>
      <c r="M20" s="48" t="s">
        <v>101</v>
      </c>
      <c r="N20" s="48" t="s">
        <v>2768</v>
      </c>
      <c r="O20" s="50">
        <v>45840</v>
      </c>
      <c r="P20" s="50">
        <v>45840</v>
      </c>
      <c r="Q20" s="48">
        <v>2158</v>
      </c>
      <c r="R20" s="48">
        <v>2884653</v>
      </c>
      <c r="S20" s="52"/>
      <c r="T20" s="48"/>
    </row>
    <row r="21" spans="1:20" ht="15.75" x14ac:dyDescent="0.25">
      <c r="A21" s="48">
        <v>18</v>
      </c>
      <c r="B21" s="53"/>
      <c r="C21" s="5"/>
      <c r="D21" s="4"/>
      <c r="E21" s="6"/>
      <c r="F21" s="6"/>
      <c r="G21" s="3"/>
      <c r="H21" s="3"/>
      <c r="I21" s="7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</row>
    <row r="22" spans="1:20" ht="31.5" x14ac:dyDescent="0.25">
      <c r="A22" s="48">
        <v>19</v>
      </c>
      <c r="B22" s="48" t="s">
        <v>28</v>
      </c>
      <c r="C22" s="5" t="s">
        <v>2690</v>
      </c>
      <c r="D22" s="4" t="s">
        <v>2691</v>
      </c>
      <c r="E22" s="6">
        <v>17</v>
      </c>
      <c r="F22" s="6" t="s">
        <v>2692</v>
      </c>
      <c r="G22" s="6" t="s">
        <v>2693</v>
      </c>
      <c r="H22" s="6" t="s">
        <v>75</v>
      </c>
      <c r="I22" s="7">
        <v>45800</v>
      </c>
      <c r="J22" s="48"/>
      <c r="K22" s="48"/>
      <c r="L22" s="48" t="s">
        <v>52</v>
      </c>
      <c r="M22" s="48" t="s">
        <v>133</v>
      </c>
      <c r="N22" s="50">
        <v>45832</v>
      </c>
      <c r="O22" s="50">
        <v>45839</v>
      </c>
      <c r="P22" s="50">
        <v>45839</v>
      </c>
      <c r="Q22" s="48">
        <v>2096</v>
      </c>
      <c r="R22" s="48">
        <v>1682662</v>
      </c>
      <c r="S22" s="52"/>
      <c r="T22" s="48"/>
    </row>
    <row r="23" spans="1:20" ht="15.75" x14ac:dyDescent="0.25">
      <c r="A23" s="48">
        <v>20</v>
      </c>
      <c r="B23" s="48" t="s">
        <v>2751</v>
      </c>
      <c r="C23" s="5" t="s">
        <v>2534</v>
      </c>
      <c r="D23" s="4" t="s">
        <v>780</v>
      </c>
      <c r="E23" s="6">
        <v>22</v>
      </c>
      <c r="F23" s="6">
        <v>421</v>
      </c>
      <c r="G23" s="6">
        <v>561</v>
      </c>
      <c r="H23" s="6" t="s">
        <v>51</v>
      </c>
      <c r="I23" s="7">
        <v>45824</v>
      </c>
      <c r="J23" s="48"/>
      <c r="K23" s="48"/>
      <c r="L23" s="48" t="s">
        <v>62</v>
      </c>
      <c r="M23" s="48" t="s">
        <v>2754</v>
      </c>
      <c r="N23" s="50">
        <v>45835</v>
      </c>
      <c r="O23" s="50">
        <v>45839</v>
      </c>
      <c r="P23" s="50">
        <v>45839</v>
      </c>
      <c r="Q23" s="48">
        <v>2095</v>
      </c>
      <c r="R23" s="48">
        <v>961551</v>
      </c>
      <c r="S23" s="52"/>
      <c r="T23" s="48" t="s">
        <v>2773</v>
      </c>
    </row>
    <row r="24" spans="1:20" ht="31.5" x14ac:dyDescent="0.25">
      <c r="A24" s="48">
        <v>21</v>
      </c>
      <c r="B24" s="48" t="s">
        <v>2771</v>
      </c>
      <c r="C24" s="5" t="s">
        <v>2769</v>
      </c>
      <c r="D24" s="49"/>
      <c r="E24" s="6">
        <v>23</v>
      </c>
      <c r="F24" s="6" t="s">
        <v>159</v>
      </c>
      <c r="G24" s="6" t="s">
        <v>2770</v>
      </c>
      <c r="H24" s="6" t="s">
        <v>51</v>
      </c>
      <c r="I24" s="50">
        <v>46015</v>
      </c>
      <c r="J24" s="48"/>
      <c r="K24" s="48"/>
      <c r="L24" s="48" t="s">
        <v>1</v>
      </c>
      <c r="M24" s="48" t="s">
        <v>133</v>
      </c>
      <c r="N24" s="50">
        <v>45832</v>
      </c>
      <c r="O24" s="50">
        <v>45839</v>
      </c>
      <c r="P24" s="50">
        <v>45839</v>
      </c>
      <c r="Q24" s="48" t="s">
        <v>3084</v>
      </c>
      <c r="R24" s="48">
        <v>1923102</v>
      </c>
      <c r="S24" s="52"/>
      <c r="T24" s="48" t="s">
        <v>2773</v>
      </c>
    </row>
    <row r="25" spans="1:20" ht="15.75" x14ac:dyDescent="0.25">
      <c r="A25" s="48">
        <v>22</v>
      </c>
      <c r="B25" s="48" t="s">
        <v>2771</v>
      </c>
      <c r="C25" s="5" t="s">
        <v>2590</v>
      </c>
      <c r="D25" s="4"/>
      <c r="E25" s="6">
        <v>27</v>
      </c>
      <c r="F25" s="6">
        <v>47</v>
      </c>
      <c r="G25" s="6">
        <v>1039.5</v>
      </c>
      <c r="H25" s="6" t="s">
        <v>51</v>
      </c>
      <c r="I25" s="7">
        <v>45826</v>
      </c>
      <c r="J25" s="48"/>
      <c r="K25" s="48"/>
      <c r="L25" s="48" t="s">
        <v>62</v>
      </c>
      <c r="M25" s="48" t="s">
        <v>2754</v>
      </c>
      <c r="N25" s="50">
        <v>45835</v>
      </c>
      <c r="O25" s="50">
        <v>45839</v>
      </c>
      <c r="P25" s="50">
        <v>45839</v>
      </c>
      <c r="Q25" s="48">
        <v>2114</v>
      </c>
      <c r="R25" s="48">
        <v>961551</v>
      </c>
      <c r="S25" s="52"/>
      <c r="T25" s="48" t="s">
        <v>2773</v>
      </c>
    </row>
    <row r="26" spans="1:20" ht="47.25" x14ac:dyDescent="0.25">
      <c r="A26" s="48">
        <v>23</v>
      </c>
      <c r="B26" s="48" t="s">
        <v>2774</v>
      </c>
      <c r="C26" s="5" t="s">
        <v>2476</v>
      </c>
      <c r="D26" s="4" t="s">
        <v>2477</v>
      </c>
      <c r="E26" s="6">
        <v>25</v>
      </c>
      <c r="F26" s="6">
        <v>211</v>
      </c>
      <c r="G26" s="6">
        <v>572.29999999999995</v>
      </c>
      <c r="H26" s="6" t="s">
        <v>51</v>
      </c>
      <c r="I26" s="7" t="s">
        <v>2775</v>
      </c>
      <c r="J26" s="48"/>
      <c r="K26" s="48"/>
      <c r="L26" s="48" t="s">
        <v>62</v>
      </c>
      <c r="M26" s="48"/>
      <c r="N26" s="48"/>
      <c r="O26" s="48"/>
      <c r="P26" s="48"/>
      <c r="Q26" s="48"/>
      <c r="R26" s="48"/>
      <c r="S26" s="48" t="s">
        <v>2776</v>
      </c>
      <c r="T26" s="48"/>
    </row>
    <row r="27" spans="1:20" ht="15.75" x14ac:dyDescent="0.25">
      <c r="A27" s="48">
        <v>24</v>
      </c>
      <c r="B27" s="48" t="s">
        <v>28</v>
      </c>
      <c r="C27" s="5" t="s">
        <v>2698</v>
      </c>
      <c r="D27" s="4" t="s">
        <v>2697</v>
      </c>
      <c r="E27" s="6">
        <v>6</v>
      </c>
      <c r="F27" s="6">
        <v>590</v>
      </c>
      <c r="G27" s="6">
        <v>777</v>
      </c>
      <c r="H27" s="6" t="s">
        <v>110</v>
      </c>
      <c r="I27" s="7">
        <v>45833</v>
      </c>
      <c r="J27" s="48"/>
      <c r="K27" s="48"/>
      <c r="L27" s="48" t="s">
        <v>2777</v>
      </c>
      <c r="M27" s="48" t="s">
        <v>133</v>
      </c>
      <c r="N27" s="50">
        <v>45833</v>
      </c>
      <c r="O27" s="48"/>
      <c r="P27" s="48"/>
      <c r="Q27" s="48"/>
      <c r="R27" s="48"/>
      <c r="S27" s="52"/>
      <c r="T27" s="48"/>
    </row>
    <row r="28" spans="1:20" ht="15.75" x14ac:dyDescent="0.25">
      <c r="A28" s="48">
        <v>25</v>
      </c>
      <c r="B28" s="48" t="s">
        <v>2771</v>
      </c>
      <c r="C28" s="5" t="s">
        <v>1838</v>
      </c>
      <c r="D28" s="4" t="s">
        <v>1839</v>
      </c>
      <c r="E28" s="6">
        <v>20</v>
      </c>
      <c r="F28" s="6">
        <v>110</v>
      </c>
      <c r="G28" s="6">
        <v>165</v>
      </c>
      <c r="H28" s="6" t="s">
        <v>51</v>
      </c>
      <c r="I28" s="7">
        <v>45783</v>
      </c>
      <c r="J28" s="48"/>
      <c r="K28" s="48"/>
      <c r="L28" s="48" t="s">
        <v>2778</v>
      </c>
      <c r="M28" s="48" t="s">
        <v>133</v>
      </c>
      <c r="N28" s="50">
        <v>45797</v>
      </c>
      <c r="O28" s="48"/>
      <c r="P28" s="48"/>
      <c r="Q28" s="48"/>
      <c r="R28" s="48"/>
      <c r="S28" s="48"/>
      <c r="T28" s="48"/>
    </row>
    <row r="29" spans="1:20" ht="15.75" x14ac:dyDescent="0.25">
      <c r="A29" s="48">
        <v>26</v>
      </c>
      <c r="B29" s="48" t="s">
        <v>2771</v>
      </c>
      <c r="C29" s="48" t="s">
        <v>2779</v>
      </c>
      <c r="D29" s="49" t="s">
        <v>2854</v>
      </c>
      <c r="E29" s="48">
        <v>27</v>
      </c>
      <c r="F29" s="48">
        <v>8</v>
      </c>
      <c r="G29" s="48">
        <v>595.29999999999995</v>
      </c>
      <c r="H29" s="6" t="s">
        <v>51</v>
      </c>
      <c r="I29" s="50">
        <v>45839</v>
      </c>
      <c r="J29" s="48"/>
      <c r="K29" s="48" t="s">
        <v>2814</v>
      </c>
      <c r="L29" s="48" t="s">
        <v>62</v>
      </c>
      <c r="M29" s="48" t="s">
        <v>2754</v>
      </c>
      <c r="N29" s="48"/>
      <c r="O29" s="48"/>
      <c r="P29" s="48"/>
      <c r="Q29" s="48"/>
      <c r="R29" s="48"/>
      <c r="S29" s="48" t="s">
        <v>2800</v>
      </c>
      <c r="T29" s="48"/>
    </row>
    <row r="30" spans="1:20" ht="15.75" x14ac:dyDescent="0.25">
      <c r="A30" s="48">
        <v>27</v>
      </c>
      <c r="B30" s="48" t="s">
        <v>34</v>
      </c>
      <c r="C30" s="48" t="s">
        <v>2780</v>
      </c>
      <c r="D30" s="49" t="s">
        <v>666</v>
      </c>
      <c r="E30" s="48">
        <v>28</v>
      </c>
      <c r="F30" s="48">
        <v>84</v>
      </c>
      <c r="G30" s="48">
        <v>87.9</v>
      </c>
      <c r="H30" s="48" t="s">
        <v>2429</v>
      </c>
      <c r="I30" s="50">
        <v>45839</v>
      </c>
      <c r="J30" s="48"/>
      <c r="K30" s="48" t="s">
        <v>2814</v>
      </c>
      <c r="L30" s="48" t="s">
        <v>52</v>
      </c>
      <c r="M30" s="48" t="s">
        <v>2754</v>
      </c>
      <c r="N30" s="48"/>
      <c r="O30" s="48"/>
      <c r="P30" s="48"/>
      <c r="Q30" s="48"/>
      <c r="R30" s="48"/>
      <c r="S30" s="48" t="s">
        <v>2800</v>
      </c>
      <c r="T30" s="48"/>
    </row>
    <row r="31" spans="1:20" ht="15.75" x14ac:dyDescent="0.25">
      <c r="A31" s="48">
        <v>28</v>
      </c>
      <c r="B31" s="48" t="s">
        <v>27</v>
      </c>
      <c r="C31" s="48" t="s">
        <v>2781</v>
      </c>
      <c r="D31" s="49" t="s">
        <v>2855</v>
      </c>
      <c r="E31" s="48">
        <v>13</v>
      </c>
      <c r="F31" s="48">
        <v>408</v>
      </c>
      <c r="G31" s="48">
        <v>258</v>
      </c>
      <c r="H31" s="3" t="s">
        <v>2761</v>
      </c>
      <c r="I31" s="50">
        <v>45839</v>
      </c>
      <c r="J31" s="48"/>
      <c r="K31" s="48" t="s">
        <v>2814</v>
      </c>
      <c r="L31" s="48" t="s">
        <v>153</v>
      </c>
      <c r="M31" s="48" t="s">
        <v>2796</v>
      </c>
      <c r="N31" s="48"/>
      <c r="O31" s="48"/>
      <c r="P31" s="48"/>
      <c r="Q31" s="48"/>
      <c r="R31" s="48"/>
      <c r="S31" s="48" t="s">
        <v>2800</v>
      </c>
      <c r="T31" s="48"/>
    </row>
    <row r="32" spans="1:20" ht="15.75" x14ac:dyDescent="0.25">
      <c r="A32" s="48">
        <v>29</v>
      </c>
      <c r="B32" s="48" t="s">
        <v>2782</v>
      </c>
      <c r="C32" s="48" t="s">
        <v>2783</v>
      </c>
      <c r="D32" s="49" t="s">
        <v>2856</v>
      </c>
      <c r="E32" s="48">
        <v>43</v>
      </c>
      <c r="F32" s="48">
        <v>71</v>
      </c>
      <c r="G32" s="48">
        <v>290.39999999999998</v>
      </c>
      <c r="H32" s="48" t="s">
        <v>586</v>
      </c>
      <c r="I32" s="50">
        <v>45839</v>
      </c>
      <c r="J32" s="48"/>
      <c r="K32" s="48" t="s">
        <v>2814</v>
      </c>
      <c r="L32" s="48" t="s">
        <v>153</v>
      </c>
      <c r="M32" s="48" t="s">
        <v>2797</v>
      </c>
      <c r="N32" s="48"/>
      <c r="O32" s="48"/>
      <c r="P32" s="48"/>
      <c r="Q32" s="48"/>
      <c r="R32" s="48"/>
      <c r="S32" s="48" t="s">
        <v>2800</v>
      </c>
      <c r="T32" s="48"/>
    </row>
    <row r="33" spans="1:20" ht="15.75" x14ac:dyDescent="0.25">
      <c r="A33" s="48">
        <v>30</v>
      </c>
      <c r="B33" s="48" t="s">
        <v>25</v>
      </c>
      <c r="C33" s="48" t="s">
        <v>2784</v>
      </c>
      <c r="D33" s="49">
        <v>918343735</v>
      </c>
      <c r="E33" s="48">
        <v>5</v>
      </c>
      <c r="F33" s="48">
        <v>627</v>
      </c>
      <c r="G33" s="48">
        <v>355.3</v>
      </c>
      <c r="H33" s="48" t="s">
        <v>586</v>
      </c>
      <c r="I33" s="50">
        <v>45839</v>
      </c>
      <c r="J33" s="48"/>
      <c r="K33" s="48" t="s">
        <v>2814</v>
      </c>
      <c r="L33" s="48" t="s">
        <v>62</v>
      </c>
      <c r="M33" s="48" t="s">
        <v>2797</v>
      </c>
      <c r="N33" s="48"/>
      <c r="O33" s="48"/>
      <c r="P33" s="48"/>
      <c r="Q33" s="48"/>
      <c r="R33" s="48"/>
      <c r="S33" s="48" t="s">
        <v>2800</v>
      </c>
      <c r="T33" s="48"/>
    </row>
    <row r="34" spans="1:20" ht="15.75" x14ac:dyDescent="0.25">
      <c r="A34" s="48">
        <v>31</v>
      </c>
      <c r="B34" s="48" t="s">
        <v>28</v>
      </c>
      <c r="C34" s="5" t="s">
        <v>1751</v>
      </c>
      <c r="D34" s="4" t="s">
        <v>1752</v>
      </c>
      <c r="E34" s="6">
        <v>20</v>
      </c>
      <c r="F34" s="6">
        <v>702</v>
      </c>
      <c r="G34" s="6">
        <v>270.39999999999998</v>
      </c>
      <c r="H34" s="6" t="s">
        <v>55</v>
      </c>
      <c r="I34" s="7">
        <v>45772</v>
      </c>
      <c r="J34" s="48"/>
      <c r="K34" s="48"/>
      <c r="L34" s="48" t="s">
        <v>823</v>
      </c>
      <c r="M34" s="48" t="s">
        <v>133</v>
      </c>
      <c r="N34" s="50">
        <v>45838</v>
      </c>
      <c r="O34" s="50">
        <v>45839</v>
      </c>
      <c r="P34" s="50">
        <v>45839</v>
      </c>
      <c r="Q34" s="48">
        <v>2124</v>
      </c>
      <c r="R34" s="48">
        <v>961551</v>
      </c>
      <c r="S34" s="48" t="s">
        <v>823</v>
      </c>
      <c r="T34" s="48"/>
    </row>
    <row r="35" spans="1:20" ht="15.75" x14ac:dyDescent="0.25">
      <c r="A35" s="48">
        <v>32</v>
      </c>
      <c r="B35" s="18" t="s">
        <v>32</v>
      </c>
      <c r="C35" s="5" t="s">
        <v>2097</v>
      </c>
      <c r="D35" s="54">
        <v>913889103</v>
      </c>
      <c r="E35" s="6">
        <v>46</v>
      </c>
      <c r="F35" s="6">
        <v>240</v>
      </c>
      <c r="G35" s="6">
        <v>282.2</v>
      </c>
      <c r="H35" s="6" t="s">
        <v>51</v>
      </c>
      <c r="I35" s="50">
        <v>45796</v>
      </c>
      <c r="J35" s="48"/>
      <c r="K35" s="48"/>
      <c r="L35" s="48" t="s">
        <v>1</v>
      </c>
      <c r="M35" s="48" t="s">
        <v>101</v>
      </c>
      <c r="N35" s="50">
        <v>45834</v>
      </c>
      <c r="O35" s="50">
        <v>45839</v>
      </c>
      <c r="P35" s="50">
        <v>45839</v>
      </c>
      <c r="Q35" s="48">
        <v>2122</v>
      </c>
      <c r="R35" s="48">
        <v>961551</v>
      </c>
      <c r="S35" s="52"/>
      <c r="T35" s="48"/>
    </row>
    <row r="36" spans="1:20" ht="15.75" x14ac:dyDescent="0.25">
      <c r="A36" s="48">
        <v>33</v>
      </c>
      <c r="B36" s="48" t="s">
        <v>28</v>
      </c>
      <c r="C36" s="48" t="s">
        <v>2785</v>
      </c>
      <c r="D36" s="49" t="s">
        <v>2857</v>
      </c>
      <c r="E36" s="48">
        <v>35</v>
      </c>
      <c r="F36" s="48">
        <v>156</v>
      </c>
      <c r="G36" s="48">
        <v>80</v>
      </c>
      <c r="H36" s="48" t="s">
        <v>2429</v>
      </c>
      <c r="I36" s="50">
        <v>45839</v>
      </c>
      <c r="J36" s="48"/>
      <c r="K36" s="48" t="s">
        <v>2815</v>
      </c>
      <c r="L36" s="48" t="s">
        <v>52</v>
      </c>
      <c r="M36" s="48"/>
      <c r="N36" s="48"/>
      <c r="O36" s="48"/>
      <c r="P36" s="48"/>
      <c r="Q36" s="48"/>
      <c r="R36" s="48"/>
      <c r="S36" s="48"/>
      <c r="T36" s="48"/>
    </row>
    <row r="37" spans="1:20" ht="15.75" x14ac:dyDescent="0.25">
      <c r="A37" s="48">
        <v>34</v>
      </c>
      <c r="B37" s="48" t="s">
        <v>26</v>
      </c>
      <c r="C37" s="5" t="s">
        <v>2227</v>
      </c>
      <c r="D37" s="4" t="s">
        <v>2228</v>
      </c>
      <c r="E37" s="6">
        <v>41</v>
      </c>
      <c r="F37" s="6">
        <v>1143</v>
      </c>
      <c r="G37" s="3">
        <v>623</v>
      </c>
      <c r="H37" s="3" t="s">
        <v>51</v>
      </c>
      <c r="I37" s="7">
        <v>45803</v>
      </c>
      <c r="J37" s="48"/>
      <c r="K37" s="48"/>
      <c r="L37" s="48" t="s">
        <v>62</v>
      </c>
      <c r="M37" s="48" t="s">
        <v>133</v>
      </c>
      <c r="N37" s="48"/>
      <c r="O37" s="48"/>
      <c r="P37" s="48"/>
      <c r="Q37" s="48"/>
      <c r="R37" s="48"/>
      <c r="S37" s="52"/>
      <c r="T37" s="48"/>
    </row>
    <row r="38" spans="1:20" ht="15.75" x14ac:dyDescent="0.25">
      <c r="A38" s="48">
        <v>35</v>
      </c>
      <c r="B38" s="48" t="s">
        <v>32</v>
      </c>
      <c r="C38" s="5" t="s">
        <v>2663</v>
      </c>
      <c r="D38" s="4" t="s">
        <v>2664</v>
      </c>
      <c r="E38" s="6">
        <v>48</v>
      </c>
      <c r="F38" s="6">
        <v>201</v>
      </c>
      <c r="G38" s="3">
        <v>90</v>
      </c>
      <c r="H38" s="3" t="s">
        <v>55</v>
      </c>
      <c r="I38" s="7">
        <v>45832</v>
      </c>
      <c r="J38" s="48"/>
      <c r="K38" s="48"/>
      <c r="L38" s="48" t="s">
        <v>2786</v>
      </c>
      <c r="M38" s="48" t="s">
        <v>101</v>
      </c>
      <c r="N38" s="50">
        <v>45838</v>
      </c>
      <c r="O38" s="50">
        <v>45840</v>
      </c>
      <c r="P38" s="50">
        <v>45840</v>
      </c>
      <c r="Q38" s="48">
        <v>2146</v>
      </c>
      <c r="R38" s="48">
        <v>1416978</v>
      </c>
      <c r="S38" s="52"/>
      <c r="T38" s="48"/>
    </row>
    <row r="39" spans="1:20" ht="15.75" x14ac:dyDescent="0.25">
      <c r="A39" s="48">
        <v>36</v>
      </c>
      <c r="B39" s="48" t="s">
        <v>2771</v>
      </c>
      <c r="C39" s="5" t="s">
        <v>2591</v>
      </c>
      <c r="D39" s="4"/>
      <c r="E39" s="6">
        <v>14</v>
      </c>
      <c r="F39" s="6">
        <v>464</v>
      </c>
      <c r="G39" s="6">
        <v>82.9</v>
      </c>
      <c r="H39" s="6" t="s">
        <v>55</v>
      </c>
      <c r="I39" s="7">
        <v>45826</v>
      </c>
      <c r="J39" s="48"/>
      <c r="K39" s="48"/>
      <c r="L39" s="48" t="s">
        <v>52</v>
      </c>
      <c r="M39" s="48" t="s">
        <v>1276</v>
      </c>
      <c r="N39" s="50">
        <v>45838</v>
      </c>
      <c r="O39" s="50">
        <v>45840</v>
      </c>
      <c r="P39" s="50">
        <v>45840</v>
      </c>
      <c r="Q39" s="48">
        <v>2145</v>
      </c>
      <c r="R39" s="48">
        <v>1416978</v>
      </c>
      <c r="S39" s="52"/>
      <c r="T39" s="48"/>
    </row>
    <row r="40" spans="1:20" ht="15.75" x14ac:dyDescent="0.25">
      <c r="A40" s="48">
        <v>37</v>
      </c>
      <c r="B40" s="48" t="s">
        <v>34</v>
      </c>
      <c r="C40" s="48" t="s">
        <v>2595</v>
      </c>
      <c r="D40" s="49"/>
      <c r="E40" s="48">
        <v>49</v>
      </c>
      <c r="F40" s="48">
        <v>15</v>
      </c>
      <c r="G40" s="48">
        <v>52</v>
      </c>
      <c r="H40" s="48" t="s">
        <v>2429</v>
      </c>
      <c r="I40" s="7">
        <v>45826</v>
      </c>
      <c r="J40" s="48"/>
      <c r="K40" s="48"/>
      <c r="L40" s="48" t="s">
        <v>52</v>
      </c>
      <c r="M40" s="48" t="s">
        <v>1276</v>
      </c>
      <c r="N40" s="50">
        <v>45825</v>
      </c>
      <c r="O40" s="50">
        <v>45840</v>
      </c>
      <c r="P40" s="50">
        <v>45840</v>
      </c>
      <c r="Q40" s="48">
        <v>2150</v>
      </c>
      <c r="R40" s="48">
        <v>2125468</v>
      </c>
      <c r="S40" s="52"/>
      <c r="T40" s="48"/>
    </row>
    <row r="41" spans="1:20" ht="15.75" x14ac:dyDescent="0.25">
      <c r="A41" s="48">
        <v>38</v>
      </c>
      <c r="B41" s="48" t="s">
        <v>32</v>
      </c>
      <c r="C41" s="48" t="s">
        <v>2789</v>
      </c>
      <c r="D41" s="49" t="s">
        <v>2858</v>
      </c>
      <c r="E41" s="48">
        <v>43</v>
      </c>
      <c r="F41" s="48">
        <v>473</v>
      </c>
      <c r="G41" s="48">
        <v>335.8</v>
      </c>
      <c r="H41" s="48" t="s">
        <v>586</v>
      </c>
      <c r="I41" s="50">
        <v>45840</v>
      </c>
      <c r="J41" s="48"/>
      <c r="K41" s="48" t="s">
        <v>2814</v>
      </c>
      <c r="L41" s="48" t="s">
        <v>62</v>
      </c>
      <c r="M41" s="48" t="s">
        <v>2754</v>
      </c>
      <c r="N41" s="48"/>
      <c r="O41" s="48"/>
      <c r="P41" s="48"/>
      <c r="Q41" s="48"/>
      <c r="R41" s="48"/>
      <c r="S41" s="48" t="s">
        <v>2800</v>
      </c>
      <c r="T41" s="48"/>
    </row>
    <row r="42" spans="1:20" ht="15.75" x14ac:dyDescent="0.25">
      <c r="A42" s="48">
        <v>39</v>
      </c>
      <c r="B42" s="48" t="s">
        <v>2751</v>
      </c>
      <c r="C42" s="48" t="s">
        <v>2790</v>
      </c>
      <c r="D42" s="49" t="s">
        <v>2859</v>
      </c>
      <c r="E42" s="48">
        <v>29</v>
      </c>
      <c r="F42" s="48">
        <v>222</v>
      </c>
      <c r="G42" s="48">
        <v>413.7</v>
      </c>
      <c r="H42" s="48" t="s">
        <v>586</v>
      </c>
      <c r="I42" s="50">
        <v>45840</v>
      </c>
      <c r="J42" s="48"/>
      <c r="K42" s="48" t="s">
        <v>2814</v>
      </c>
      <c r="L42" s="48" t="s">
        <v>62</v>
      </c>
      <c r="M42" s="48" t="s">
        <v>2791</v>
      </c>
      <c r="N42" s="48"/>
      <c r="O42" s="48"/>
      <c r="P42" s="48"/>
      <c r="Q42" s="48"/>
      <c r="R42" s="48"/>
      <c r="S42" s="48" t="s">
        <v>2800</v>
      </c>
      <c r="T42" s="48"/>
    </row>
    <row r="43" spans="1:20" ht="15.75" x14ac:dyDescent="0.25">
      <c r="A43" s="48">
        <v>40</v>
      </c>
      <c r="B43" s="48" t="s">
        <v>2792</v>
      </c>
      <c r="C43" s="48" t="s">
        <v>2793</v>
      </c>
      <c r="D43" s="49" t="s">
        <v>2860</v>
      </c>
      <c r="E43" s="48">
        <v>6</v>
      </c>
      <c r="F43" s="48">
        <v>31</v>
      </c>
      <c r="G43" s="48">
        <v>944</v>
      </c>
      <c r="H43" s="48" t="s">
        <v>586</v>
      </c>
      <c r="I43" s="50">
        <v>45840</v>
      </c>
      <c r="J43" s="48"/>
      <c r="K43" s="48" t="s">
        <v>2814</v>
      </c>
      <c r="L43" s="48" t="s">
        <v>153</v>
      </c>
      <c r="M43" s="48" t="s">
        <v>2754</v>
      </c>
      <c r="N43" s="48"/>
      <c r="O43" s="48"/>
      <c r="P43" s="48"/>
      <c r="Q43" s="48"/>
      <c r="R43" s="48"/>
      <c r="S43" s="48" t="s">
        <v>2800</v>
      </c>
      <c r="T43" s="48"/>
    </row>
    <row r="44" spans="1:20" ht="15.75" x14ac:dyDescent="0.25">
      <c r="A44" s="48">
        <v>41</v>
      </c>
      <c r="B44" s="48" t="s">
        <v>2794</v>
      </c>
      <c r="C44" s="48" t="s">
        <v>2795</v>
      </c>
      <c r="D44" s="49" t="s">
        <v>2861</v>
      </c>
      <c r="E44" s="48">
        <v>1</v>
      </c>
      <c r="F44" s="48">
        <v>29</v>
      </c>
      <c r="G44" s="48">
        <v>4514</v>
      </c>
      <c r="H44" s="48" t="s">
        <v>586</v>
      </c>
      <c r="I44" s="50">
        <v>45840</v>
      </c>
      <c r="J44" s="48"/>
      <c r="K44" s="48" t="s">
        <v>2814</v>
      </c>
      <c r="L44" s="48" t="s">
        <v>153</v>
      </c>
      <c r="M44" s="48" t="s">
        <v>2796</v>
      </c>
      <c r="N44" s="48"/>
      <c r="O44" s="48"/>
      <c r="P44" s="48"/>
      <c r="Q44" s="48"/>
      <c r="R44" s="48"/>
      <c r="S44" s="48" t="s">
        <v>2800</v>
      </c>
      <c r="T44" s="48"/>
    </row>
    <row r="45" spans="1:20" ht="31.5" x14ac:dyDescent="0.25">
      <c r="A45" s="48">
        <v>42</v>
      </c>
      <c r="B45" s="48" t="s">
        <v>2792</v>
      </c>
      <c r="C45" s="5" t="s">
        <v>2235</v>
      </c>
      <c r="D45" s="4" t="s">
        <v>2236</v>
      </c>
      <c r="E45" s="6">
        <v>13</v>
      </c>
      <c r="F45" s="6" t="s">
        <v>2237</v>
      </c>
      <c r="G45" s="6" t="s">
        <v>2238</v>
      </c>
      <c r="H45" s="6" t="s">
        <v>55</v>
      </c>
      <c r="I45" s="7">
        <v>45803</v>
      </c>
      <c r="J45" s="48"/>
      <c r="K45" s="48"/>
      <c r="L45" s="48" t="s">
        <v>52</v>
      </c>
      <c r="M45" s="48" t="s">
        <v>101</v>
      </c>
      <c r="N45" s="50">
        <v>45834</v>
      </c>
      <c r="O45" s="50">
        <v>45840</v>
      </c>
      <c r="P45" s="50">
        <v>45840</v>
      </c>
      <c r="Q45" s="48">
        <v>2154</v>
      </c>
      <c r="R45" s="48">
        <v>2125468</v>
      </c>
      <c r="S45" s="52"/>
      <c r="T45" s="48"/>
    </row>
    <row r="46" spans="1:20" ht="15.75" x14ac:dyDescent="0.25">
      <c r="A46" s="48">
        <v>43</v>
      </c>
      <c r="B46" s="48" t="s">
        <v>2782</v>
      </c>
      <c r="C46" s="48" t="s">
        <v>1000</v>
      </c>
      <c r="D46" s="49">
        <v>944996693</v>
      </c>
      <c r="E46" s="48">
        <v>5</v>
      </c>
      <c r="F46" s="48">
        <v>625</v>
      </c>
      <c r="G46" s="48">
        <v>695.7</v>
      </c>
      <c r="H46" s="3" t="s">
        <v>2761</v>
      </c>
      <c r="I46" s="50">
        <v>45840</v>
      </c>
      <c r="J46" s="48"/>
      <c r="K46" s="48" t="s">
        <v>2814</v>
      </c>
      <c r="L46" s="48" t="s">
        <v>62</v>
      </c>
      <c r="M46" s="48" t="s">
        <v>2797</v>
      </c>
      <c r="N46" s="48"/>
      <c r="O46" s="48"/>
      <c r="P46" s="48"/>
      <c r="Q46" s="48"/>
      <c r="R46" s="48"/>
      <c r="S46" s="48" t="s">
        <v>2800</v>
      </c>
      <c r="T46" s="48"/>
    </row>
    <row r="47" spans="1:20" ht="15.75" x14ac:dyDescent="0.25">
      <c r="A47" s="48">
        <v>44</v>
      </c>
      <c r="B47" s="48" t="s">
        <v>2798</v>
      </c>
      <c r="C47" s="48" t="s">
        <v>2799</v>
      </c>
      <c r="D47" s="49" t="s">
        <v>2862</v>
      </c>
      <c r="E47" s="48">
        <v>21</v>
      </c>
      <c r="F47" s="48">
        <v>329</v>
      </c>
      <c r="G47" s="48">
        <v>1135.4000000000001</v>
      </c>
      <c r="H47" s="48" t="s">
        <v>586</v>
      </c>
      <c r="I47" s="50">
        <v>45840</v>
      </c>
      <c r="J47" s="48" t="s">
        <v>3283</v>
      </c>
      <c r="K47" s="48" t="s">
        <v>2814</v>
      </c>
      <c r="L47" s="48" t="s">
        <v>153</v>
      </c>
      <c r="M47" s="48" t="s">
        <v>2791</v>
      </c>
      <c r="N47" s="48"/>
      <c r="O47" s="48"/>
      <c r="P47" s="48"/>
      <c r="Q47" s="48"/>
      <c r="R47" s="48"/>
      <c r="S47" s="48" t="s">
        <v>2800</v>
      </c>
      <c r="T47" s="48"/>
    </row>
    <row r="48" spans="1:20" ht="15.75" x14ac:dyDescent="0.25">
      <c r="A48" s="48">
        <v>45</v>
      </c>
      <c r="B48" s="48" t="s">
        <v>2794</v>
      </c>
      <c r="C48" s="48" t="s">
        <v>2811</v>
      </c>
      <c r="D48" s="49" t="s">
        <v>2863</v>
      </c>
      <c r="E48" s="48">
        <v>16</v>
      </c>
      <c r="F48" s="53">
        <v>301</v>
      </c>
      <c r="G48" s="48">
        <v>2511.1999999999998</v>
      </c>
      <c r="H48" s="3" t="s">
        <v>2761</v>
      </c>
      <c r="I48" s="50">
        <v>45840</v>
      </c>
      <c r="J48" s="48"/>
      <c r="K48" s="48" t="s">
        <v>2814</v>
      </c>
      <c r="L48" s="48" t="s">
        <v>153</v>
      </c>
      <c r="M48" s="48" t="s">
        <v>2796</v>
      </c>
      <c r="N48" s="48"/>
      <c r="O48" s="48"/>
      <c r="P48" s="48"/>
      <c r="Q48" s="48"/>
      <c r="R48" s="48"/>
      <c r="S48" s="48" t="s">
        <v>2800</v>
      </c>
      <c r="T48" s="48"/>
    </row>
    <row r="49" spans="1:20" ht="15.75" x14ac:dyDescent="0.25">
      <c r="A49" s="48">
        <v>46</v>
      </c>
      <c r="B49" s="48" t="s">
        <v>2792</v>
      </c>
      <c r="C49" s="48" t="s">
        <v>2812</v>
      </c>
      <c r="D49" s="49" t="s">
        <v>2864</v>
      </c>
      <c r="E49" s="48">
        <v>49</v>
      </c>
      <c r="F49" s="48">
        <v>101</v>
      </c>
      <c r="G49" s="48">
        <v>501.5</v>
      </c>
      <c r="H49" s="48" t="s">
        <v>586</v>
      </c>
      <c r="I49" s="50">
        <v>45840</v>
      </c>
      <c r="J49" s="48"/>
      <c r="K49" s="48" t="s">
        <v>2814</v>
      </c>
      <c r="L49" s="48" t="s">
        <v>62</v>
      </c>
      <c r="M49" s="48" t="s">
        <v>2754</v>
      </c>
      <c r="N49" s="48"/>
      <c r="O49" s="48"/>
      <c r="P49" s="48"/>
      <c r="Q49" s="48"/>
      <c r="R49" s="48"/>
      <c r="S49" s="48" t="s">
        <v>2800</v>
      </c>
      <c r="T49" s="48"/>
    </row>
    <row r="50" spans="1:20" ht="15.75" x14ac:dyDescent="0.25">
      <c r="A50" s="48">
        <v>47</v>
      </c>
      <c r="B50" s="48" t="s">
        <v>2782</v>
      </c>
      <c r="C50" s="48" t="s">
        <v>2817</v>
      </c>
      <c r="D50" s="49" t="s">
        <v>2865</v>
      </c>
      <c r="E50" s="48">
        <v>6</v>
      </c>
      <c r="F50" s="48">
        <v>1074</v>
      </c>
      <c r="G50" s="48">
        <v>342.8</v>
      </c>
      <c r="H50" s="48" t="s">
        <v>586</v>
      </c>
      <c r="I50" s="50">
        <v>45840</v>
      </c>
      <c r="J50" s="48"/>
      <c r="K50" s="48" t="s">
        <v>2773</v>
      </c>
      <c r="L50" s="48" t="s">
        <v>62</v>
      </c>
      <c r="M50" s="48" t="s">
        <v>2797</v>
      </c>
      <c r="N50" s="48"/>
      <c r="O50" s="48"/>
      <c r="P50" s="48"/>
      <c r="Q50" s="48"/>
      <c r="R50" s="48"/>
      <c r="S50" s="48" t="s">
        <v>2800</v>
      </c>
      <c r="T50" s="48"/>
    </row>
    <row r="51" spans="1:20" ht="15.75" x14ac:dyDescent="0.25">
      <c r="A51" s="48">
        <v>48</v>
      </c>
      <c r="B51" s="48" t="s">
        <v>2782</v>
      </c>
      <c r="C51" s="48" t="s">
        <v>2818</v>
      </c>
      <c r="D51" s="49" t="s">
        <v>2866</v>
      </c>
      <c r="E51" s="48">
        <v>3</v>
      </c>
      <c r="F51" s="48">
        <v>233</v>
      </c>
      <c r="G51" s="48">
        <v>923.2</v>
      </c>
      <c r="H51" s="3" t="s">
        <v>2761</v>
      </c>
      <c r="I51" s="50">
        <v>45840</v>
      </c>
      <c r="J51" s="48"/>
      <c r="K51" s="48" t="s">
        <v>2773</v>
      </c>
      <c r="L51" s="48" t="s">
        <v>153</v>
      </c>
      <c r="M51" s="48" t="s">
        <v>2797</v>
      </c>
      <c r="N51" s="48"/>
      <c r="O51" s="48"/>
      <c r="P51" s="48"/>
      <c r="Q51" s="48"/>
      <c r="R51" s="48"/>
      <c r="S51" s="48" t="s">
        <v>2800</v>
      </c>
      <c r="T51" s="48"/>
    </row>
    <row r="52" spans="1:20" ht="15.75" x14ac:dyDescent="0.25">
      <c r="A52" s="48">
        <v>49</v>
      </c>
      <c r="B52" s="5" t="s">
        <v>2750</v>
      </c>
      <c r="C52" s="5" t="s">
        <v>916</v>
      </c>
      <c r="D52" s="4" t="s">
        <v>54</v>
      </c>
      <c r="E52" s="6">
        <v>9</v>
      </c>
      <c r="F52" s="6">
        <v>6</v>
      </c>
      <c r="G52" s="6"/>
      <c r="H52" s="6"/>
      <c r="I52" s="7">
        <v>45719</v>
      </c>
      <c r="J52" s="48"/>
      <c r="K52" s="48" t="s">
        <v>1319</v>
      </c>
      <c r="L52" s="48" t="s">
        <v>315</v>
      </c>
      <c r="M52" s="48" t="s">
        <v>101</v>
      </c>
      <c r="N52" s="50">
        <v>45838</v>
      </c>
      <c r="O52" s="48"/>
      <c r="P52" s="48"/>
      <c r="Q52" s="48"/>
      <c r="R52" s="48"/>
      <c r="S52" s="52"/>
      <c r="T52" s="48"/>
    </row>
    <row r="53" spans="1:20" ht="31.5" x14ac:dyDescent="0.25">
      <c r="A53" s="48">
        <v>50</v>
      </c>
      <c r="B53" s="48" t="s">
        <v>32</v>
      </c>
      <c r="C53" s="5" t="s">
        <v>918</v>
      </c>
      <c r="D53" s="4" t="s">
        <v>315</v>
      </c>
      <c r="E53" s="6">
        <v>49</v>
      </c>
      <c r="F53" s="6" t="s">
        <v>919</v>
      </c>
      <c r="G53" s="3">
        <v>1318.8</v>
      </c>
      <c r="H53" s="3" t="s">
        <v>51</v>
      </c>
      <c r="I53" s="7">
        <v>45721</v>
      </c>
      <c r="J53" s="48"/>
      <c r="K53" s="48"/>
      <c r="L53" s="48" t="s">
        <v>315</v>
      </c>
      <c r="M53" s="48" t="s">
        <v>101</v>
      </c>
      <c r="N53" s="50">
        <v>45838</v>
      </c>
      <c r="O53" s="48"/>
      <c r="P53" s="48"/>
      <c r="Q53" s="48"/>
      <c r="R53" s="48"/>
      <c r="S53" s="52"/>
      <c r="T53" s="48"/>
    </row>
    <row r="54" spans="1:20" ht="31.5" x14ac:dyDescent="0.25">
      <c r="A54" s="48">
        <v>51</v>
      </c>
      <c r="B54" s="48" t="s">
        <v>2774</v>
      </c>
      <c r="C54" s="5" t="s">
        <v>1101</v>
      </c>
      <c r="D54" s="4" t="s">
        <v>54</v>
      </c>
      <c r="E54" s="6">
        <v>29</v>
      </c>
      <c r="F54" s="6" t="s">
        <v>1102</v>
      </c>
      <c r="G54" s="6" t="s">
        <v>1103</v>
      </c>
      <c r="H54" s="6" t="s">
        <v>75</v>
      </c>
      <c r="I54" s="7">
        <v>45735</v>
      </c>
      <c r="J54" s="48"/>
      <c r="K54" s="48"/>
      <c r="L54" s="48" t="s">
        <v>315</v>
      </c>
      <c r="M54" s="48" t="s">
        <v>180</v>
      </c>
      <c r="N54" s="50">
        <v>45838</v>
      </c>
      <c r="O54" s="50">
        <v>45854</v>
      </c>
      <c r="P54" s="48"/>
      <c r="Q54" s="48">
        <v>2396</v>
      </c>
      <c r="R54" s="48"/>
      <c r="S54" s="52"/>
      <c r="T54" s="48"/>
    </row>
    <row r="55" spans="1:20" ht="15.75" x14ac:dyDescent="0.25">
      <c r="A55" s="48">
        <v>52</v>
      </c>
      <c r="B55" s="48" t="s">
        <v>2774</v>
      </c>
      <c r="C55" s="5" t="s">
        <v>2157</v>
      </c>
      <c r="D55" s="4" t="s">
        <v>2158</v>
      </c>
      <c r="E55" s="6">
        <v>24</v>
      </c>
      <c r="F55" s="6">
        <v>59</v>
      </c>
      <c r="G55" s="6">
        <v>2585.8000000000002</v>
      </c>
      <c r="H55" s="6" t="s">
        <v>51</v>
      </c>
      <c r="I55" s="7">
        <v>45797</v>
      </c>
      <c r="J55" s="48"/>
      <c r="K55" s="48"/>
      <c r="L55" s="48" t="s">
        <v>153</v>
      </c>
      <c r="M55" s="48" t="s">
        <v>180</v>
      </c>
      <c r="N55" s="50">
        <v>45838</v>
      </c>
      <c r="O55" s="48"/>
      <c r="P55" s="48"/>
      <c r="Q55" s="48"/>
      <c r="R55" s="48"/>
      <c r="S55" s="52"/>
      <c r="T55" s="48"/>
    </row>
    <row r="56" spans="1:20" ht="15.75" x14ac:dyDescent="0.25">
      <c r="A56" s="48">
        <v>53</v>
      </c>
      <c r="B56" s="48" t="s">
        <v>2774</v>
      </c>
      <c r="C56" s="5" t="s">
        <v>2111</v>
      </c>
      <c r="D56" s="4" t="s">
        <v>2634</v>
      </c>
      <c r="E56" s="6">
        <v>4</v>
      </c>
      <c r="F56" s="6">
        <v>57</v>
      </c>
      <c r="G56" s="6">
        <v>1263.2</v>
      </c>
      <c r="H56" s="6" t="s">
        <v>1350</v>
      </c>
      <c r="I56" s="7">
        <v>45827</v>
      </c>
      <c r="J56" s="48"/>
      <c r="K56" s="48"/>
      <c r="L56" s="48" t="s">
        <v>2819</v>
      </c>
      <c r="M56" s="48" t="s">
        <v>180</v>
      </c>
      <c r="N56" s="50">
        <v>45838</v>
      </c>
      <c r="O56" s="50">
        <v>45846</v>
      </c>
      <c r="P56" s="50">
        <v>45846</v>
      </c>
      <c r="Q56" s="48">
        <v>2273</v>
      </c>
      <c r="R56" s="48">
        <v>961551</v>
      </c>
      <c r="S56" s="52"/>
      <c r="T56" s="48"/>
    </row>
    <row r="57" spans="1:20" ht="15.75" x14ac:dyDescent="0.25">
      <c r="A57" s="48">
        <v>54</v>
      </c>
      <c r="B57" s="48" t="s">
        <v>2774</v>
      </c>
      <c r="C57" s="5" t="s">
        <v>2054</v>
      </c>
      <c r="D57" s="4" t="s">
        <v>2053</v>
      </c>
      <c r="E57" s="6">
        <v>24</v>
      </c>
      <c r="F57" s="6">
        <v>163</v>
      </c>
      <c r="G57" s="6">
        <v>408.9</v>
      </c>
      <c r="H57" s="6" t="s">
        <v>51</v>
      </c>
      <c r="I57" s="7">
        <v>45792</v>
      </c>
      <c r="J57" s="48"/>
      <c r="K57" s="48"/>
      <c r="L57" s="48" t="s">
        <v>153</v>
      </c>
      <c r="M57" s="48" t="s">
        <v>180</v>
      </c>
      <c r="N57" s="50">
        <v>45838</v>
      </c>
      <c r="O57" s="48"/>
      <c r="P57" s="48"/>
      <c r="Q57" s="48"/>
      <c r="R57" s="48"/>
      <c r="S57" s="52"/>
      <c r="T57" s="48"/>
    </row>
    <row r="58" spans="1:20" ht="15.75" x14ac:dyDescent="0.25">
      <c r="A58" s="48">
        <v>55</v>
      </c>
      <c r="B58" s="48" t="s">
        <v>2774</v>
      </c>
      <c r="C58" s="5" t="s">
        <v>2423</v>
      </c>
      <c r="D58" s="4"/>
      <c r="E58" s="6">
        <v>19</v>
      </c>
      <c r="F58" s="6">
        <v>132</v>
      </c>
      <c r="G58" s="6">
        <v>1081.5</v>
      </c>
      <c r="H58" s="6" t="s">
        <v>75</v>
      </c>
      <c r="I58" s="7">
        <v>45817</v>
      </c>
      <c r="J58" s="48"/>
      <c r="K58" s="48"/>
      <c r="L58" s="48" t="s">
        <v>62</v>
      </c>
      <c r="M58" s="48" t="s">
        <v>180</v>
      </c>
      <c r="N58" s="50">
        <v>45838</v>
      </c>
      <c r="O58" s="50">
        <v>45854</v>
      </c>
      <c r="P58" s="48"/>
      <c r="Q58" s="48">
        <v>2374</v>
      </c>
      <c r="R58" s="48"/>
      <c r="S58" s="52"/>
      <c r="T58" s="48"/>
    </row>
    <row r="59" spans="1:20" ht="31.5" x14ac:dyDescent="0.25">
      <c r="A59" s="48">
        <v>56</v>
      </c>
      <c r="B59" s="48" t="s">
        <v>2774</v>
      </c>
      <c r="C59" s="5" t="s">
        <v>861</v>
      </c>
      <c r="D59" s="4" t="s">
        <v>862</v>
      </c>
      <c r="E59" s="6">
        <v>46</v>
      </c>
      <c r="F59" s="6" t="s">
        <v>863</v>
      </c>
      <c r="G59" s="6" t="s">
        <v>864</v>
      </c>
      <c r="H59" s="6" t="s">
        <v>75</v>
      </c>
      <c r="I59" s="7">
        <v>45721</v>
      </c>
      <c r="J59" s="48"/>
      <c r="K59" s="48"/>
      <c r="L59" s="48" t="s">
        <v>52</v>
      </c>
      <c r="M59" s="48" t="s">
        <v>180</v>
      </c>
      <c r="N59" s="50">
        <v>45838</v>
      </c>
      <c r="O59" s="48"/>
      <c r="P59" s="48"/>
      <c r="Q59" s="48"/>
      <c r="R59" s="48"/>
      <c r="S59" s="52"/>
      <c r="T59" s="48"/>
    </row>
    <row r="60" spans="1:20" ht="15.75" x14ac:dyDescent="0.25">
      <c r="A60" s="48">
        <v>57</v>
      </c>
      <c r="B60" s="48" t="s">
        <v>27</v>
      </c>
      <c r="C60" s="5" t="s">
        <v>2333</v>
      </c>
      <c r="D60" s="4" t="s">
        <v>2334</v>
      </c>
      <c r="E60" s="6">
        <v>19</v>
      </c>
      <c r="F60" s="6">
        <v>126</v>
      </c>
      <c r="G60" s="3">
        <v>85.5</v>
      </c>
      <c r="H60" s="3" t="s">
        <v>55</v>
      </c>
      <c r="I60" s="7">
        <v>45810</v>
      </c>
      <c r="J60" s="48"/>
      <c r="K60" s="48"/>
      <c r="L60" s="48" t="s">
        <v>52</v>
      </c>
      <c r="M60" s="48" t="s">
        <v>180</v>
      </c>
      <c r="N60" s="50">
        <v>45838</v>
      </c>
      <c r="O60" s="48"/>
      <c r="P60" s="48"/>
      <c r="Q60" s="48"/>
      <c r="R60" s="48"/>
      <c r="S60" s="52"/>
      <c r="T60" s="48"/>
    </row>
    <row r="61" spans="1:20" ht="15.75" x14ac:dyDescent="0.25">
      <c r="A61" s="48">
        <v>58</v>
      </c>
      <c r="B61" s="48" t="s">
        <v>2774</v>
      </c>
      <c r="C61" s="5" t="s">
        <v>2272</v>
      </c>
      <c r="D61" s="4"/>
      <c r="E61" s="6">
        <v>43</v>
      </c>
      <c r="F61" s="6">
        <v>13</v>
      </c>
      <c r="G61" s="6">
        <v>3392.7</v>
      </c>
      <c r="H61" s="6" t="s">
        <v>51</v>
      </c>
      <c r="I61" s="7">
        <v>45805</v>
      </c>
      <c r="J61" s="48"/>
      <c r="K61" s="48"/>
      <c r="L61" s="48" t="s">
        <v>62</v>
      </c>
      <c r="M61" s="48" t="s">
        <v>180</v>
      </c>
      <c r="N61" s="50">
        <v>45838</v>
      </c>
      <c r="O61" s="48"/>
      <c r="P61" s="48"/>
      <c r="Q61" s="48"/>
      <c r="R61" s="48"/>
      <c r="S61" s="52"/>
      <c r="T61" s="48"/>
    </row>
    <row r="62" spans="1:20" ht="15.75" x14ac:dyDescent="0.25">
      <c r="A62" s="48">
        <v>59</v>
      </c>
      <c r="B62" s="48" t="s">
        <v>2774</v>
      </c>
      <c r="C62" s="5" t="s">
        <v>1863</v>
      </c>
      <c r="D62" s="4" t="s">
        <v>1864</v>
      </c>
      <c r="E62" s="6">
        <v>19</v>
      </c>
      <c r="F62" s="6">
        <v>164</v>
      </c>
      <c r="G62" s="6">
        <v>1183.8</v>
      </c>
      <c r="H62" s="6" t="s">
        <v>75</v>
      </c>
      <c r="I62" s="7">
        <v>45784</v>
      </c>
      <c r="J62" s="48"/>
      <c r="K62" s="48"/>
      <c r="L62" s="48" t="s">
        <v>153</v>
      </c>
      <c r="M62" s="48" t="s">
        <v>180</v>
      </c>
      <c r="N62" s="50">
        <v>45838</v>
      </c>
      <c r="O62" s="48"/>
      <c r="P62" s="48"/>
      <c r="Q62" s="48"/>
      <c r="R62" s="48"/>
      <c r="S62" s="52"/>
      <c r="T62" s="48"/>
    </row>
    <row r="63" spans="1:20" ht="15.75" x14ac:dyDescent="0.25">
      <c r="A63" s="48">
        <v>49</v>
      </c>
      <c r="B63" s="48" t="s">
        <v>34</v>
      </c>
      <c r="C63" s="5" t="s">
        <v>1886</v>
      </c>
      <c r="D63" s="4" t="s">
        <v>1887</v>
      </c>
      <c r="E63" s="6">
        <v>15</v>
      </c>
      <c r="F63" s="6">
        <v>15</v>
      </c>
      <c r="G63" s="6">
        <v>90.5</v>
      </c>
      <c r="H63" s="6" t="s">
        <v>55</v>
      </c>
      <c r="I63" s="7">
        <v>45784</v>
      </c>
      <c r="J63" s="48"/>
      <c r="K63" s="48"/>
      <c r="L63" s="48" t="s">
        <v>52</v>
      </c>
      <c r="M63" s="48" t="s">
        <v>2821</v>
      </c>
      <c r="N63" s="50">
        <v>45825</v>
      </c>
      <c r="O63" s="50">
        <v>45841</v>
      </c>
      <c r="P63" s="50">
        <v>45841</v>
      </c>
      <c r="Q63" s="48">
        <v>2171</v>
      </c>
      <c r="R63" s="48">
        <v>2125468</v>
      </c>
      <c r="S63" s="52"/>
      <c r="T63" s="48"/>
    </row>
    <row r="64" spans="1:20" ht="15.75" x14ac:dyDescent="0.25">
      <c r="A64" s="48">
        <v>50</v>
      </c>
      <c r="B64" s="48" t="s">
        <v>27</v>
      </c>
      <c r="C64" s="5" t="s">
        <v>2333</v>
      </c>
      <c r="D64" s="4" t="s">
        <v>2334</v>
      </c>
      <c r="E64" s="6">
        <v>19</v>
      </c>
      <c r="F64" s="6">
        <v>126</v>
      </c>
      <c r="G64" s="3">
        <v>85.5</v>
      </c>
      <c r="H64" s="3" t="s">
        <v>55</v>
      </c>
      <c r="I64" s="7">
        <v>45810</v>
      </c>
      <c r="J64" s="48"/>
      <c r="K64" s="48"/>
      <c r="L64" s="48" t="s">
        <v>52</v>
      </c>
      <c r="M64" s="48" t="s">
        <v>180</v>
      </c>
      <c r="N64" s="50">
        <v>45838</v>
      </c>
      <c r="O64" s="50">
        <v>45841</v>
      </c>
      <c r="P64" s="50">
        <v>45841</v>
      </c>
      <c r="Q64" s="48">
        <v>2173</v>
      </c>
      <c r="R64" s="48">
        <v>2125468</v>
      </c>
      <c r="S64" s="52"/>
      <c r="T64" s="48"/>
    </row>
    <row r="65" spans="1:20" ht="15.75" x14ac:dyDescent="0.25">
      <c r="A65" s="48" t="s">
        <v>2841</v>
      </c>
      <c r="B65" s="48"/>
      <c r="C65" s="5" t="s">
        <v>2246</v>
      </c>
      <c r="D65" s="4" t="s">
        <v>2247</v>
      </c>
      <c r="E65" s="6">
        <v>20</v>
      </c>
      <c r="F65" s="6">
        <v>142</v>
      </c>
      <c r="G65" s="6">
        <v>1305.9000000000001</v>
      </c>
      <c r="H65" s="6" t="s">
        <v>51</v>
      </c>
      <c r="I65" s="7">
        <v>45804</v>
      </c>
      <c r="J65" s="48" t="s">
        <v>2848</v>
      </c>
      <c r="K65" s="48"/>
      <c r="L65" s="48" t="s">
        <v>153</v>
      </c>
      <c r="M65" s="48" t="s">
        <v>180</v>
      </c>
      <c r="N65" s="50">
        <v>45838</v>
      </c>
      <c r="O65" s="50">
        <v>45841</v>
      </c>
      <c r="P65" s="50">
        <v>45841</v>
      </c>
      <c r="Q65" s="48">
        <v>2181</v>
      </c>
      <c r="R65" s="48">
        <v>1619454</v>
      </c>
      <c r="S65" s="52"/>
      <c r="T65" s="48"/>
    </row>
    <row r="66" spans="1:20" ht="15.75" x14ac:dyDescent="0.25">
      <c r="A66" s="48">
        <v>53</v>
      </c>
      <c r="B66" s="48" t="s">
        <v>2782</v>
      </c>
      <c r="C66" s="48" t="s">
        <v>2822</v>
      </c>
      <c r="D66" s="49" t="s">
        <v>2867</v>
      </c>
      <c r="E66" s="48">
        <v>1</v>
      </c>
      <c r="F66" s="48">
        <v>2</v>
      </c>
      <c r="G66" s="48">
        <v>352.3</v>
      </c>
      <c r="H66" s="6" t="s">
        <v>51</v>
      </c>
      <c r="I66" s="50">
        <v>45841</v>
      </c>
      <c r="J66" s="48"/>
      <c r="K66" s="48" t="s">
        <v>2773</v>
      </c>
      <c r="L66" s="48" t="s">
        <v>62</v>
      </c>
      <c r="M66" s="48" t="s">
        <v>2797</v>
      </c>
      <c r="N66" s="48"/>
      <c r="O66" s="48"/>
      <c r="P66" s="48"/>
      <c r="Q66" s="48"/>
      <c r="R66" s="48"/>
      <c r="S66" s="48" t="s">
        <v>2800</v>
      </c>
      <c r="T66" s="48"/>
    </row>
    <row r="67" spans="1:20" ht="15.75" x14ac:dyDescent="0.25">
      <c r="A67" s="48">
        <v>54</v>
      </c>
      <c r="B67" s="48" t="s">
        <v>2801</v>
      </c>
      <c r="C67" s="48" t="s">
        <v>2823</v>
      </c>
      <c r="D67" s="49" t="s">
        <v>2870</v>
      </c>
      <c r="E67" s="48">
        <v>8</v>
      </c>
      <c r="F67" s="48">
        <v>1237</v>
      </c>
      <c r="G67" s="48">
        <v>114</v>
      </c>
      <c r="H67" s="6" t="s">
        <v>51</v>
      </c>
      <c r="I67" s="50">
        <v>45841</v>
      </c>
      <c r="J67" s="48"/>
      <c r="K67" s="48" t="s">
        <v>2773</v>
      </c>
      <c r="L67" s="48" t="s">
        <v>1</v>
      </c>
      <c r="M67" s="48" t="s">
        <v>2797</v>
      </c>
      <c r="N67" s="48"/>
      <c r="O67" s="48"/>
      <c r="P67" s="48"/>
      <c r="Q67" s="48"/>
      <c r="R67" s="48"/>
      <c r="S67" s="48" t="s">
        <v>2800</v>
      </c>
      <c r="T67" s="48"/>
    </row>
    <row r="68" spans="1:20" ht="15.75" x14ac:dyDescent="0.25">
      <c r="A68" s="48">
        <v>55</v>
      </c>
      <c r="B68" s="48" t="s">
        <v>2798</v>
      </c>
      <c r="C68" s="5" t="s">
        <v>2588</v>
      </c>
      <c r="D68" s="4" t="s">
        <v>2589</v>
      </c>
      <c r="E68" s="6">
        <v>44</v>
      </c>
      <c r="F68" s="6">
        <v>119</v>
      </c>
      <c r="G68" s="6">
        <v>1300.3</v>
      </c>
      <c r="H68" s="6" t="s">
        <v>75</v>
      </c>
      <c r="I68" s="7">
        <v>45841</v>
      </c>
      <c r="J68" s="48"/>
      <c r="K68" s="48" t="s">
        <v>2773</v>
      </c>
      <c r="L68" s="48" t="s">
        <v>62</v>
      </c>
      <c r="M68" s="48" t="s">
        <v>2791</v>
      </c>
      <c r="N68" s="48"/>
      <c r="O68" s="48"/>
      <c r="P68" s="48"/>
      <c r="Q68" s="48"/>
      <c r="R68" s="48"/>
      <c r="S68" s="48" t="s">
        <v>2800</v>
      </c>
      <c r="T68" s="48"/>
    </row>
    <row r="69" spans="1:20" ht="15.75" x14ac:dyDescent="0.25">
      <c r="A69" s="48">
        <v>56</v>
      </c>
      <c r="B69" s="48" t="s">
        <v>2801</v>
      </c>
      <c r="C69" s="48" t="s">
        <v>2826</v>
      </c>
      <c r="D69" s="49" t="s">
        <v>2869</v>
      </c>
      <c r="E69" s="48">
        <v>8</v>
      </c>
      <c r="F69" s="48">
        <v>284</v>
      </c>
      <c r="G69" s="48">
        <v>202.2</v>
      </c>
      <c r="H69" s="48" t="s">
        <v>586</v>
      </c>
      <c r="I69" s="7">
        <v>45841</v>
      </c>
      <c r="J69" s="48"/>
      <c r="K69" s="48" t="s">
        <v>2773</v>
      </c>
      <c r="L69" s="48" t="s">
        <v>62</v>
      </c>
      <c r="M69" s="48" t="s">
        <v>2797</v>
      </c>
      <c r="N69" s="48"/>
      <c r="O69" s="48"/>
      <c r="P69" s="48"/>
      <c r="Q69" s="48"/>
      <c r="R69" s="48"/>
      <c r="S69" s="48" t="s">
        <v>2800</v>
      </c>
      <c r="T69" s="48"/>
    </row>
    <row r="70" spans="1:20" ht="15.75" x14ac:dyDescent="0.25">
      <c r="A70" s="48">
        <v>57</v>
      </c>
      <c r="B70" s="48" t="s">
        <v>2798</v>
      </c>
      <c r="C70" s="48" t="s">
        <v>2827</v>
      </c>
      <c r="D70" s="49" t="s">
        <v>2868</v>
      </c>
      <c r="E70" s="48">
        <v>18</v>
      </c>
      <c r="F70" s="48">
        <v>75</v>
      </c>
      <c r="G70" s="48">
        <v>1243</v>
      </c>
      <c r="H70" s="48" t="s">
        <v>586</v>
      </c>
      <c r="I70" s="7">
        <v>45841</v>
      </c>
      <c r="J70" s="48" t="s">
        <v>3283</v>
      </c>
      <c r="K70" s="48" t="s">
        <v>2773</v>
      </c>
      <c r="L70" s="48" t="s">
        <v>153</v>
      </c>
      <c r="M70" s="48" t="s">
        <v>2791</v>
      </c>
      <c r="N70" s="48"/>
      <c r="O70" s="48"/>
      <c r="P70" s="48"/>
      <c r="Q70" s="48"/>
      <c r="R70" s="48"/>
      <c r="S70" s="48" t="s">
        <v>2800</v>
      </c>
      <c r="T70" s="48"/>
    </row>
    <row r="71" spans="1:20" ht="15.75" x14ac:dyDescent="0.25">
      <c r="A71" s="48">
        <v>58</v>
      </c>
      <c r="B71" s="48" t="s">
        <v>2792</v>
      </c>
      <c r="C71" s="48" t="s">
        <v>2828</v>
      </c>
      <c r="D71" s="49" t="s">
        <v>2880</v>
      </c>
      <c r="E71" s="48">
        <v>8</v>
      </c>
      <c r="F71" s="48">
        <v>16</v>
      </c>
      <c r="G71" s="48">
        <v>53.5</v>
      </c>
      <c r="H71" s="48" t="s">
        <v>2429</v>
      </c>
      <c r="I71" s="7">
        <v>45841</v>
      </c>
      <c r="J71" s="48"/>
      <c r="K71" s="48" t="s">
        <v>2773</v>
      </c>
      <c r="L71" s="48" t="s">
        <v>1</v>
      </c>
      <c r="M71" s="48" t="s">
        <v>2754</v>
      </c>
      <c r="N71" s="48"/>
      <c r="O71" s="48"/>
      <c r="P71" s="48"/>
      <c r="Q71" s="48"/>
      <c r="R71" s="48"/>
      <c r="S71" s="48" t="s">
        <v>2800</v>
      </c>
      <c r="T71" s="48"/>
    </row>
    <row r="72" spans="1:20" ht="15.75" x14ac:dyDescent="0.25">
      <c r="A72" s="48">
        <v>59</v>
      </c>
      <c r="B72" s="48" t="s">
        <v>2782</v>
      </c>
      <c r="C72" s="48" t="s">
        <v>2829</v>
      </c>
      <c r="D72" s="49" t="s">
        <v>2879</v>
      </c>
      <c r="E72" s="48">
        <v>32</v>
      </c>
      <c r="F72" s="48" t="s">
        <v>2830</v>
      </c>
      <c r="G72" s="48" t="s">
        <v>2831</v>
      </c>
      <c r="H72" s="48" t="s">
        <v>199</v>
      </c>
      <c r="I72" s="7">
        <v>45841</v>
      </c>
      <c r="J72" s="48"/>
      <c r="K72" s="48" t="s">
        <v>2773</v>
      </c>
      <c r="L72" s="48" t="s">
        <v>2832</v>
      </c>
      <c r="M72" s="48" t="s">
        <v>2797</v>
      </c>
      <c r="N72" s="48"/>
      <c r="O72" s="48"/>
      <c r="P72" s="48"/>
      <c r="Q72" s="48"/>
      <c r="R72" s="48"/>
      <c r="S72" s="48" t="s">
        <v>2800</v>
      </c>
      <c r="T72" s="48"/>
    </row>
    <row r="73" spans="1:20" ht="15.75" x14ac:dyDescent="0.25">
      <c r="A73" s="48">
        <v>60</v>
      </c>
      <c r="B73" s="48" t="s">
        <v>2798</v>
      </c>
      <c r="C73" s="48" t="s">
        <v>2833</v>
      </c>
      <c r="D73" s="49" t="s">
        <v>2878</v>
      </c>
      <c r="E73" s="48">
        <v>29</v>
      </c>
      <c r="F73" s="48">
        <v>297</v>
      </c>
      <c r="G73" s="48">
        <v>593.29999999999995</v>
      </c>
      <c r="H73" s="48" t="s">
        <v>586</v>
      </c>
      <c r="I73" s="7">
        <v>45841</v>
      </c>
      <c r="J73" s="48"/>
      <c r="K73" s="48" t="s">
        <v>2773</v>
      </c>
      <c r="L73" s="48" t="s">
        <v>62</v>
      </c>
      <c r="M73" s="48" t="s">
        <v>2791</v>
      </c>
      <c r="N73" s="48"/>
      <c r="O73" s="48"/>
      <c r="P73" s="48"/>
      <c r="Q73" s="48"/>
      <c r="R73" s="48"/>
      <c r="S73" s="48" t="s">
        <v>2800</v>
      </c>
      <c r="T73" s="48"/>
    </row>
    <row r="74" spans="1:20" ht="15.75" x14ac:dyDescent="0.25">
      <c r="A74" s="48">
        <v>61</v>
      </c>
      <c r="B74" s="48" t="s">
        <v>2798</v>
      </c>
      <c r="C74" s="48" t="s">
        <v>2834</v>
      </c>
      <c r="D74" s="49" t="s">
        <v>2877</v>
      </c>
      <c r="E74" s="48">
        <v>44</v>
      </c>
      <c r="F74" s="48">
        <v>35</v>
      </c>
      <c r="G74" s="48">
        <v>594.9</v>
      </c>
      <c r="H74" s="48" t="s">
        <v>586</v>
      </c>
      <c r="I74" s="7">
        <v>45841</v>
      </c>
      <c r="J74" s="48"/>
      <c r="K74" s="48" t="s">
        <v>2773</v>
      </c>
      <c r="L74" s="48" t="s">
        <v>1</v>
      </c>
      <c r="M74" s="48" t="s">
        <v>2791</v>
      </c>
      <c r="N74" s="48"/>
      <c r="O74" s="48"/>
      <c r="P74" s="48"/>
      <c r="Q74" s="48"/>
      <c r="R74" s="48"/>
      <c r="S74" s="48" t="s">
        <v>2800</v>
      </c>
      <c r="T74" s="48"/>
    </row>
    <row r="75" spans="1:20" ht="15.75" x14ac:dyDescent="0.25">
      <c r="A75" s="48">
        <v>62</v>
      </c>
      <c r="B75" s="48" t="s">
        <v>2798</v>
      </c>
      <c r="C75" s="48" t="s">
        <v>2835</v>
      </c>
      <c r="D75" s="49" t="s">
        <v>2876</v>
      </c>
      <c r="E75" s="48">
        <v>25</v>
      </c>
      <c r="F75" s="48">
        <v>5</v>
      </c>
      <c r="G75" s="48">
        <v>4709.6000000000004</v>
      </c>
      <c r="H75" s="48" t="s">
        <v>586</v>
      </c>
      <c r="I75" s="7">
        <v>45841</v>
      </c>
      <c r="J75" s="48"/>
      <c r="K75" s="48" t="s">
        <v>2773</v>
      </c>
      <c r="L75" s="48" t="s">
        <v>153</v>
      </c>
      <c r="M75" s="48" t="s">
        <v>2791</v>
      </c>
      <c r="N75" s="48"/>
      <c r="O75" s="48"/>
      <c r="P75" s="48"/>
      <c r="Q75" s="48"/>
      <c r="R75" s="48"/>
      <c r="S75" s="48" t="s">
        <v>2800</v>
      </c>
      <c r="T75" s="48"/>
    </row>
    <row r="76" spans="1:20" ht="15.75" x14ac:dyDescent="0.25">
      <c r="A76" s="48">
        <v>63</v>
      </c>
      <c r="B76" s="48" t="s">
        <v>2794</v>
      </c>
      <c r="C76" s="48" t="s">
        <v>2836</v>
      </c>
      <c r="D76" s="49" t="s">
        <v>2875</v>
      </c>
      <c r="E76" s="48">
        <v>10</v>
      </c>
      <c r="F76" s="48">
        <v>409</v>
      </c>
      <c r="G76" s="48">
        <v>1501</v>
      </c>
      <c r="H76" s="48" t="s">
        <v>586</v>
      </c>
      <c r="I76" s="7">
        <v>45841</v>
      </c>
      <c r="J76" s="48"/>
      <c r="K76" s="48" t="s">
        <v>2773</v>
      </c>
      <c r="L76" s="48" t="s">
        <v>62</v>
      </c>
      <c r="M76" s="48" t="s">
        <v>2796</v>
      </c>
      <c r="N76" s="48"/>
      <c r="O76" s="48"/>
      <c r="P76" s="48"/>
      <c r="Q76" s="48"/>
      <c r="R76" s="48"/>
      <c r="S76" s="48" t="s">
        <v>2800</v>
      </c>
      <c r="T76" s="48"/>
    </row>
    <row r="77" spans="1:20" ht="15.75" x14ac:dyDescent="0.25">
      <c r="A77" s="48">
        <v>64</v>
      </c>
      <c r="B77" s="48" t="s">
        <v>2794</v>
      </c>
      <c r="C77" s="48" t="s">
        <v>2837</v>
      </c>
      <c r="D77" s="49" t="s">
        <v>2874</v>
      </c>
      <c r="E77" s="48">
        <v>1</v>
      </c>
      <c r="F77" s="48" t="s">
        <v>2838</v>
      </c>
      <c r="G77" s="48" t="s">
        <v>2839</v>
      </c>
      <c r="H77" s="48" t="s">
        <v>2840</v>
      </c>
      <c r="I77" s="7">
        <v>45841</v>
      </c>
      <c r="J77" s="48"/>
      <c r="K77" s="48" t="s">
        <v>2773</v>
      </c>
      <c r="L77" s="48" t="s">
        <v>1</v>
      </c>
      <c r="M77" s="48" t="s">
        <v>2796</v>
      </c>
      <c r="N77" s="48"/>
      <c r="O77" s="48"/>
      <c r="P77" s="48"/>
      <c r="Q77" s="48"/>
      <c r="R77" s="48"/>
      <c r="S77" s="48" t="s">
        <v>2800</v>
      </c>
      <c r="T77" s="48"/>
    </row>
    <row r="78" spans="1:20" ht="15.75" x14ac:dyDescent="0.25">
      <c r="A78" s="48">
        <v>65</v>
      </c>
      <c r="B78" s="48" t="s">
        <v>2771</v>
      </c>
      <c r="C78" s="5" t="s">
        <v>2122</v>
      </c>
      <c r="D78" s="4" t="s">
        <v>2123</v>
      </c>
      <c r="E78" s="6">
        <v>18</v>
      </c>
      <c r="F78" s="6">
        <v>234</v>
      </c>
      <c r="G78" s="6">
        <v>170.7</v>
      </c>
      <c r="H78" s="6" t="s">
        <v>51</v>
      </c>
      <c r="I78" s="7">
        <v>45798</v>
      </c>
      <c r="J78" s="48"/>
      <c r="K78" s="48"/>
      <c r="L78" s="48" t="s">
        <v>62</v>
      </c>
      <c r="M78" s="48" t="s">
        <v>2842</v>
      </c>
      <c r="N78" s="50">
        <v>45838</v>
      </c>
      <c r="O78" s="50">
        <v>45842</v>
      </c>
      <c r="P78" s="50">
        <v>45842</v>
      </c>
      <c r="Q78" s="48">
        <v>2211</v>
      </c>
      <c r="R78" s="48">
        <v>809727</v>
      </c>
      <c r="S78" s="52"/>
      <c r="T78" s="48"/>
    </row>
    <row r="79" spans="1:20" ht="15.75" x14ac:dyDescent="0.25">
      <c r="A79" s="48">
        <v>66</v>
      </c>
      <c r="B79" s="48" t="s">
        <v>2771</v>
      </c>
      <c r="C79" s="5" t="s">
        <v>2341</v>
      </c>
      <c r="D79" s="4" t="s">
        <v>2342</v>
      </c>
      <c r="E79" s="6">
        <v>21</v>
      </c>
      <c r="F79" s="6">
        <v>390</v>
      </c>
      <c r="G79" s="6">
        <v>330.8</v>
      </c>
      <c r="H79" s="6" t="s">
        <v>55</v>
      </c>
      <c r="I79" s="7">
        <v>45811</v>
      </c>
      <c r="J79" s="48"/>
      <c r="K79" s="48"/>
      <c r="L79" s="48" t="s">
        <v>153</v>
      </c>
      <c r="M79" s="48" t="s">
        <v>2842</v>
      </c>
      <c r="N79" s="50">
        <v>45838</v>
      </c>
      <c r="O79" s="50">
        <v>45842</v>
      </c>
      <c r="P79" s="50">
        <v>45842</v>
      </c>
      <c r="Q79" s="48">
        <v>2214</v>
      </c>
      <c r="R79" s="48">
        <v>809727</v>
      </c>
      <c r="S79" s="52"/>
      <c r="T79" s="48"/>
    </row>
    <row r="80" spans="1:20" ht="15.75" x14ac:dyDescent="0.25">
      <c r="A80" s="48">
        <v>67</v>
      </c>
      <c r="B80" s="48" t="s">
        <v>2771</v>
      </c>
      <c r="C80" s="5" t="s">
        <v>1093</v>
      </c>
      <c r="D80" s="4" t="s">
        <v>2401</v>
      </c>
      <c r="E80" s="6">
        <v>14</v>
      </c>
      <c r="F80" s="6">
        <v>473</v>
      </c>
      <c r="G80" s="6">
        <v>82.8</v>
      </c>
      <c r="H80" s="6" t="s">
        <v>55</v>
      </c>
      <c r="I80" s="7">
        <v>45813</v>
      </c>
      <c r="J80" s="48"/>
      <c r="K80" s="48"/>
      <c r="L80" s="48" t="s">
        <v>52</v>
      </c>
      <c r="M80" s="48" t="s">
        <v>2842</v>
      </c>
      <c r="N80" s="50">
        <v>45838</v>
      </c>
      <c r="O80" s="50">
        <v>45842</v>
      </c>
      <c r="P80" s="50">
        <v>45842</v>
      </c>
      <c r="Q80" s="48">
        <v>2215</v>
      </c>
      <c r="R80" s="48">
        <v>1968026</v>
      </c>
      <c r="S80" s="52"/>
      <c r="T80" s="48"/>
    </row>
    <row r="81" spans="1:20" ht="15.75" x14ac:dyDescent="0.25">
      <c r="A81" s="48">
        <v>68</v>
      </c>
      <c r="B81" s="48" t="s">
        <v>2771</v>
      </c>
      <c r="C81" s="5" t="s">
        <v>2122</v>
      </c>
      <c r="D81" s="4" t="s">
        <v>2123</v>
      </c>
      <c r="E81" s="6">
        <v>18</v>
      </c>
      <c r="F81" s="6">
        <v>233</v>
      </c>
      <c r="G81" s="6">
        <v>198.4</v>
      </c>
      <c r="H81" s="6" t="s">
        <v>51</v>
      </c>
      <c r="I81" s="7">
        <v>45798</v>
      </c>
      <c r="J81" s="48"/>
      <c r="K81" s="48"/>
      <c r="L81" s="48" t="s">
        <v>62</v>
      </c>
      <c r="M81" s="48" t="s">
        <v>2842</v>
      </c>
      <c r="N81" s="50">
        <v>45838</v>
      </c>
      <c r="O81" s="50">
        <v>45842</v>
      </c>
      <c r="P81" s="50">
        <v>45842</v>
      </c>
      <c r="Q81" s="48">
        <v>2212</v>
      </c>
      <c r="R81" s="48">
        <v>809727</v>
      </c>
      <c r="S81" s="52"/>
      <c r="T81" s="48"/>
    </row>
    <row r="82" spans="1:20" ht="15.75" x14ac:dyDescent="0.25">
      <c r="A82" s="48">
        <v>69</v>
      </c>
      <c r="B82" s="48" t="s">
        <v>2771</v>
      </c>
      <c r="C82" s="5" t="s">
        <v>2420</v>
      </c>
      <c r="D82" s="4" t="s">
        <v>2421</v>
      </c>
      <c r="E82" s="6">
        <v>27</v>
      </c>
      <c r="F82" s="6">
        <v>451</v>
      </c>
      <c r="G82" s="6">
        <v>898.9</v>
      </c>
      <c r="H82" s="6" t="s">
        <v>55</v>
      </c>
      <c r="I82" s="7">
        <v>45817</v>
      </c>
      <c r="J82" s="48"/>
      <c r="K82" s="48"/>
      <c r="L82" s="48" t="s">
        <v>153</v>
      </c>
      <c r="M82" s="48" t="s">
        <v>2842</v>
      </c>
      <c r="N82" s="50">
        <v>45838</v>
      </c>
      <c r="O82" s="50">
        <v>45846</v>
      </c>
      <c r="P82" s="50">
        <v>45846</v>
      </c>
      <c r="Q82" s="48">
        <v>2267</v>
      </c>
      <c r="R82" s="48">
        <v>1923102</v>
      </c>
      <c r="S82" s="52"/>
      <c r="T82" s="48"/>
    </row>
    <row r="83" spans="1:20" ht="15.75" x14ac:dyDescent="0.25">
      <c r="A83" s="48">
        <v>70</v>
      </c>
      <c r="B83" s="48" t="s">
        <v>28</v>
      </c>
      <c r="C83" s="5" t="s">
        <v>2349</v>
      </c>
      <c r="D83" s="4" t="s">
        <v>2350</v>
      </c>
      <c r="E83" s="6">
        <v>24</v>
      </c>
      <c r="F83" s="6">
        <v>457</v>
      </c>
      <c r="G83" s="6">
        <v>286.3</v>
      </c>
      <c r="H83" s="6" t="s">
        <v>75</v>
      </c>
      <c r="I83" s="7">
        <v>45810</v>
      </c>
      <c r="J83" s="48"/>
      <c r="K83" s="48"/>
      <c r="L83" s="48" t="s">
        <v>153</v>
      </c>
      <c r="M83" s="48" t="s">
        <v>2842</v>
      </c>
      <c r="N83" s="50">
        <v>45838</v>
      </c>
      <c r="O83" s="50">
        <v>45845</v>
      </c>
      <c r="P83" s="50">
        <v>45845</v>
      </c>
      <c r="Q83" s="48">
        <v>2227</v>
      </c>
      <c r="R83" s="48">
        <v>2581005</v>
      </c>
      <c r="S83" s="52"/>
      <c r="T83" s="48"/>
    </row>
    <row r="84" spans="1:20" ht="15.75" x14ac:dyDescent="0.25">
      <c r="A84" s="48">
        <v>71</v>
      </c>
      <c r="B84" s="48" t="s">
        <v>34</v>
      </c>
      <c r="C84" s="48" t="s">
        <v>2843</v>
      </c>
      <c r="D84" s="49" t="s">
        <v>2873</v>
      </c>
      <c r="E84" s="48">
        <v>15</v>
      </c>
      <c r="F84" s="48">
        <v>195</v>
      </c>
      <c r="G84" s="48">
        <v>21.3</v>
      </c>
      <c r="H84" s="48" t="s">
        <v>2429</v>
      </c>
      <c r="I84" s="50">
        <v>45820</v>
      </c>
      <c r="J84" s="48"/>
      <c r="K84" s="48"/>
      <c r="L84" s="48" t="s">
        <v>52</v>
      </c>
      <c r="M84" s="48" t="s">
        <v>2844</v>
      </c>
      <c r="N84" s="50">
        <v>45838</v>
      </c>
      <c r="O84" s="50">
        <v>45842</v>
      </c>
      <c r="P84" s="48" t="s">
        <v>2883</v>
      </c>
      <c r="Q84" s="48">
        <v>2219</v>
      </c>
      <c r="R84" s="48">
        <v>1416978</v>
      </c>
      <c r="S84" s="52"/>
      <c r="T84" s="48"/>
    </row>
    <row r="85" spans="1:20" ht="15.75" x14ac:dyDescent="0.25">
      <c r="A85" s="48">
        <v>72</v>
      </c>
      <c r="B85" s="48" t="s">
        <v>2798</v>
      </c>
      <c r="C85" s="5" t="s">
        <v>1880</v>
      </c>
      <c r="D85" s="4" t="s">
        <v>1881</v>
      </c>
      <c r="E85" s="6">
        <v>31</v>
      </c>
      <c r="F85" s="6">
        <v>33</v>
      </c>
      <c r="G85" s="6">
        <v>1495.3</v>
      </c>
      <c r="H85" s="6" t="s">
        <v>51</v>
      </c>
      <c r="I85" s="7">
        <v>45784</v>
      </c>
      <c r="J85" s="48"/>
      <c r="K85" s="48"/>
      <c r="L85" s="48" t="s">
        <v>62</v>
      </c>
      <c r="M85" s="48" t="s">
        <v>2754</v>
      </c>
      <c r="N85" s="50">
        <v>45812</v>
      </c>
      <c r="O85" s="50">
        <v>45841</v>
      </c>
      <c r="P85" s="50">
        <v>45841</v>
      </c>
      <c r="Q85" s="48">
        <v>2184</v>
      </c>
      <c r="R85" s="48">
        <v>809727</v>
      </c>
      <c r="S85" s="52"/>
      <c r="T85" s="48"/>
    </row>
    <row r="86" spans="1:20" ht="15.75" x14ac:dyDescent="0.25">
      <c r="A86" s="48">
        <v>73</v>
      </c>
      <c r="B86" s="48" t="s">
        <v>26</v>
      </c>
      <c r="C86" s="5" t="s">
        <v>1807</v>
      </c>
      <c r="D86" s="4" t="s">
        <v>1810</v>
      </c>
      <c r="E86" s="6">
        <v>35</v>
      </c>
      <c r="F86" s="6">
        <v>286</v>
      </c>
      <c r="G86" s="3">
        <v>100</v>
      </c>
      <c r="H86" s="3" t="s">
        <v>55</v>
      </c>
      <c r="I86" s="7">
        <v>45782</v>
      </c>
      <c r="J86" s="48"/>
      <c r="K86" s="48"/>
      <c r="L86" s="48" t="s">
        <v>52</v>
      </c>
      <c r="M86" s="48" t="s">
        <v>2842</v>
      </c>
      <c r="N86" s="50">
        <v>45799</v>
      </c>
      <c r="O86" s="50">
        <v>45841</v>
      </c>
      <c r="P86" s="50">
        <v>45841</v>
      </c>
      <c r="Q86" s="48">
        <v>2187</v>
      </c>
      <c r="R86" s="48">
        <v>2125468</v>
      </c>
      <c r="S86" s="52"/>
      <c r="T86" s="48"/>
    </row>
    <row r="87" spans="1:20" ht="31.5" x14ac:dyDescent="0.25">
      <c r="A87" s="48">
        <v>74</v>
      </c>
      <c r="B87" s="48" t="s">
        <v>2774</v>
      </c>
      <c r="C87" s="5" t="s">
        <v>861</v>
      </c>
      <c r="D87" s="4" t="s">
        <v>862</v>
      </c>
      <c r="E87" s="6">
        <v>46</v>
      </c>
      <c r="F87" s="6" t="s">
        <v>863</v>
      </c>
      <c r="G87" s="6" t="s">
        <v>864</v>
      </c>
      <c r="H87" s="6" t="s">
        <v>75</v>
      </c>
      <c r="I87" s="7">
        <v>45721</v>
      </c>
      <c r="J87" s="48"/>
      <c r="K87" s="48"/>
      <c r="L87" s="48" t="s">
        <v>52</v>
      </c>
      <c r="M87" s="48" t="s">
        <v>180</v>
      </c>
      <c r="N87" s="51">
        <v>45838</v>
      </c>
      <c r="O87" s="50">
        <v>45841</v>
      </c>
      <c r="P87" s="50">
        <v>45841</v>
      </c>
      <c r="Q87" s="48">
        <v>2188</v>
      </c>
      <c r="R87" s="48">
        <v>1682662</v>
      </c>
      <c r="S87" s="52"/>
      <c r="T87" s="48"/>
    </row>
    <row r="88" spans="1:20" ht="15.75" x14ac:dyDescent="0.25">
      <c r="A88" s="48">
        <v>75</v>
      </c>
      <c r="B88" s="48" t="s">
        <v>2798</v>
      </c>
      <c r="C88" s="5" t="s">
        <v>2682</v>
      </c>
      <c r="D88" s="4" t="s">
        <v>2683</v>
      </c>
      <c r="E88" s="6">
        <v>15</v>
      </c>
      <c r="F88" s="6">
        <v>147</v>
      </c>
      <c r="G88" s="6">
        <v>1223.9000000000001</v>
      </c>
      <c r="H88" s="6" t="s">
        <v>51</v>
      </c>
      <c r="I88" s="7">
        <v>45832</v>
      </c>
      <c r="J88" s="48"/>
      <c r="K88" s="48" t="s">
        <v>2773</v>
      </c>
      <c r="L88" s="48" t="s">
        <v>62</v>
      </c>
      <c r="M88" s="48" t="s">
        <v>2791</v>
      </c>
      <c r="N88" s="48"/>
      <c r="O88" s="48"/>
      <c r="P88" s="48"/>
      <c r="Q88" s="48"/>
      <c r="R88" s="48"/>
      <c r="S88" s="48" t="s">
        <v>2800</v>
      </c>
      <c r="T88" s="48"/>
    </row>
    <row r="89" spans="1:20" ht="15.75" x14ac:dyDescent="0.25">
      <c r="A89" s="48">
        <v>76</v>
      </c>
      <c r="B89" s="48" t="s">
        <v>2798</v>
      </c>
      <c r="C89" s="5" t="s">
        <v>1863</v>
      </c>
      <c r="D89" s="4" t="s">
        <v>1864</v>
      </c>
      <c r="E89" s="6">
        <v>19</v>
      </c>
      <c r="F89" s="6">
        <v>164</v>
      </c>
      <c r="G89" s="6">
        <v>1183.8</v>
      </c>
      <c r="H89" s="6" t="s">
        <v>75</v>
      </c>
      <c r="I89" s="7">
        <v>45784</v>
      </c>
      <c r="J89" s="48"/>
      <c r="K89" s="48"/>
      <c r="L89" s="48" t="s">
        <v>153</v>
      </c>
      <c r="M89" s="48" t="s">
        <v>180</v>
      </c>
      <c r="N89" s="48" t="s">
        <v>2849</v>
      </c>
      <c r="O89" s="50">
        <v>45841</v>
      </c>
      <c r="P89" s="50">
        <v>45841</v>
      </c>
      <c r="Q89" s="48">
        <v>2191</v>
      </c>
      <c r="R89" s="48">
        <v>124329</v>
      </c>
      <c r="S89" s="52"/>
      <c r="T89" s="48"/>
    </row>
    <row r="90" spans="1:20" ht="15.75" x14ac:dyDescent="0.25">
      <c r="A90" s="48">
        <v>77</v>
      </c>
      <c r="B90" s="48" t="s">
        <v>2794</v>
      </c>
      <c r="C90" s="48" t="s">
        <v>2850</v>
      </c>
      <c r="D90" s="49" t="s">
        <v>2872</v>
      </c>
      <c r="E90" s="48">
        <v>24</v>
      </c>
      <c r="F90" s="48">
        <v>112</v>
      </c>
      <c r="G90" s="48">
        <v>96.9</v>
      </c>
      <c r="H90" s="6" t="s">
        <v>75</v>
      </c>
      <c r="I90" s="50">
        <v>45841</v>
      </c>
      <c r="J90" s="48"/>
      <c r="K90" s="48" t="s">
        <v>2773</v>
      </c>
      <c r="L90" s="48" t="s">
        <v>62</v>
      </c>
      <c r="M90" s="48" t="s">
        <v>180</v>
      </c>
      <c r="N90" s="48"/>
      <c r="O90" s="48"/>
      <c r="P90" s="48"/>
      <c r="Q90" s="48"/>
      <c r="R90" s="48"/>
      <c r="S90" s="48" t="s">
        <v>2800</v>
      </c>
      <c r="T90" s="48"/>
    </row>
    <row r="91" spans="1:20" ht="15.75" x14ac:dyDescent="0.25">
      <c r="A91" s="48">
        <v>78</v>
      </c>
      <c r="B91" s="18" t="s">
        <v>27</v>
      </c>
      <c r="C91" s="5" t="s">
        <v>1780</v>
      </c>
      <c r="D91" s="49" t="s">
        <v>1781</v>
      </c>
      <c r="E91" s="6">
        <v>13</v>
      </c>
      <c r="F91" s="6">
        <v>620</v>
      </c>
      <c r="G91" s="6">
        <v>115.1</v>
      </c>
      <c r="H91" s="6" t="s">
        <v>55</v>
      </c>
      <c r="I91" s="50">
        <v>45775</v>
      </c>
      <c r="J91" s="48"/>
      <c r="K91" s="48"/>
      <c r="L91" s="48" t="s">
        <v>1</v>
      </c>
      <c r="M91" s="48" t="s">
        <v>180</v>
      </c>
      <c r="N91" s="50">
        <v>45834</v>
      </c>
      <c r="O91" s="50">
        <v>45841</v>
      </c>
      <c r="P91" s="50">
        <v>45841</v>
      </c>
      <c r="Q91" s="48">
        <v>2193</v>
      </c>
      <c r="R91" s="48">
        <v>961551</v>
      </c>
      <c r="S91" s="52"/>
      <c r="T91" s="48"/>
    </row>
    <row r="92" spans="1:20" ht="15.75" x14ac:dyDescent="0.25">
      <c r="A92" s="53">
        <v>79</v>
      </c>
      <c r="B92" s="48" t="s">
        <v>2794</v>
      </c>
      <c r="C92" s="40" t="s">
        <v>146</v>
      </c>
      <c r="D92" s="49" t="s">
        <v>147</v>
      </c>
      <c r="E92" s="41">
        <v>31</v>
      </c>
      <c r="F92" s="41">
        <v>967</v>
      </c>
      <c r="G92" s="41">
        <v>363.9</v>
      </c>
      <c r="H92" s="6" t="s">
        <v>75</v>
      </c>
      <c r="I92" s="50">
        <v>45841</v>
      </c>
      <c r="J92" s="48"/>
      <c r="K92" s="48" t="s">
        <v>2773</v>
      </c>
      <c r="L92" s="48" t="s">
        <v>3041</v>
      </c>
      <c r="M92" s="48" t="s">
        <v>2797</v>
      </c>
      <c r="N92" s="48"/>
      <c r="O92" s="48"/>
      <c r="P92" s="48"/>
      <c r="Q92" s="48"/>
      <c r="R92" s="48"/>
      <c r="S92" s="48" t="s">
        <v>2800</v>
      </c>
      <c r="T92" s="48" t="s">
        <v>3040</v>
      </c>
    </row>
    <row r="93" spans="1:20" ht="15.75" x14ac:dyDescent="0.25">
      <c r="A93" s="53">
        <v>80</v>
      </c>
      <c r="B93" s="53" t="s">
        <v>28</v>
      </c>
      <c r="C93" s="5" t="s">
        <v>2450</v>
      </c>
      <c r="D93" s="4" t="s">
        <v>2451</v>
      </c>
      <c r="E93" s="6">
        <v>17</v>
      </c>
      <c r="F93" s="6">
        <v>656</v>
      </c>
      <c r="G93" s="6">
        <v>1762.6</v>
      </c>
      <c r="H93" s="6" t="s">
        <v>75</v>
      </c>
      <c r="I93" s="7">
        <v>45818</v>
      </c>
      <c r="J93" s="48"/>
      <c r="K93" s="48"/>
      <c r="L93" s="53" t="s">
        <v>1</v>
      </c>
      <c r="M93" s="48" t="s">
        <v>2842</v>
      </c>
      <c r="N93" s="50">
        <v>45838</v>
      </c>
      <c r="O93" s="48"/>
      <c r="P93" s="48"/>
      <c r="Q93" s="48"/>
      <c r="R93" s="48"/>
      <c r="S93" s="52"/>
      <c r="T93" s="48"/>
    </row>
    <row r="94" spans="1:20" ht="15.75" x14ac:dyDescent="0.25">
      <c r="A94" s="53">
        <v>81</v>
      </c>
      <c r="B94" s="53" t="s">
        <v>32</v>
      </c>
      <c r="C94" s="5" t="s">
        <v>1941</v>
      </c>
      <c r="D94" s="4" t="s">
        <v>1942</v>
      </c>
      <c r="E94" s="6">
        <v>47</v>
      </c>
      <c r="F94" s="6">
        <v>214</v>
      </c>
      <c r="G94" s="3">
        <v>84.9</v>
      </c>
      <c r="H94" s="3" t="s">
        <v>51</v>
      </c>
      <c r="I94" s="7">
        <v>45790</v>
      </c>
      <c r="J94" s="48"/>
      <c r="K94" s="48"/>
      <c r="L94" s="53" t="s">
        <v>1</v>
      </c>
      <c r="M94" s="48" t="s">
        <v>101</v>
      </c>
      <c r="N94" s="50">
        <v>45838</v>
      </c>
      <c r="O94" s="50">
        <v>45845</v>
      </c>
      <c r="P94" s="50">
        <v>45845</v>
      </c>
      <c r="Q94" s="48">
        <v>2240</v>
      </c>
      <c r="R94" s="48">
        <v>809727</v>
      </c>
      <c r="S94" s="52"/>
      <c r="T94" s="48"/>
    </row>
    <row r="95" spans="1:20" ht="15.75" x14ac:dyDescent="0.25">
      <c r="A95" s="53">
        <v>82</v>
      </c>
      <c r="B95" s="53" t="s">
        <v>28</v>
      </c>
      <c r="C95" s="5" t="s">
        <v>1351</v>
      </c>
      <c r="D95" s="4" t="s">
        <v>1352</v>
      </c>
      <c r="E95" s="6">
        <v>13</v>
      </c>
      <c r="F95" s="6">
        <v>1016</v>
      </c>
      <c r="G95" s="6">
        <v>132.69999999999999</v>
      </c>
      <c r="H95" s="6" t="s">
        <v>55</v>
      </c>
      <c r="I95" s="7">
        <v>45744</v>
      </c>
      <c r="J95" s="48"/>
      <c r="K95" s="48"/>
      <c r="L95" s="53" t="s">
        <v>1</v>
      </c>
      <c r="M95" s="48" t="s">
        <v>2842</v>
      </c>
      <c r="N95" s="50">
        <v>45838</v>
      </c>
      <c r="O95" s="48"/>
      <c r="P95" s="48"/>
      <c r="Q95" s="48"/>
      <c r="R95" s="48"/>
      <c r="S95" s="52"/>
      <c r="T95" s="48"/>
    </row>
    <row r="96" spans="1:20" ht="15.75" x14ac:dyDescent="0.25">
      <c r="A96" s="53">
        <v>83</v>
      </c>
      <c r="B96" s="53" t="s">
        <v>27</v>
      </c>
      <c r="C96" s="5" t="s">
        <v>768</v>
      </c>
      <c r="D96" s="4" t="s">
        <v>769</v>
      </c>
      <c r="E96" s="6">
        <v>3</v>
      </c>
      <c r="F96" s="6">
        <v>20</v>
      </c>
      <c r="G96" s="3">
        <v>1318.1</v>
      </c>
      <c r="H96" s="3" t="s">
        <v>75</v>
      </c>
      <c r="I96" s="7">
        <v>45715</v>
      </c>
      <c r="J96" s="48"/>
      <c r="K96" s="48"/>
      <c r="L96" s="53" t="s">
        <v>1</v>
      </c>
      <c r="M96" s="48" t="s">
        <v>180</v>
      </c>
      <c r="N96" s="50">
        <v>45838</v>
      </c>
      <c r="O96" s="48"/>
      <c r="P96" s="48"/>
      <c r="Q96" s="48"/>
      <c r="R96" s="48"/>
      <c r="S96" s="52"/>
      <c r="T96" s="48"/>
    </row>
    <row r="97" spans="1:20" ht="15.75" x14ac:dyDescent="0.25">
      <c r="A97" s="53">
        <v>84</v>
      </c>
      <c r="B97" s="53" t="s">
        <v>2774</v>
      </c>
      <c r="C97" s="5" t="s">
        <v>2157</v>
      </c>
      <c r="D97" s="4" t="s">
        <v>2158</v>
      </c>
      <c r="E97" s="6">
        <v>24</v>
      </c>
      <c r="F97" s="6">
        <v>59</v>
      </c>
      <c r="G97" s="6">
        <v>2585.8000000000002</v>
      </c>
      <c r="H97" s="6" t="s">
        <v>51</v>
      </c>
      <c r="I97" s="7">
        <v>45797</v>
      </c>
      <c r="J97" s="48"/>
      <c r="K97" s="48"/>
      <c r="L97" s="48" t="s">
        <v>62</v>
      </c>
      <c r="M97" s="48" t="s">
        <v>180</v>
      </c>
      <c r="N97" s="50">
        <v>45838</v>
      </c>
      <c r="O97" s="50">
        <v>45845</v>
      </c>
      <c r="P97" s="50">
        <v>45845</v>
      </c>
      <c r="Q97" s="48">
        <v>2230</v>
      </c>
      <c r="R97" s="48">
        <v>961551</v>
      </c>
      <c r="S97" s="52"/>
      <c r="T97" s="48"/>
    </row>
    <row r="98" spans="1:20" ht="15.75" x14ac:dyDescent="0.25">
      <c r="A98" s="53">
        <v>85</v>
      </c>
      <c r="B98" s="48" t="s">
        <v>2798</v>
      </c>
      <c r="C98" s="40" t="s">
        <v>2851</v>
      </c>
      <c r="D98" s="49">
        <v>936237376</v>
      </c>
      <c r="E98" s="41">
        <v>18</v>
      </c>
      <c r="F98" s="41">
        <v>406</v>
      </c>
      <c r="G98" s="42">
        <v>205</v>
      </c>
      <c r="H98" s="42" t="s">
        <v>586</v>
      </c>
      <c r="I98" s="50">
        <v>45841</v>
      </c>
      <c r="J98" s="48"/>
      <c r="K98" s="48" t="s">
        <v>2773</v>
      </c>
      <c r="L98" s="48" t="s">
        <v>62</v>
      </c>
      <c r="M98" s="53" t="s">
        <v>2791</v>
      </c>
      <c r="N98" s="48"/>
      <c r="O98" s="48"/>
      <c r="P98" s="48"/>
      <c r="Q98" s="48"/>
      <c r="R98" s="48"/>
      <c r="S98" s="48" t="s">
        <v>2800</v>
      </c>
      <c r="T98" s="48"/>
    </row>
    <row r="99" spans="1:20" ht="15.75" x14ac:dyDescent="0.25">
      <c r="A99" s="53">
        <v>86</v>
      </c>
      <c r="B99" s="53" t="s">
        <v>2792</v>
      </c>
      <c r="C99" s="40" t="s">
        <v>2265</v>
      </c>
      <c r="D99" s="49" t="s">
        <v>2871</v>
      </c>
      <c r="E99" s="48" t="s">
        <v>2852</v>
      </c>
      <c r="F99" s="48" t="s">
        <v>2853</v>
      </c>
      <c r="G99" s="41">
        <v>54.5</v>
      </c>
      <c r="H99" s="42" t="s">
        <v>586</v>
      </c>
      <c r="I99" s="50">
        <v>45842</v>
      </c>
      <c r="J99" s="48"/>
      <c r="K99" s="48" t="s">
        <v>2773</v>
      </c>
      <c r="L99" s="48"/>
      <c r="M99" s="48" t="s">
        <v>2754</v>
      </c>
      <c r="N99" s="48"/>
      <c r="O99" s="48"/>
      <c r="P99" s="48"/>
      <c r="Q99" s="48"/>
      <c r="R99" s="48"/>
      <c r="S99" s="48" t="s">
        <v>2800</v>
      </c>
      <c r="T99" s="48"/>
    </row>
    <row r="100" spans="1:20" ht="15.75" x14ac:dyDescent="0.25">
      <c r="A100" s="53">
        <v>87</v>
      </c>
      <c r="B100" s="48" t="s">
        <v>2798</v>
      </c>
      <c r="C100" s="5" t="s">
        <v>2476</v>
      </c>
      <c r="D100" s="4" t="s">
        <v>2477</v>
      </c>
      <c r="E100" s="6">
        <v>25</v>
      </c>
      <c r="F100" s="6">
        <v>211</v>
      </c>
      <c r="G100" s="6">
        <v>572.29999999999995</v>
      </c>
      <c r="H100" s="6" t="s">
        <v>51</v>
      </c>
      <c r="I100" s="7">
        <v>45819</v>
      </c>
      <c r="J100" s="48"/>
      <c r="K100" s="48" t="s">
        <v>2773</v>
      </c>
      <c r="L100" s="48" t="s">
        <v>62</v>
      </c>
      <c r="M100" s="53" t="s">
        <v>2791</v>
      </c>
      <c r="N100" s="48"/>
      <c r="O100" s="48"/>
      <c r="P100" s="48"/>
      <c r="Q100" s="48"/>
      <c r="R100" s="48"/>
      <c r="S100" s="48" t="s">
        <v>2800</v>
      </c>
      <c r="T100" s="48"/>
    </row>
    <row r="101" spans="1:20" ht="15.75" x14ac:dyDescent="0.25">
      <c r="A101" s="48">
        <v>88</v>
      </c>
      <c r="B101" s="48" t="s">
        <v>2798</v>
      </c>
      <c r="C101" s="48" t="s">
        <v>655</v>
      </c>
      <c r="D101" s="49" t="s">
        <v>2881</v>
      </c>
      <c r="E101" s="48">
        <v>4</v>
      </c>
      <c r="F101" s="48">
        <v>44</v>
      </c>
      <c r="G101" s="48">
        <v>952.9</v>
      </c>
      <c r="H101" s="3" t="s">
        <v>75</v>
      </c>
      <c r="I101" s="50">
        <v>45554</v>
      </c>
      <c r="J101" s="48"/>
      <c r="K101" s="48"/>
      <c r="L101" s="48" t="s">
        <v>1</v>
      </c>
      <c r="M101" s="48" t="s">
        <v>2882</v>
      </c>
      <c r="N101" s="50">
        <v>45838</v>
      </c>
      <c r="O101" s="50">
        <v>45842</v>
      </c>
      <c r="P101" s="50">
        <v>45842</v>
      </c>
      <c r="Q101" s="48">
        <v>2216</v>
      </c>
      <c r="R101" s="48">
        <v>1248329</v>
      </c>
      <c r="S101" s="52"/>
      <c r="T101" s="48"/>
    </row>
    <row r="102" spans="1:20" ht="15.75" x14ac:dyDescent="0.25">
      <c r="A102" s="48">
        <v>89</v>
      </c>
      <c r="B102" s="48" t="s">
        <v>2798</v>
      </c>
      <c r="C102" s="5" t="s">
        <v>1733</v>
      </c>
      <c r="D102" s="4" t="s">
        <v>1734</v>
      </c>
      <c r="E102" s="6">
        <v>4</v>
      </c>
      <c r="F102" s="6">
        <v>56</v>
      </c>
      <c r="G102" s="6">
        <v>4387.3</v>
      </c>
      <c r="H102" s="6" t="s">
        <v>75</v>
      </c>
      <c r="I102" s="7">
        <v>45772</v>
      </c>
      <c r="J102" s="48"/>
      <c r="K102" s="48"/>
      <c r="L102" s="48" t="s">
        <v>1</v>
      </c>
      <c r="M102" s="48" t="s">
        <v>101</v>
      </c>
      <c r="N102" s="50">
        <v>45838</v>
      </c>
      <c r="O102" s="50">
        <v>45842</v>
      </c>
      <c r="P102" s="50">
        <v>45842</v>
      </c>
      <c r="Q102" s="48">
        <v>2222</v>
      </c>
      <c r="R102" s="48">
        <v>2631612</v>
      </c>
      <c r="S102" s="52"/>
      <c r="T102" s="48"/>
    </row>
    <row r="103" spans="1:20" ht="15.75" x14ac:dyDescent="0.25">
      <c r="A103" s="48">
        <v>90</v>
      </c>
      <c r="B103" s="48" t="s">
        <v>2782</v>
      </c>
      <c r="C103" s="48" t="s">
        <v>2884</v>
      </c>
      <c r="D103" s="49" t="s">
        <v>194</v>
      </c>
      <c r="E103" s="48">
        <v>9</v>
      </c>
      <c r="F103" s="48">
        <v>1299</v>
      </c>
      <c r="G103" s="48">
        <v>1557</v>
      </c>
      <c r="H103" s="6" t="s">
        <v>75</v>
      </c>
      <c r="I103" s="50">
        <v>45842</v>
      </c>
      <c r="J103" s="48"/>
      <c r="K103" s="48" t="s">
        <v>3005</v>
      </c>
      <c r="L103" s="48" t="s">
        <v>1</v>
      </c>
      <c r="M103" s="48" t="s">
        <v>101</v>
      </c>
      <c r="N103" s="48"/>
      <c r="O103" s="48"/>
      <c r="P103" s="48"/>
      <c r="Q103" s="48"/>
      <c r="R103" s="48"/>
      <c r="S103" s="48" t="s">
        <v>2800</v>
      </c>
      <c r="T103" s="48"/>
    </row>
    <row r="104" spans="1:20" ht="15.75" x14ac:dyDescent="0.25">
      <c r="A104" s="48">
        <v>91</v>
      </c>
      <c r="B104" s="48" t="s">
        <v>2798</v>
      </c>
      <c r="C104" s="48" t="s">
        <v>2885</v>
      </c>
      <c r="D104" s="49" t="s">
        <v>2886</v>
      </c>
      <c r="E104" s="48">
        <v>19</v>
      </c>
      <c r="F104" s="48">
        <v>54</v>
      </c>
      <c r="G104" s="48">
        <v>2307.1999999999998</v>
      </c>
      <c r="H104" s="48" t="s">
        <v>586</v>
      </c>
      <c r="I104" s="50">
        <v>45842</v>
      </c>
      <c r="J104" s="48"/>
      <c r="K104" s="48" t="s">
        <v>2773</v>
      </c>
      <c r="L104" s="48" t="s">
        <v>62</v>
      </c>
      <c r="M104" s="53" t="s">
        <v>2791</v>
      </c>
      <c r="N104" s="48"/>
      <c r="O104" s="48"/>
      <c r="P104" s="48"/>
      <c r="Q104" s="48"/>
      <c r="R104" s="48"/>
      <c r="S104" s="48" t="s">
        <v>2800</v>
      </c>
      <c r="T104" s="48"/>
    </row>
    <row r="105" spans="1:20" ht="15.75" x14ac:dyDescent="0.25">
      <c r="A105" s="48">
        <v>92</v>
      </c>
      <c r="B105" s="48" t="s">
        <v>2798</v>
      </c>
      <c r="C105" s="48" t="s">
        <v>2887</v>
      </c>
      <c r="D105" s="49" t="s">
        <v>80</v>
      </c>
      <c r="E105" s="48">
        <v>11</v>
      </c>
      <c r="F105" s="48">
        <v>123</v>
      </c>
      <c r="G105" s="48">
        <v>541.1</v>
      </c>
      <c r="H105" s="48" t="s">
        <v>586</v>
      </c>
      <c r="I105" s="50">
        <v>45842</v>
      </c>
      <c r="J105" s="48"/>
      <c r="K105" s="48" t="s">
        <v>2773</v>
      </c>
      <c r="L105" s="48" t="s">
        <v>1</v>
      </c>
      <c r="M105" s="53" t="s">
        <v>2791</v>
      </c>
      <c r="N105" s="48"/>
      <c r="O105" s="48"/>
      <c r="P105" s="48"/>
      <c r="Q105" s="48"/>
      <c r="R105" s="48"/>
      <c r="S105" s="48" t="s">
        <v>2800</v>
      </c>
      <c r="T105" s="48"/>
    </row>
    <row r="106" spans="1:20" ht="15.75" x14ac:dyDescent="0.25">
      <c r="A106" s="48">
        <v>93</v>
      </c>
      <c r="B106" s="48" t="s">
        <v>2798</v>
      </c>
      <c r="C106" s="5" t="s">
        <v>2659</v>
      </c>
      <c r="D106" s="4" t="s">
        <v>2660</v>
      </c>
      <c r="E106" s="6">
        <v>20</v>
      </c>
      <c r="F106" s="6">
        <v>135</v>
      </c>
      <c r="G106" s="6">
        <v>725.2</v>
      </c>
      <c r="H106" s="6" t="s">
        <v>51</v>
      </c>
      <c r="I106" s="7">
        <v>45842</v>
      </c>
      <c r="J106" s="48"/>
      <c r="K106" s="48" t="s">
        <v>2773</v>
      </c>
      <c r="L106" s="48" t="s">
        <v>62</v>
      </c>
      <c r="M106" s="53" t="s">
        <v>2791</v>
      </c>
      <c r="N106" s="48"/>
      <c r="O106" s="48"/>
      <c r="P106" s="48"/>
      <c r="Q106" s="48"/>
      <c r="R106" s="48"/>
      <c r="S106" s="48" t="s">
        <v>2800</v>
      </c>
      <c r="T106" s="48"/>
    </row>
    <row r="107" spans="1:20" ht="15.75" x14ac:dyDescent="0.25">
      <c r="A107" s="48">
        <v>94</v>
      </c>
      <c r="B107" s="48" t="s">
        <v>2801</v>
      </c>
      <c r="C107" s="48" t="s">
        <v>1118</v>
      </c>
      <c r="D107" s="49" t="s">
        <v>1119</v>
      </c>
      <c r="E107" s="48">
        <v>45</v>
      </c>
      <c r="F107" s="48">
        <v>439</v>
      </c>
      <c r="G107" s="48">
        <v>682.5</v>
      </c>
      <c r="H107" s="6" t="s">
        <v>51</v>
      </c>
      <c r="I107" s="7">
        <v>45842</v>
      </c>
      <c r="J107" s="48" t="s">
        <v>3013</v>
      </c>
      <c r="K107" s="48" t="s">
        <v>2773</v>
      </c>
      <c r="L107" s="48" t="s">
        <v>62</v>
      </c>
      <c r="M107" s="48" t="s">
        <v>2888</v>
      </c>
      <c r="N107" s="48"/>
      <c r="O107" s="48"/>
      <c r="P107" s="48"/>
      <c r="Q107" s="48"/>
      <c r="R107" s="48"/>
      <c r="S107" s="48" t="s">
        <v>2800</v>
      </c>
      <c r="T107" s="48"/>
    </row>
    <row r="108" spans="1:20" ht="15.75" x14ac:dyDescent="0.25">
      <c r="A108" s="48">
        <v>95</v>
      </c>
      <c r="B108" s="48" t="s">
        <v>2801</v>
      </c>
      <c r="C108" s="48" t="s">
        <v>2889</v>
      </c>
      <c r="D108" s="49" t="s">
        <v>2890</v>
      </c>
      <c r="E108" s="48">
        <v>45</v>
      </c>
      <c r="F108" s="48">
        <v>440</v>
      </c>
      <c r="G108" s="48">
        <v>528.29999999999995</v>
      </c>
      <c r="H108" s="6" t="s">
        <v>51</v>
      </c>
      <c r="I108" s="7">
        <v>45842</v>
      </c>
      <c r="J108" s="48" t="s">
        <v>3013</v>
      </c>
      <c r="K108" s="48" t="s">
        <v>2773</v>
      </c>
      <c r="L108" s="48" t="s">
        <v>62</v>
      </c>
      <c r="M108" s="48" t="s">
        <v>2888</v>
      </c>
      <c r="O108" s="48"/>
      <c r="P108" s="48"/>
      <c r="Q108" s="48"/>
      <c r="R108" s="48"/>
      <c r="S108" s="48" t="s">
        <v>2800</v>
      </c>
      <c r="T108" s="48"/>
    </row>
    <row r="109" spans="1:20" ht="15.75" x14ac:dyDescent="0.25">
      <c r="A109" s="48">
        <v>96</v>
      </c>
      <c r="B109" s="48" t="s">
        <v>2801</v>
      </c>
      <c r="C109" s="48" t="s">
        <v>2891</v>
      </c>
      <c r="D109" s="49" t="s">
        <v>2892</v>
      </c>
      <c r="E109" s="48">
        <v>13</v>
      </c>
      <c r="F109" s="48">
        <v>388</v>
      </c>
      <c r="G109" s="48">
        <v>230.5</v>
      </c>
      <c r="H109" s="6" t="s">
        <v>51</v>
      </c>
      <c r="I109" s="7">
        <v>45842</v>
      </c>
      <c r="J109" s="48"/>
      <c r="K109" s="48" t="s">
        <v>2773</v>
      </c>
      <c r="L109" s="48" t="s">
        <v>1</v>
      </c>
      <c r="M109" s="48" t="s">
        <v>2888</v>
      </c>
      <c r="N109" s="48"/>
      <c r="O109" s="48"/>
      <c r="P109" s="48"/>
      <c r="Q109" s="48"/>
      <c r="R109" s="48"/>
      <c r="S109" s="48" t="s">
        <v>2800</v>
      </c>
      <c r="T109" s="48"/>
    </row>
    <row r="110" spans="1:20" ht="15.75" x14ac:dyDescent="0.25">
      <c r="A110" s="48">
        <v>97</v>
      </c>
      <c r="B110" s="48" t="s">
        <v>2792</v>
      </c>
      <c r="C110" s="48" t="s">
        <v>2632</v>
      </c>
      <c r="D110" s="49" t="s">
        <v>2893</v>
      </c>
      <c r="E110" s="48">
        <v>19</v>
      </c>
      <c r="F110" s="48">
        <v>37</v>
      </c>
      <c r="G110" s="48">
        <v>541</v>
      </c>
      <c r="H110" s="6" t="s">
        <v>75</v>
      </c>
      <c r="I110" s="7">
        <v>45842</v>
      </c>
      <c r="J110" s="48"/>
      <c r="K110" s="48" t="s">
        <v>2773</v>
      </c>
      <c r="L110" s="48" t="s">
        <v>2758</v>
      </c>
      <c r="M110" s="48" t="s">
        <v>2754</v>
      </c>
      <c r="N110" s="50">
        <v>45848</v>
      </c>
      <c r="O110" s="50">
        <v>45848</v>
      </c>
      <c r="P110" s="50">
        <v>45848</v>
      </c>
      <c r="Q110" s="48">
        <v>2289</v>
      </c>
      <c r="R110" s="48">
        <v>2370435</v>
      </c>
      <c r="S110" s="48" t="s">
        <v>2800</v>
      </c>
      <c r="T110" s="48"/>
    </row>
    <row r="111" spans="1:20" ht="15.75" x14ac:dyDescent="0.25">
      <c r="A111" s="48">
        <v>98</v>
      </c>
      <c r="B111" s="48" t="s">
        <v>2792</v>
      </c>
      <c r="C111" s="48" t="s">
        <v>2894</v>
      </c>
      <c r="D111" s="49" t="s">
        <v>2895</v>
      </c>
      <c r="E111" s="48">
        <v>4</v>
      </c>
      <c r="F111" s="48">
        <v>47</v>
      </c>
      <c r="G111" s="48">
        <v>484.4</v>
      </c>
      <c r="H111" s="6" t="s">
        <v>75</v>
      </c>
      <c r="I111" s="7">
        <v>45842</v>
      </c>
      <c r="J111" s="48"/>
      <c r="K111" s="48" t="s">
        <v>2773</v>
      </c>
      <c r="L111" s="48" t="s">
        <v>62</v>
      </c>
      <c r="M111" s="48" t="s">
        <v>2754</v>
      </c>
      <c r="N111" s="48"/>
      <c r="O111" s="48"/>
      <c r="P111" s="48"/>
      <c r="Q111" s="48"/>
      <c r="R111" s="48"/>
      <c r="S111" s="48" t="s">
        <v>2800</v>
      </c>
      <c r="T111" s="48"/>
    </row>
    <row r="112" spans="1:20" ht="15.75" x14ac:dyDescent="0.25">
      <c r="A112" s="48">
        <v>99</v>
      </c>
      <c r="B112" s="48" t="s">
        <v>2782</v>
      </c>
      <c r="C112" s="48" t="s">
        <v>2897</v>
      </c>
      <c r="D112" s="49" t="s">
        <v>2896</v>
      </c>
      <c r="E112" s="48">
        <v>9</v>
      </c>
      <c r="F112" s="48">
        <v>238</v>
      </c>
      <c r="G112" s="48">
        <v>2100.6</v>
      </c>
      <c r="H112" s="48" t="s">
        <v>586</v>
      </c>
      <c r="I112" s="7">
        <v>45842</v>
      </c>
      <c r="J112" s="48"/>
      <c r="K112" s="48" t="s">
        <v>2773</v>
      </c>
      <c r="L112" s="48" t="s">
        <v>153</v>
      </c>
      <c r="M112" s="48" t="s">
        <v>2888</v>
      </c>
      <c r="N112" s="48"/>
      <c r="O112" s="48"/>
      <c r="P112" s="48"/>
      <c r="Q112" s="48"/>
      <c r="R112" s="48"/>
      <c r="S112" s="48" t="s">
        <v>2800</v>
      </c>
      <c r="T112" s="48"/>
    </row>
    <row r="113" spans="1:20" ht="15.75" x14ac:dyDescent="0.25">
      <c r="A113" s="48">
        <v>100</v>
      </c>
      <c r="B113" s="48" t="s">
        <v>2782</v>
      </c>
      <c r="C113" s="48" t="s">
        <v>2898</v>
      </c>
      <c r="D113" s="49" t="s">
        <v>2899</v>
      </c>
      <c r="E113" s="48">
        <v>6</v>
      </c>
      <c r="F113" s="48">
        <v>448</v>
      </c>
      <c r="G113" s="48">
        <v>226.9</v>
      </c>
      <c r="H113" s="48" t="s">
        <v>586</v>
      </c>
      <c r="I113" s="7">
        <v>45842</v>
      </c>
      <c r="J113" s="48"/>
      <c r="K113" s="48" t="s">
        <v>2773</v>
      </c>
      <c r="L113" s="48" t="s">
        <v>62</v>
      </c>
      <c r="M113" s="48" t="s">
        <v>2888</v>
      </c>
      <c r="N113" s="48"/>
      <c r="O113" s="48"/>
      <c r="P113" s="48"/>
      <c r="Q113" s="48"/>
      <c r="R113" s="48"/>
      <c r="S113" s="48" t="s">
        <v>2800</v>
      </c>
      <c r="T113" s="48"/>
    </row>
    <row r="114" spans="1:20" ht="15.75" x14ac:dyDescent="0.25">
      <c r="A114" s="48">
        <v>101</v>
      </c>
      <c r="B114" s="48" t="s">
        <v>2798</v>
      </c>
      <c r="C114" s="5" t="s">
        <v>2261</v>
      </c>
      <c r="D114" s="4" t="s">
        <v>2262</v>
      </c>
      <c r="E114" s="6">
        <v>38</v>
      </c>
      <c r="F114" s="6">
        <v>69</v>
      </c>
      <c r="G114" s="6">
        <v>454.5</v>
      </c>
      <c r="H114" s="6" t="s">
        <v>51</v>
      </c>
      <c r="I114" s="7">
        <v>45805</v>
      </c>
      <c r="J114" s="48" t="s">
        <v>2900</v>
      </c>
      <c r="K114" s="48"/>
      <c r="L114" s="48"/>
      <c r="M114" s="48"/>
      <c r="N114" s="48"/>
      <c r="O114" s="48"/>
      <c r="P114" s="48"/>
      <c r="Q114" s="48"/>
      <c r="R114" s="48"/>
      <c r="S114" s="52"/>
      <c r="T114" s="48"/>
    </row>
    <row r="115" spans="1:20" ht="15.75" x14ac:dyDescent="0.25">
      <c r="A115" s="48">
        <v>102</v>
      </c>
      <c r="B115" s="48" t="s">
        <v>2798</v>
      </c>
      <c r="C115" s="48" t="s">
        <v>2901</v>
      </c>
      <c r="D115" s="49"/>
      <c r="E115" s="48">
        <v>41</v>
      </c>
      <c r="F115" s="48" t="s">
        <v>2902</v>
      </c>
      <c r="G115" s="48" t="s">
        <v>2903</v>
      </c>
      <c r="H115" s="48" t="s">
        <v>199</v>
      </c>
      <c r="I115" s="50"/>
      <c r="J115" s="48"/>
      <c r="K115" s="48"/>
      <c r="L115" s="48" t="s">
        <v>1</v>
      </c>
      <c r="M115" s="48" t="s">
        <v>180</v>
      </c>
      <c r="N115" s="50">
        <v>45845</v>
      </c>
      <c r="O115" s="50">
        <v>45845</v>
      </c>
      <c r="P115" s="50">
        <v>45845</v>
      </c>
      <c r="Q115" s="48">
        <v>2234</v>
      </c>
      <c r="R115" s="48">
        <v>4210331</v>
      </c>
      <c r="S115" s="52"/>
      <c r="T115" s="48"/>
    </row>
    <row r="116" spans="1:20" ht="15.75" x14ac:dyDescent="0.25">
      <c r="A116" s="48">
        <v>103</v>
      </c>
      <c r="B116" s="48" t="s">
        <v>2792</v>
      </c>
      <c r="C116" s="48" t="s">
        <v>1216</v>
      </c>
      <c r="D116" s="49" t="s">
        <v>2904</v>
      </c>
      <c r="E116" s="48">
        <v>21</v>
      </c>
      <c r="F116" s="48">
        <v>123</v>
      </c>
      <c r="G116" s="48">
        <v>45</v>
      </c>
      <c r="H116" s="48" t="s">
        <v>2429</v>
      </c>
      <c r="I116" s="50">
        <v>45845</v>
      </c>
      <c r="J116" s="48"/>
      <c r="K116" s="48" t="s">
        <v>2773</v>
      </c>
      <c r="L116" s="48" t="s">
        <v>2905</v>
      </c>
      <c r="M116" s="48" t="s">
        <v>2754</v>
      </c>
      <c r="N116" s="48"/>
      <c r="O116" s="48"/>
      <c r="P116" s="48"/>
      <c r="Q116" s="48"/>
      <c r="R116" s="48"/>
      <c r="S116" s="48" t="s">
        <v>2800</v>
      </c>
      <c r="T116" s="48"/>
    </row>
    <row r="117" spans="1:20" ht="15.75" x14ac:dyDescent="0.25">
      <c r="A117" s="48">
        <v>104</v>
      </c>
      <c r="B117" s="48" t="s">
        <v>2792</v>
      </c>
      <c r="C117" s="48" t="s">
        <v>2906</v>
      </c>
      <c r="D117" s="49" t="s">
        <v>2907</v>
      </c>
      <c r="E117" s="48">
        <v>4</v>
      </c>
      <c r="F117" s="48">
        <v>32</v>
      </c>
      <c r="G117" s="48">
        <v>24.7</v>
      </c>
      <c r="H117" s="48" t="s">
        <v>2429</v>
      </c>
      <c r="I117" s="50">
        <v>45845</v>
      </c>
      <c r="J117" s="48"/>
      <c r="K117" s="48"/>
      <c r="L117" s="48" t="s">
        <v>52</v>
      </c>
      <c r="M117" s="48" t="s">
        <v>2908</v>
      </c>
      <c r="N117" s="50">
        <v>45845</v>
      </c>
      <c r="O117" s="50">
        <v>45845</v>
      </c>
      <c r="P117" s="50">
        <v>45845</v>
      </c>
      <c r="Q117" s="48">
        <v>2241</v>
      </c>
      <c r="R117" s="48">
        <v>2833958</v>
      </c>
      <c r="S117" s="52"/>
      <c r="T117" s="48"/>
    </row>
    <row r="118" spans="1:20" ht="15.75" x14ac:dyDescent="0.25">
      <c r="A118" s="48">
        <v>105</v>
      </c>
      <c r="B118" s="55" t="s">
        <v>2794</v>
      </c>
      <c r="C118" s="5" t="s">
        <v>2456</v>
      </c>
      <c r="D118" s="4" t="s">
        <v>2457</v>
      </c>
      <c r="E118" s="6">
        <v>27</v>
      </c>
      <c r="F118" s="6">
        <v>97</v>
      </c>
      <c r="G118" s="6">
        <v>180.3</v>
      </c>
      <c r="H118" s="6" t="s">
        <v>279</v>
      </c>
      <c r="I118" s="7">
        <v>45819</v>
      </c>
      <c r="J118" s="48"/>
      <c r="K118" s="48"/>
      <c r="L118" s="48" t="s">
        <v>1</v>
      </c>
      <c r="M118" s="48" t="s">
        <v>2842</v>
      </c>
      <c r="N118" s="50">
        <v>45845</v>
      </c>
      <c r="O118" s="50">
        <v>45845</v>
      </c>
      <c r="P118" s="50">
        <v>45845</v>
      </c>
      <c r="Q118" s="48">
        <v>2238</v>
      </c>
      <c r="R118" s="48">
        <v>809727</v>
      </c>
      <c r="S118" s="52"/>
      <c r="T118" s="48"/>
    </row>
    <row r="119" spans="1:20" ht="15.75" x14ac:dyDescent="0.25">
      <c r="A119" s="48">
        <v>106</v>
      </c>
      <c r="B119" s="48" t="s">
        <v>2792</v>
      </c>
      <c r="C119" s="5" t="s">
        <v>1333</v>
      </c>
      <c r="D119" s="4" t="s">
        <v>1334</v>
      </c>
      <c r="E119" s="6">
        <v>12</v>
      </c>
      <c r="F119" s="6">
        <v>470</v>
      </c>
      <c r="G119" s="6">
        <v>150.80000000000001</v>
      </c>
      <c r="H119" s="6" t="s">
        <v>55</v>
      </c>
      <c r="I119" s="7">
        <v>45748</v>
      </c>
      <c r="J119" s="48"/>
      <c r="K119" s="48"/>
      <c r="L119" s="48" t="s">
        <v>52</v>
      </c>
      <c r="M119" s="48" t="s">
        <v>2908</v>
      </c>
      <c r="N119" s="50">
        <v>45838</v>
      </c>
      <c r="O119" s="50">
        <v>45845</v>
      </c>
      <c r="P119" s="50">
        <v>45845</v>
      </c>
      <c r="Q119" s="48">
        <v>2242</v>
      </c>
      <c r="R119" s="48">
        <v>2523992</v>
      </c>
      <c r="S119" s="52"/>
      <c r="T119" s="48"/>
    </row>
    <row r="120" spans="1:20" ht="15.75" x14ac:dyDescent="0.25">
      <c r="A120" s="48">
        <v>107</v>
      </c>
      <c r="B120" s="48" t="s">
        <v>2798</v>
      </c>
      <c r="C120" s="48" t="s">
        <v>2911</v>
      </c>
      <c r="D120" s="49" t="s">
        <v>2912</v>
      </c>
      <c r="E120" s="48">
        <v>29</v>
      </c>
      <c r="F120" s="48">
        <v>28</v>
      </c>
      <c r="G120" s="48">
        <v>521.29999999999995</v>
      </c>
      <c r="H120" s="48" t="s">
        <v>586</v>
      </c>
      <c r="I120" s="50">
        <v>45845</v>
      </c>
      <c r="J120" s="48"/>
      <c r="K120" s="48" t="s">
        <v>2773</v>
      </c>
      <c r="L120" s="48" t="s">
        <v>62</v>
      </c>
      <c r="M120" s="53" t="s">
        <v>2791</v>
      </c>
      <c r="N120" s="48"/>
      <c r="O120" s="48"/>
      <c r="P120" s="48"/>
      <c r="Q120" s="48"/>
      <c r="R120" s="48"/>
      <c r="S120" s="48" t="s">
        <v>2800</v>
      </c>
      <c r="T120" s="48"/>
    </row>
    <row r="121" spans="1:20" ht="15.75" x14ac:dyDescent="0.25">
      <c r="A121" s="48">
        <v>108</v>
      </c>
      <c r="B121" s="48" t="s">
        <v>2798</v>
      </c>
      <c r="C121" s="48" t="s">
        <v>2913</v>
      </c>
      <c r="D121" s="49" t="s">
        <v>2914</v>
      </c>
      <c r="E121" s="48">
        <v>29</v>
      </c>
      <c r="F121" s="48">
        <v>245</v>
      </c>
      <c r="G121" s="48">
        <v>158.4</v>
      </c>
      <c r="H121" s="48" t="s">
        <v>586</v>
      </c>
      <c r="I121" s="50">
        <v>45845</v>
      </c>
      <c r="J121" s="48"/>
      <c r="K121" s="48" t="s">
        <v>2773</v>
      </c>
      <c r="L121" s="48" t="s">
        <v>62</v>
      </c>
      <c r="M121" s="53" t="s">
        <v>2791</v>
      </c>
      <c r="N121" s="48"/>
      <c r="O121" s="48"/>
      <c r="P121" s="48"/>
      <c r="Q121" s="48"/>
      <c r="R121" s="48"/>
      <c r="S121" s="48" t="s">
        <v>2800</v>
      </c>
      <c r="T121" s="48"/>
    </row>
    <row r="122" spans="1:20" ht="15.75" x14ac:dyDescent="0.25">
      <c r="A122" s="48">
        <v>109</v>
      </c>
      <c r="B122" s="48" t="s">
        <v>2798</v>
      </c>
      <c r="C122" s="48" t="s">
        <v>2915</v>
      </c>
      <c r="D122" s="49" t="s">
        <v>2916</v>
      </c>
      <c r="E122" s="48">
        <v>19</v>
      </c>
      <c r="F122" s="48">
        <v>20</v>
      </c>
      <c r="G122" s="48">
        <v>2687.5</v>
      </c>
      <c r="H122" s="6" t="s">
        <v>75</v>
      </c>
      <c r="I122" s="50">
        <v>45845</v>
      </c>
      <c r="J122" s="48"/>
      <c r="K122" s="48" t="s">
        <v>2773</v>
      </c>
      <c r="L122" s="48" t="s">
        <v>1</v>
      </c>
      <c r="M122" s="53" t="s">
        <v>2791</v>
      </c>
      <c r="N122" s="48"/>
      <c r="O122" s="48"/>
      <c r="P122" s="48"/>
      <c r="Q122" s="48" t="s">
        <v>2156</v>
      </c>
      <c r="R122" s="48"/>
      <c r="S122" s="48" t="s">
        <v>2800</v>
      </c>
      <c r="T122" s="48"/>
    </row>
    <row r="123" spans="1:20" ht="15.75" x14ac:dyDescent="0.25">
      <c r="A123" s="48">
        <v>110</v>
      </c>
      <c r="B123" s="48" t="s">
        <v>2794</v>
      </c>
      <c r="C123" s="48" t="s">
        <v>2917</v>
      </c>
      <c r="D123" s="49" t="s">
        <v>2918</v>
      </c>
      <c r="E123" s="48">
        <v>9</v>
      </c>
      <c r="F123" s="48">
        <v>832</v>
      </c>
      <c r="G123" s="48">
        <v>357.6</v>
      </c>
      <c r="H123" s="48" t="s">
        <v>586</v>
      </c>
      <c r="I123" s="50">
        <v>45845</v>
      </c>
      <c r="J123" s="48"/>
      <c r="K123" s="48" t="s">
        <v>2773</v>
      </c>
      <c r="L123" s="48" t="s">
        <v>62</v>
      </c>
      <c r="M123" s="48" t="s">
        <v>2796</v>
      </c>
      <c r="N123" s="48"/>
      <c r="O123" s="48"/>
      <c r="P123" s="48"/>
      <c r="Q123" s="48"/>
      <c r="R123" s="48"/>
      <c r="S123" s="48" t="s">
        <v>2800</v>
      </c>
      <c r="T123" s="48"/>
    </row>
    <row r="124" spans="1:20" ht="15.75" x14ac:dyDescent="0.25">
      <c r="A124" s="48">
        <v>111</v>
      </c>
      <c r="B124" s="48" t="s">
        <v>2794</v>
      </c>
      <c r="C124" s="48" t="s">
        <v>2919</v>
      </c>
      <c r="D124" s="49" t="s">
        <v>2920</v>
      </c>
      <c r="E124" s="48">
        <v>12</v>
      </c>
      <c r="F124" s="48">
        <v>56</v>
      </c>
      <c r="G124" s="48">
        <v>1042.4000000000001</v>
      </c>
      <c r="H124" s="48" t="s">
        <v>586</v>
      </c>
      <c r="I124" s="50">
        <v>45845</v>
      </c>
      <c r="J124" s="48"/>
      <c r="K124" s="48" t="s">
        <v>2773</v>
      </c>
      <c r="L124" s="48" t="s">
        <v>62</v>
      </c>
      <c r="M124" s="48" t="s">
        <v>2796</v>
      </c>
      <c r="N124" s="48"/>
      <c r="O124" s="48"/>
      <c r="P124" s="48"/>
      <c r="Q124" s="48"/>
      <c r="R124" s="48"/>
      <c r="S124" s="48" t="s">
        <v>2800</v>
      </c>
      <c r="T124" s="48"/>
    </row>
    <row r="125" spans="1:20" ht="15.75" x14ac:dyDescent="0.25">
      <c r="A125" s="48">
        <v>112</v>
      </c>
      <c r="B125" s="48" t="s">
        <v>2794</v>
      </c>
      <c r="C125" s="48" t="s">
        <v>1509</v>
      </c>
      <c r="D125" s="49"/>
      <c r="E125" s="48">
        <v>15</v>
      </c>
      <c r="F125" s="48">
        <v>592</v>
      </c>
      <c r="G125" s="48">
        <v>351.1</v>
      </c>
      <c r="H125" s="6" t="s">
        <v>75</v>
      </c>
      <c r="I125" s="50">
        <v>45845</v>
      </c>
      <c r="J125" s="48"/>
      <c r="K125" s="48" t="s">
        <v>2773</v>
      </c>
      <c r="L125" s="48" t="s">
        <v>62</v>
      </c>
      <c r="M125" s="48" t="s">
        <v>2796</v>
      </c>
      <c r="N125" s="48"/>
      <c r="O125" s="48"/>
      <c r="P125" s="48"/>
      <c r="Q125" s="48"/>
      <c r="R125" s="48"/>
      <c r="S125" s="48" t="s">
        <v>2800</v>
      </c>
      <c r="T125" s="48"/>
    </row>
    <row r="126" spans="1:20" ht="15.75" x14ac:dyDescent="0.25">
      <c r="A126" s="48">
        <v>113</v>
      </c>
      <c r="B126" s="48" t="s">
        <v>2782</v>
      </c>
      <c r="C126" s="48" t="s">
        <v>2921</v>
      </c>
      <c r="D126" s="49" t="s">
        <v>2922</v>
      </c>
      <c r="E126" s="48">
        <v>19</v>
      </c>
      <c r="F126" s="48">
        <v>75</v>
      </c>
      <c r="G126" s="48">
        <v>2481.3000000000002</v>
      </c>
      <c r="H126" s="48" t="s">
        <v>199</v>
      </c>
      <c r="I126" s="50">
        <v>45845</v>
      </c>
      <c r="J126" s="48"/>
      <c r="K126" s="48" t="s">
        <v>2773</v>
      </c>
      <c r="L126" s="48" t="s">
        <v>153</v>
      </c>
      <c r="M126" s="48" t="s">
        <v>2888</v>
      </c>
      <c r="N126" s="48"/>
      <c r="O126" s="48"/>
      <c r="P126" s="48"/>
      <c r="Q126" s="48"/>
      <c r="R126" s="48"/>
      <c r="S126" s="48" t="s">
        <v>2800</v>
      </c>
      <c r="T126" s="48"/>
    </row>
    <row r="127" spans="1:20" ht="15.75" x14ac:dyDescent="0.25">
      <c r="A127" s="48">
        <v>114</v>
      </c>
      <c r="B127" s="48" t="s">
        <v>2792</v>
      </c>
      <c r="C127" s="48" t="s">
        <v>401</v>
      </c>
      <c r="D127" s="49" t="s">
        <v>2923</v>
      </c>
      <c r="E127" s="48">
        <v>7</v>
      </c>
      <c r="F127" s="48">
        <v>44</v>
      </c>
      <c r="G127" s="48">
        <v>274.3</v>
      </c>
      <c r="H127" s="6" t="s">
        <v>75</v>
      </c>
      <c r="I127" s="50">
        <v>45845</v>
      </c>
      <c r="J127" s="48"/>
      <c r="K127" s="48" t="s">
        <v>2773</v>
      </c>
      <c r="L127" s="48" t="s">
        <v>62</v>
      </c>
      <c r="M127" s="48" t="s">
        <v>2754</v>
      </c>
      <c r="N127" s="48"/>
      <c r="O127" s="48"/>
      <c r="P127" s="48"/>
      <c r="Q127" s="48"/>
      <c r="R127" s="48"/>
      <c r="S127" s="48" t="s">
        <v>2800</v>
      </c>
      <c r="T127" s="48"/>
    </row>
    <row r="128" spans="1:20" ht="15.75" x14ac:dyDescent="0.25">
      <c r="A128" s="48">
        <v>115</v>
      </c>
      <c r="B128" s="48" t="s">
        <v>2792</v>
      </c>
      <c r="C128" s="48" t="s">
        <v>2924</v>
      </c>
      <c r="D128" s="49" t="s">
        <v>2904</v>
      </c>
      <c r="E128" s="48">
        <v>21</v>
      </c>
      <c r="F128" s="48">
        <v>123</v>
      </c>
      <c r="G128" s="48">
        <v>45</v>
      </c>
      <c r="H128" s="48" t="s">
        <v>2429</v>
      </c>
      <c r="I128" s="50">
        <v>45845</v>
      </c>
      <c r="J128" s="48"/>
      <c r="K128" s="48" t="s">
        <v>2773</v>
      </c>
      <c r="L128" s="48" t="s">
        <v>2758</v>
      </c>
      <c r="M128" s="48" t="s">
        <v>2754</v>
      </c>
      <c r="N128" s="48"/>
      <c r="O128" s="48"/>
      <c r="P128" s="48"/>
      <c r="Q128" s="48"/>
      <c r="R128" s="48"/>
      <c r="S128" s="48" t="s">
        <v>2800</v>
      </c>
      <c r="T128" s="48"/>
    </row>
    <row r="129" spans="1:20" ht="15.75" x14ac:dyDescent="0.25">
      <c r="A129" s="48">
        <v>116</v>
      </c>
      <c r="B129" s="48" t="s">
        <v>2792</v>
      </c>
      <c r="C129" s="48" t="s">
        <v>2925</v>
      </c>
      <c r="D129" s="49" t="s">
        <v>2904</v>
      </c>
      <c r="E129" s="48">
        <v>21</v>
      </c>
      <c r="F129" s="48">
        <v>125</v>
      </c>
      <c r="G129" s="48">
        <v>18</v>
      </c>
      <c r="H129" s="48" t="s">
        <v>2429</v>
      </c>
      <c r="I129" s="50">
        <v>45845</v>
      </c>
      <c r="J129" s="48"/>
      <c r="K129" s="48" t="s">
        <v>2773</v>
      </c>
      <c r="L129" s="48" t="s">
        <v>2905</v>
      </c>
      <c r="M129" s="48" t="s">
        <v>2754</v>
      </c>
      <c r="N129" s="48"/>
      <c r="O129" s="48"/>
      <c r="P129" s="48"/>
      <c r="Q129" s="48"/>
      <c r="R129" s="48"/>
      <c r="S129" s="48" t="s">
        <v>2800</v>
      </c>
      <c r="T129" s="48"/>
    </row>
    <row r="130" spans="1:20" ht="15.75" x14ac:dyDescent="0.25">
      <c r="A130" s="48">
        <v>117</v>
      </c>
      <c r="B130" s="48" t="s">
        <v>2792</v>
      </c>
      <c r="C130" s="48" t="s">
        <v>2926</v>
      </c>
      <c r="D130" s="49" t="s">
        <v>2927</v>
      </c>
      <c r="E130" s="48">
        <v>29</v>
      </c>
      <c r="F130" s="48">
        <v>171</v>
      </c>
      <c r="G130" s="48">
        <v>395</v>
      </c>
      <c r="H130" s="48" t="s">
        <v>586</v>
      </c>
      <c r="I130" s="50">
        <v>45845</v>
      </c>
      <c r="J130" s="48"/>
      <c r="K130" s="48" t="s">
        <v>2773</v>
      </c>
      <c r="L130" s="48" t="s">
        <v>62</v>
      </c>
      <c r="M130" s="48" t="s">
        <v>2754</v>
      </c>
      <c r="N130" s="48"/>
      <c r="O130" s="48"/>
      <c r="P130" s="48"/>
      <c r="Q130" s="48"/>
      <c r="R130" s="48"/>
      <c r="S130" s="48" t="s">
        <v>2800</v>
      </c>
      <c r="T130" s="48"/>
    </row>
    <row r="131" spans="1:20" ht="15.75" x14ac:dyDescent="0.25">
      <c r="A131" s="48">
        <v>118</v>
      </c>
      <c r="B131" s="48" t="s">
        <v>2792</v>
      </c>
      <c r="C131" s="48" t="s">
        <v>2928</v>
      </c>
      <c r="D131" s="49" t="s">
        <v>2929</v>
      </c>
      <c r="E131" s="48">
        <v>25</v>
      </c>
      <c r="F131" s="48">
        <v>1</v>
      </c>
      <c r="G131" s="48">
        <v>347.9</v>
      </c>
      <c r="H131" s="6" t="s">
        <v>75</v>
      </c>
      <c r="I131" s="50">
        <v>45845</v>
      </c>
      <c r="J131" s="48"/>
      <c r="K131" s="48" t="s">
        <v>2773</v>
      </c>
      <c r="L131" s="48" t="s">
        <v>62</v>
      </c>
      <c r="M131" s="48" t="s">
        <v>2754</v>
      </c>
      <c r="N131" s="48"/>
      <c r="O131" s="48"/>
      <c r="P131" s="48"/>
      <c r="Q131" s="48"/>
      <c r="R131" s="48"/>
      <c r="S131" s="48" t="s">
        <v>2800</v>
      </c>
      <c r="T131" s="48"/>
    </row>
    <row r="132" spans="1:20" ht="15.75" x14ac:dyDescent="0.25">
      <c r="A132" s="48">
        <v>119</v>
      </c>
      <c r="B132" s="48" t="s">
        <v>2801</v>
      </c>
      <c r="C132" s="48" t="s">
        <v>2930</v>
      </c>
      <c r="D132" s="49" t="s">
        <v>2931</v>
      </c>
      <c r="E132" s="48">
        <v>41</v>
      </c>
      <c r="F132" s="48">
        <v>312</v>
      </c>
      <c r="G132" s="48">
        <v>151</v>
      </c>
      <c r="H132" s="48" t="s">
        <v>586</v>
      </c>
      <c r="I132" s="50">
        <v>45845</v>
      </c>
      <c r="J132" s="48"/>
      <c r="K132" s="48" t="s">
        <v>2773</v>
      </c>
      <c r="L132" s="48" t="s">
        <v>62</v>
      </c>
      <c r="M132" s="48" t="s">
        <v>2888</v>
      </c>
      <c r="N132" s="48"/>
      <c r="O132" s="48"/>
      <c r="P132" s="48"/>
      <c r="Q132" s="48"/>
      <c r="R132" s="48"/>
      <c r="S132" s="48" t="s">
        <v>2800</v>
      </c>
      <c r="T132" s="48"/>
    </row>
    <row r="133" spans="1:20" ht="15.75" x14ac:dyDescent="0.25">
      <c r="A133" s="48">
        <v>120</v>
      </c>
      <c r="B133" s="48" t="s">
        <v>2801</v>
      </c>
      <c r="C133" s="48" t="s">
        <v>2930</v>
      </c>
      <c r="D133" s="49" t="s">
        <v>2931</v>
      </c>
      <c r="E133" s="48">
        <v>13</v>
      </c>
      <c r="F133" s="48">
        <v>252</v>
      </c>
      <c r="G133" s="48">
        <v>1673.2</v>
      </c>
      <c r="H133" s="48" t="s">
        <v>586</v>
      </c>
      <c r="I133" s="50">
        <v>45845</v>
      </c>
      <c r="J133" s="48"/>
      <c r="K133" s="48" t="s">
        <v>2773</v>
      </c>
      <c r="L133" s="48" t="s">
        <v>62</v>
      </c>
      <c r="M133" s="48" t="s">
        <v>2888</v>
      </c>
      <c r="N133" s="48"/>
      <c r="O133" s="48"/>
      <c r="P133" s="48"/>
      <c r="Q133" s="48"/>
      <c r="R133" s="48"/>
      <c r="S133" s="48" t="s">
        <v>2800</v>
      </c>
      <c r="T133" s="48"/>
    </row>
    <row r="134" spans="1:20" ht="15.75" x14ac:dyDescent="0.25">
      <c r="A134" s="48">
        <v>121</v>
      </c>
      <c r="B134" s="48" t="s">
        <v>2794</v>
      </c>
      <c r="C134" s="5" t="s">
        <v>2456</v>
      </c>
      <c r="D134" s="4" t="s">
        <v>2457</v>
      </c>
      <c r="E134" s="6">
        <v>27</v>
      </c>
      <c r="F134" s="6">
        <v>97</v>
      </c>
      <c r="G134" s="6">
        <v>180.3</v>
      </c>
      <c r="H134" s="6" t="s">
        <v>279</v>
      </c>
      <c r="I134" s="7">
        <v>45819</v>
      </c>
      <c r="J134" s="48"/>
      <c r="K134" s="48"/>
      <c r="L134" s="48" t="s">
        <v>1</v>
      </c>
      <c r="M134" s="48" t="s">
        <v>2754</v>
      </c>
      <c r="N134" s="50">
        <v>45838</v>
      </c>
      <c r="O134" s="50">
        <v>45845</v>
      </c>
      <c r="P134" s="50">
        <v>45845</v>
      </c>
      <c r="Q134" s="48">
        <v>2238</v>
      </c>
      <c r="R134" s="48">
        <v>809727</v>
      </c>
      <c r="S134" s="52"/>
      <c r="T134" s="48"/>
    </row>
    <row r="135" spans="1:20" ht="15.75" x14ac:dyDescent="0.25">
      <c r="A135" s="48">
        <v>122</v>
      </c>
      <c r="B135" s="48" t="s">
        <v>2798</v>
      </c>
      <c r="C135" s="48" t="s">
        <v>2932</v>
      </c>
      <c r="D135" s="49" t="s">
        <v>1560</v>
      </c>
      <c r="E135" s="48">
        <v>19</v>
      </c>
      <c r="F135" s="48">
        <v>70</v>
      </c>
      <c r="G135" s="48">
        <v>3662.7</v>
      </c>
      <c r="H135" s="48" t="s">
        <v>586</v>
      </c>
      <c r="I135" s="50">
        <v>45845</v>
      </c>
      <c r="J135" s="48"/>
      <c r="K135" s="48" t="s">
        <v>2773</v>
      </c>
      <c r="L135" s="48" t="s">
        <v>2905</v>
      </c>
      <c r="M135" s="53" t="s">
        <v>2791</v>
      </c>
      <c r="N135" s="48"/>
      <c r="O135" s="48"/>
      <c r="P135" s="48"/>
      <c r="Q135" s="48"/>
      <c r="R135" s="48"/>
      <c r="S135" s="48" t="s">
        <v>2800</v>
      </c>
      <c r="T135" s="48"/>
    </row>
    <row r="136" spans="1:20" ht="15.75" x14ac:dyDescent="0.25">
      <c r="A136" s="48">
        <v>123</v>
      </c>
      <c r="B136" s="48" t="s">
        <v>2801</v>
      </c>
      <c r="C136" s="48" t="s">
        <v>2933</v>
      </c>
      <c r="D136" s="49" t="s">
        <v>2934</v>
      </c>
      <c r="E136" s="48">
        <v>16</v>
      </c>
      <c r="F136" s="48">
        <v>101</v>
      </c>
      <c r="G136" s="48">
        <v>2606.1999999999998</v>
      </c>
      <c r="H136" s="48" t="s">
        <v>199</v>
      </c>
      <c r="I136" s="50">
        <v>45849</v>
      </c>
      <c r="J136" s="48" t="s">
        <v>3095</v>
      </c>
      <c r="K136" s="48" t="s">
        <v>2773</v>
      </c>
      <c r="L136" s="48" t="s">
        <v>3096</v>
      </c>
      <c r="M136" s="48" t="s">
        <v>2888</v>
      </c>
      <c r="N136" s="48"/>
      <c r="O136" s="48"/>
      <c r="P136" s="48"/>
      <c r="Q136" s="48"/>
      <c r="R136" s="48"/>
      <c r="S136" s="48" t="s">
        <v>2800</v>
      </c>
      <c r="T136" s="48"/>
    </row>
    <row r="137" spans="1:20" ht="15.75" x14ac:dyDescent="0.25">
      <c r="A137" s="48">
        <v>124</v>
      </c>
      <c r="B137" s="48" t="s">
        <v>2801</v>
      </c>
      <c r="C137" s="48" t="s">
        <v>2935</v>
      </c>
      <c r="D137" s="49" t="s">
        <v>2936</v>
      </c>
      <c r="E137" s="48">
        <v>45</v>
      </c>
      <c r="F137" s="48">
        <v>428</v>
      </c>
      <c r="G137" s="48">
        <v>651.1</v>
      </c>
      <c r="H137" s="48" t="s">
        <v>586</v>
      </c>
      <c r="I137" s="50">
        <v>45845</v>
      </c>
      <c r="J137" s="48"/>
      <c r="K137" s="48" t="s">
        <v>2773</v>
      </c>
      <c r="L137" s="48" t="s">
        <v>62</v>
      </c>
      <c r="M137" s="48" t="s">
        <v>2888</v>
      </c>
      <c r="N137" s="48"/>
      <c r="O137" s="48"/>
      <c r="P137" s="48"/>
      <c r="Q137" s="48"/>
      <c r="R137" s="48"/>
      <c r="S137" s="48" t="s">
        <v>2800</v>
      </c>
      <c r="T137" s="48"/>
    </row>
    <row r="138" spans="1:20" ht="15.75" x14ac:dyDescent="0.25">
      <c r="A138" s="48">
        <v>125</v>
      </c>
      <c r="B138" s="48" t="s">
        <v>2782</v>
      </c>
      <c r="C138" s="48" t="s">
        <v>2007</v>
      </c>
      <c r="D138" s="49" t="s">
        <v>2937</v>
      </c>
      <c r="E138" s="48">
        <v>7</v>
      </c>
      <c r="F138" s="48">
        <v>497</v>
      </c>
      <c r="G138" s="48">
        <v>970</v>
      </c>
      <c r="H138" s="48" t="s">
        <v>586</v>
      </c>
      <c r="I138" s="50">
        <v>45845</v>
      </c>
      <c r="J138" s="48"/>
      <c r="K138" s="48" t="s">
        <v>2773</v>
      </c>
      <c r="L138" s="48" t="s">
        <v>153</v>
      </c>
      <c r="M138" s="48" t="s">
        <v>2888</v>
      </c>
      <c r="N138" s="48"/>
      <c r="O138" s="48"/>
      <c r="P138" s="48"/>
      <c r="Q138" s="48"/>
      <c r="R138" s="48"/>
      <c r="S138" s="48" t="s">
        <v>2800</v>
      </c>
      <c r="T138" s="48"/>
    </row>
    <row r="139" spans="1:20" ht="15.75" x14ac:dyDescent="0.25">
      <c r="A139" s="48">
        <v>126</v>
      </c>
      <c r="B139" s="48" t="s">
        <v>2801</v>
      </c>
      <c r="C139" s="48" t="s">
        <v>2941</v>
      </c>
      <c r="D139" s="49" t="s">
        <v>2938</v>
      </c>
      <c r="E139" s="48">
        <v>38</v>
      </c>
      <c r="F139" s="48">
        <v>123</v>
      </c>
      <c r="G139" s="48">
        <v>149.4</v>
      </c>
      <c r="H139" s="48" t="s">
        <v>586</v>
      </c>
      <c r="I139" s="50">
        <v>45845</v>
      </c>
      <c r="J139" s="48"/>
      <c r="K139" s="48" t="s">
        <v>2773</v>
      </c>
      <c r="L139" s="48" t="s">
        <v>1</v>
      </c>
      <c r="M139" s="48" t="s">
        <v>2888</v>
      </c>
      <c r="N139" s="48"/>
      <c r="O139" s="48"/>
      <c r="P139" s="48"/>
      <c r="Q139" s="48"/>
      <c r="R139" s="48"/>
      <c r="S139" s="48" t="s">
        <v>2800</v>
      </c>
      <c r="T139" s="48"/>
    </row>
    <row r="140" spans="1:20" ht="15.75" x14ac:dyDescent="0.25">
      <c r="A140" s="48">
        <v>127</v>
      </c>
      <c r="B140" s="48" t="s">
        <v>2792</v>
      </c>
      <c r="C140" s="5" t="s">
        <v>1546</v>
      </c>
      <c r="D140" s="4"/>
      <c r="E140" s="6">
        <v>23</v>
      </c>
      <c r="F140" s="6">
        <v>141</v>
      </c>
      <c r="G140" s="6">
        <v>606.20000000000005</v>
      </c>
      <c r="H140" s="3" t="s">
        <v>75</v>
      </c>
      <c r="I140" s="7">
        <v>45818</v>
      </c>
      <c r="J140" s="48"/>
      <c r="K140" s="48"/>
      <c r="L140" s="48" t="s">
        <v>823</v>
      </c>
      <c r="M140" s="48" t="s">
        <v>2754</v>
      </c>
      <c r="N140" s="50">
        <v>45838</v>
      </c>
      <c r="O140" s="50">
        <v>45845</v>
      </c>
      <c r="P140" s="50">
        <v>45845</v>
      </c>
      <c r="Q140" s="48">
        <v>2254</v>
      </c>
      <c r="R140" s="48">
        <v>1771278</v>
      </c>
      <c r="S140" s="52"/>
      <c r="T140" s="48"/>
    </row>
    <row r="141" spans="1:20" ht="15.75" x14ac:dyDescent="0.25">
      <c r="A141" s="48">
        <v>128</v>
      </c>
      <c r="B141" s="48" t="s">
        <v>2801</v>
      </c>
      <c r="C141" s="48" t="s">
        <v>2942</v>
      </c>
      <c r="D141" s="49" t="s">
        <v>2943</v>
      </c>
      <c r="E141" s="48">
        <v>41</v>
      </c>
      <c r="F141" s="48">
        <v>1123</v>
      </c>
      <c r="G141" s="48">
        <v>161.80000000000001</v>
      </c>
      <c r="H141" s="3" t="s">
        <v>75</v>
      </c>
      <c r="I141" s="50">
        <v>45848</v>
      </c>
      <c r="J141" s="48"/>
      <c r="K141" s="48" t="s">
        <v>2773</v>
      </c>
      <c r="L141" s="48" t="s">
        <v>3010</v>
      </c>
      <c r="M141" s="48" t="s">
        <v>2888</v>
      </c>
      <c r="N141" s="48"/>
      <c r="O141" s="48"/>
      <c r="P141" s="48"/>
      <c r="Q141" s="48"/>
      <c r="R141" s="48"/>
      <c r="S141" s="48" t="s">
        <v>2800</v>
      </c>
      <c r="T141" s="48"/>
    </row>
    <row r="142" spans="1:20" ht="31.5" x14ac:dyDescent="0.25">
      <c r="A142" s="48">
        <v>129</v>
      </c>
      <c r="B142" s="48" t="s">
        <v>2792</v>
      </c>
      <c r="C142" s="5" t="s">
        <v>1574</v>
      </c>
      <c r="D142" s="4" t="s">
        <v>54</v>
      </c>
      <c r="E142" s="6">
        <v>22</v>
      </c>
      <c r="F142" s="6" t="s">
        <v>1575</v>
      </c>
      <c r="G142" s="6">
        <v>84.8</v>
      </c>
      <c r="H142" s="6" t="s">
        <v>55</v>
      </c>
      <c r="I142" s="7">
        <v>45762</v>
      </c>
      <c r="J142" s="48"/>
      <c r="K142" s="48"/>
      <c r="L142" s="48" t="s">
        <v>315</v>
      </c>
      <c r="M142" s="48" t="s">
        <v>2754</v>
      </c>
      <c r="N142" s="50">
        <v>45838</v>
      </c>
      <c r="O142" s="48"/>
      <c r="P142" s="48"/>
      <c r="Q142" s="48"/>
      <c r="R142" s="48"/>
      <c r="S142" s="52"/>
      <c r="T142" s="48"/>
    </row>
    <row r="143" spans="1:20" ht="15.75" x14ac:dyDescent="0.25">
      <c r="A143" s="48">
        <v>130</v>
      </c>
      <c r="B143" s="48" t="s">
        <v>2798</v>
      </c>
      <c r="C143" s="5" t="s">
        <v>896</v>
      </c>
      <c r="D143" s="4" t="s">
        <v>897</v>
      </c>
      <c r="E143" s="6">
        <v>43</v>
      </c>
      <c r="F143" s="6">
        <v>3</v>
      </c>
      <c r="G143" s="6">
        <v>717.4</v>
      </c>
      <c r="H143" s="6" t="s">
        <v>75</v>
      </c>
      <c r="I143" s="7">
        <v>45825</v>
      </c>
      <c r="J143" s="48"/>
      <c r="K143" s="48"/>
      <c r="L143" s="48" t="s">
        <v>153</v>
      </c>
      <c r="M143" s="48" t="s">
        <v>180</v>
      </c>
      <c r="N143" s="50">
        <v>45838</v>
      </c>
      <c r="O143" s="50">
        <v>45852</v>
      </c>
      <c r="P143" s="48"/>
      <c r="Q143" s="48">
        <v>2325</v>
      </c>
      <c r="R143" s="48"/>
      <c r="S143" s="52"/>
      <c r="T143" s="48"/>
    </row>
    <row r="144" spans="1:20" ht="31.5" x14ac:dyDescent="0.25">
      <c r="A144" s="48">
        <v>131</v>
      </c>
      <c r="B144" s="48" t="s">
        <v>2792</v>
      </c>
      <c r="C144" s="5" t="s">
        <v>1817</v>
      </c>
      <c r="D144" s="4" t="s">
        <v>1818</v>
      </c>
      <c r="E144" s="6">
        <v>14</v>
      </c>
      <c r="F144" s="6">
        <v>325</v>
      </c>
      <c r="G144" s="6">
        <v>81</v>
      </c>
      <c r="H144" s="6" t="s">
        <v>55</v>
      </c>
      <c r="I144" s="7" t="s">
        <v>2503</v>
      </c>
      <c r="J144" s="48"/>
      <c r="K144" s="48"/>
      <c r="L144" s="48" t="s">
        <v>52</v>
      </c>
      <c r="M144" s="48" t="s">
        <v>2946</v>
      </c>
      <c r="N144" s="50">
        <v>45838</v>
      </c>
      <c r="O144" s="50">
        <v>45852</v>
      </c>
      <c r="P144" s="48"/>
      <c r="Q144" s="48">
        <v>2328</v>
      </c>
      <c r="R144" s="48"/>
      <c r="S144" s="52"/>
      <c r="T144" s="48"/>
    </row>
    <row r="145" spans="1:20" ht="31.5" x14ac:dyDescent="0.25">
      <c r="A145" s="48">
        <v>132</v>
      </c>
      <c r="B145" s="48" t="s">
        <v>2798</v>
      </c>
      <c r="C145" s="5" t="s">
        <v>2552</v>
      </c>
      <c r="D145" s="4" t="s">
        <v>2553</v>
      </c>
      <c r="E145" s="6">
        <v>6</v>
      </c>
      <c r="F145" s="6">
        <v>63</v>
      </c>
      <c r="G145" s="6">
        <v>448.5</v>
      </c>
      <c r="H145" s="6" t="s">
        <v>75</v>
      </c>
      <c r="I145" s="7">
        <v>45825</v>
      </c>
      <c r="J145" s="48"/>
      <c r="K145" s="48"/>
      <c r="L145" s="48" t="s">
        <v>1</v>
      </c>
      <c r="M145" s="48" t="s">
        <v>180</v>
      </c>
      <c r="N145" s="50">
        <v>45838</v>
      </c>
      <c r="O145" s="50">
        <v>45852</v>
      </c>
      <c r="P145" s="48"/>
      <c r="Q145" s="48">
        <v>2313</v>
      </c>
      <c r="R145" s="48"/>
      <c r="S145" s="52"/>
      <c r="T145" s="48"/>
    </row>
    <row r="146" spans="1:20" ht="15.75" x14ac:dyDescent="0.25">
      <c r="A146" s="48">
        <v>133</v>
      </c>
      <c r="B146" s="48" t="s">
        <v>2798</v>
      </c>
      <c r="C146" s="48" t="s">
        <v>2947</v>
      </c>
      <c r="D146" s="49" t="s">
        <v>2948</v>
      </c>
      <c r="E146" s="48">
        <v>4</v>
      </c>
      <c r="F146" s="48">
        <v>115</v>
      </c>
      <c r="G146" s="48">
        <v>881.4</v>
      </c>
      <c r="H146" s="48" t="s">
        <v>586</v>
      </c>
      <c r="I146" s="50">
        <v>45539</v>
      </c>
      <c r="J146" s="48"/>
      <c r="K146" s="48"/>
      <c r="L146" s="48" t="s">
        <v>1</v>
      </c>
      <c r="M146" s="48" t="s">
        <v>2949</v>
      </c>
      <c r="N146" s="50">
        <v>45838</v>
      </c>
      <c r="O146" s="50">
        <v>45846</v>
      </c>
      <c r="P146" s="50">
        <v>45846</v>
      </c>
      <c r="Q146" s="48">
        <v>2268</v>
      </c>
      <c r="R146" s="37">
        <v>1248329</v>
      </c>
      <c r="S146" s="52"/>
      <c r="T146" s="48"/>
    </row>
    <row r="147" spans="1:20" ht="15.75" x14ac:dyDescent="0.25">
      <c r="A147" s="48">
        <v>134</v>
      </c>
      <c r="B147" s="48" t="s">
        <v>2798</v>
      </c>
      <c r="C147" s="5" t="s">
        <v>2019</v>
      </c>
      <c r="D147" s="4" t="s">
        <v>2020</v>
      </c>
      <c r="E147" s="6">
        <v>32</v>
      </c>
      <c r="F147" s="6">
        <v>132</v>
      </c>
      <c r="G147" s="6">
        <v>539.70000000000005</v>
      </c>
      <c r="H147" s="6" t="s">
        <v>51</v>
      </c>
      <c r="I147" s="7">
        <v>45791</v>
      </c>
      <c r="J147" s="48"/>
      <c r="K147" s="48"/>
      <c r="L147" s="48" t="s">
        <v>62</v>
      </c>
      <c r="M147" s="48" t="s">
        <v>180</v>
      </c>
      <c r="N147" s="50">
        <v>45838</v>
      </c>
      <c r="O147" s="50">
        <v>45846</v>
      </c>
      <c r="P147" s="50">
        <v>45846</v>
      </c>
      <c r="Q147" s="48">
        <v>2264</v>
      </c>
      <c r="R147" s="48">
        <v>961551</v>
      </c>
      <c r="S147" s="52"/>
      <c r="T147" s="48"/>
    </row>
    <row r="148" spans="1:20" ht="15.75" x14ac:dyDescent="0.25">
      <c r="A148" s="48">
        <v>135</v>
      </c>
      <c r="B148" s="48" t="s">
        <v>2798</v>
      </c>
      <c r="C148" s="48" t="s">
        <v>2950</v>
      </c>
      <c r="D148" s="49"/>
      <c r="E148" s="48">
        <v>4</v>
      </c>
      <c r="F148" s="48">
        <v>40</v>
      </c>
      <c r="G148" s="48">
        <v>534.4</v>
      </c>
      <c r="H148" s="48" t="s">
        <v>2429</v>
      </c>
      <c r="I148" s="50">
        <v>45787</v>
      </c>
      <c r="J148" s="48"/>
      <c r="K148" s="48"/>
      <c r="L148" s="48" t="s">
        <v>1</v>
      </c>
      <c r="M148" s="48" t="s">
        <v>2571</v>
      </c>
      <c r="N148" s="50">
        <v>45838</v>
      </c>
      <c r="O148" s="50">
        <v>45848</v>
      </c>
      <c r="P148" s="50">
        <v>45848</v>
      </c>
      <c r="Q148" s="48">
        <v>2290</v>
      </c>
      <c r="R148" s="48">
        <v>1248329</v>
      </c>
      <c r="S148" s="52"/>
      <c r="T148" s="48"/>
    </row>
    <row r="149" spans="1:20" ht="15.75" x14ac:dyDescent="0.25">
      <c r="A149" s="48">
        <v>136</v>
      </c>
      <c r="B149" s="48" t="s">
        <v>2794</v>
      </c>
      <c r="C149" s="48" t="s">
        <v>2951</v>
      </c>
      <c r="D149" s="49" t="s">
        <v>2952</v>
      </c>
      <c r="E149" s="48">
        <v>6</v>
      </c>
      <c r="F149" s="48">
        <v>91</v>
      </c>
      <c r="G149" s="48">
        <v>62.9</v>
      </c>
      <c r="H149" s="48" t="s">
        <v>2429</v>
      </c>
      <c r="I149" s="50"/>
      <c r="J149" s="48"/>
      <c r="K149" s="48"/>
      <c r="L149" s="48" t="s">
        <v>52</v>
      </c>
      <c r="M149" s="48" t="s">
        <v>1276</v>
      </c>
      <c r="N149" s="50">
        <v>45838</v>
      </c>
      <c r="O149" s="48"/>
      <c r="P149" s="48"/>
      <c r="Q149" s="48"/>
      <c r="R149" s="48"/>
      <c r="S149" s="52"/>
      <c r="T149" s="48"/>
    </row>
    <row r="150" spans="1:20" ht="15.75" x14ac:dyDescent="0.25">
      <c r="A150" s="48">
        <v>137</v>
      </c>
      <c r="B150" s="48" t="s">
        <v>2798</v>
      </c>
      <c r="C150" s="5" t="s">
        <v>2524</v>
      </c>
      <c r="D150" s="4" t="s">
        <v>2525</v>
      </c>
      <c r="E150" s="6">
        <v>80</v>
      </c>
      <c r="F150" s="6">
        <v>24</v>
      </c>
      <c r="G150" s="6">
        <v>1706.4</v>
      </c>
      <c r="H150" s="6" t="s">
        <v>51</v>
      </c>
      <c r="I150" s="7">
        <v>45824</v>
      </c>
      <c r="J150" s="48"/>
      <c r="K150" s="48"/>
      <c r="L150" s="48" t="s">
        <v>153</v>
      </c>
      <c r="M150" s="48" t="s">
        <v>180</v>
      </c>
      <c r="N150" s="50">
        <v>45838</v>
      </c>
      <c r="O150" s="50">
        <v>45846</v>
      </c>
      <c r="P150" s="50">
        <v>45846</v>
      </c>
      <c r="Q150" s="48">
        <v>2272</v>
      </c>
      <c r="R150" s="48">
        <v>1248329</v>
      </c>
      <c r="S150" s="52"/>
      <c r="T150" s="48"/>
    </row>
    <row r="151" spans="1:20" ht="15.75" x14ac:dyDescent="0.25">
      <c r="A151" s="48">
        <v>138</v>
      </c>
      <c r="B151" s="48" t="s">
        <v>2792</v>
      </c>
      <c r="C151" s="5" t="s">
        <v>2535</v>
      </c>
      <c r="D151" s="4" t="s">
        <v>2536</v>
      </c>
      <c r="E151" s="6">
        <v>32</v>
      </c>
      <c r="F151" s="6">
        <v>302</v>
      </c>
      <c r="G151" s="3">
        <v>137.9</v>
      </c>
      <c r="H151" s="3" t="s">
        <v>55</v>
      </c>
      <c r="I151" s="7">
        <v>45824</v>
      </c>
      <c r="J151" s="48"/>
      <c r="K151" s="48"/>
      <c r="L151" s="48" t="s">
        <v>52</v>
      </c>
      <c r="M151" s="48" t="s">
        <v>2946</v>
      </c>
      <c r="N151" s="50">
        <v>45838</v>
      </c>
      <c r="O151" s="50">
        <v>45847</v>
      </c>
      <c r="P151" s="50">
        <v>45847</v>
      </c>
      <c r="Q151" s="48">
        <v>2283</v>
      </c>
      <c r="R151" s="48">
        <v>3365323</v>
      </c>
      <c r="S151" s="52"/>
      <c r="T151" s="48"/>
    </row>
    <row r="152" spans="1:20" ht="15.75" x14ac:dyDescent="0.25">
      <c r="A152" s="48">
        <v>139</v>
      </c>
      <c r="B152" s="48" t="s">
        <v>2792</v>
      </c>
      <c r="C152" s="5" t="s">
        <v>2535</v>
      </c>
      <c r="D152" s="4" t="s">
        <v>2536</v>
      </c>
      <c r="E152" s="6">
        <v>32</v>
      </c>
      <c r="F152" s="6">
        <v>308</v>
      </c>
      <c r="G152" s="3">
        <v>138</v>
      </c>
      <c r="H152" s="3" t="s">
        <v>55</v>
      </c>
      <c r="I152" s="7">
        <v>45824</v>
      </c>
      <c r="J152" s="48"/>
      <c r="K152" s="48"/>
      <c r="L152" s="48" t="s">
        <v>52</v>
      </c>
      <c r="M152" s="48" t="s">
        <v>2946</v>
      </c>
      <c r="N152" s="50">
        <v>45838</v>
      </c>
      <c r="O152" s="50">
        <v>45847</v>
      </c>
      <c r="P152" s="50">
        <v>45847</v>
      </c>
      <c r="Q152" s="48">
        <v>2282</v>
      </c>
      <c r="R152" s="48">
        <v>3365323</v>
      </c>
      <c r="S152" s="52"/>
      <c r="T152" s="48"/>
    </row>
    <row r="153" spans="1:20" ht="15.75" x14ac:dyDescent="0.25">
      <c r="A153" s="48">
        <v>140</v>
      </c>
      <c r="B153" s="48" t="s">
        <v>2782</v>
      </c>
      <c r="C153" s="5" t="s">
        <v>873</v>
      </c>
      <c r="D153" s="4" t="s">
        <v>874</v>
      </c>
      <c r="E153" s="6">
        <v>19</v>
      </c>
      <c r="F153" s="6">
        <v>5</v>
      </c>
      <c r="G153" s="3">
        <v>3636.1</v>
      </c>
      <c r="H153" s="3" t="s">
        <v>51</v>
      </c>
      <c r="I153" s="7">
        <v>45807</v>
      </c>
      <c r="J153" s="48"/>
      <c r="K153" s="48"/>
      <c r="L153" s="48" t="s">
        <v>153</v>
      </c>
      <c r="M153" s="48" t="s">
        <v>2888</v>
      </c>
      <c r="N153" s="50">
        <v>45838</v>
      </c>
      <c r="O153" s="50">
        <v>45846</v>
      </c>
      <c r="P153" s="50">
        <v>45846</v>
      </c>
      <c r="Q153" s="48">
        <v>2261</v>
      </c>
      <c r="R153" s="48">
        <v>5790294</v>
      </c>
      <c r="S153" s="52"/>
      <c r="T153" s="48"/>
    </row>
    <row r="154" spans="1:20" ht="15.75" x14ac:dyDescent="0.25">
      <c r="A154" s="48">
        <v>141</v>
      </c>
      <c r="B154" s="48" t="s">
        <v>2792</v>
      </c>
      <c r="C154" s="5" t="s">
        <v>1261</v>
      </c>
      <c r="D154" s="4" t="s">
        <v>2597</v>
      </c>
      <c r="E154" s="6">
        <v>18</v>
      </c>
      <c r="F154" s="6">
        <v>83</v>
      </c>
      <c r="G154" s="6">
        <v>168.6</v>
      </c>
      <c r="H154" s="6" t="s">
        <v>55</v>
      </c>
      <c r="I154" s="7">
        <v>45826</v>
      </c>
      <c r="J154" s="48"/>
      <c r="K154" s="48"/>
      <c r="L154" s="48" t="s">
        <v>2953</v>
      </c>
      <c r="M154" s="48" t="s">
        <v>2754</v>
      </c>
      <c r="N154" s="50">
        <v>45838</v>
      </c>
      <c r="O154" s="50">
        <v>45854</v>
      </c>
      <c r="P154" s="48"/>
      <c r="Q154" s="48">
        <v>2380</v>
      </c>
      <c r="R154" s="48"/>
      <c r="S154" s="52"/>
      <c r="T154" s="48"/>
    </row>
    <row r="155" spans="1:20" s="67" customFormat="1" ht="15.75" x14ac:dyDescent="0.25">
      <c r="A155" s="60">
        <v>142</v>
      </c>
      <c r="B155" s="60" t="s">
        <v>2798</v>
      </c>
      <c r="C155" s="61" t="s">
        <v>657</v>
      </c>
      <c r="D155" s="62" t="s">
        <v>658</v>
      </c>
      <c r="E155" s="63">
        <v>19</v>
      </c>
      <c r="F155" s="63">
        <v>86</v>
      </c>
      <c r="G155" s="63">
        <v>3368.8</v>
      </c>
      <c r="H155" s="63" t="s">
        <v>199</v>
      </c>
      <c r="I155" s="64">
        <v>45712</v>
      </c>
      <c r="J155" s="60"/>
      <c r="K155" s="60"/>
      <c r="L155" s="60" t="s">
        <v>2953</v>
      </c>
      <c r="M155" s="60" t="s">
        <v>2888</v>
      </c>
      <c r="N155" s="65">
        <v>45838</v>
      </c>
      <c r="O155" s="65">
        <v>45847</v>
      </c>
      <c r="P155" s="65">
        <v>45847</v>
      </c>
      <c r="Q155" s="60">
        <v>2281</v>
      </c>
      <c r="R155" s="60">
        <v>2631612</v>
      </c>
      <c r="S155" s="66"/>
      <c r="T155" s="60"/>
    </row>
    <row r="156" spans="1:20" ht="15.75" x14ac:dyDescent="0.25">
      <c r="A156" s="48">
        <v>143</v>
      </c>
      <c r="B156" s="48" t="s">
        <v>2794</v>
      </c>
      <c r="C156" s="48" t="s">
        <v>948</v>
      </c>
      <c r="D156" s="49" t="s">
        <v>949</v>
      </c>
      <c r="E156" s="48">
        <v>13</v>
      </c>
      <c r="F156" s="48">
        <v>291</v>
      </c>
      <c r="G156" s="48">
        <v>150.30000000000001</v>
      </c>
      <c r="H156" s="48" t="s">
        <v>586</v>
      </c>
      <c r="I156" s="50">
        <v>45726</v>
      </c>
      <c r="J156" s="48"/>
      <c r="K156" s="48"/>
      <c r="L156" s="48" t="s">
        <v>1</v>
      </c>
      <c r="M156" s="48" t="s">
        <v>2957</v>
      </c>
      <c r="N156" s="50">
        <v>45838</v>
      </c>
      <c r="O156" s="50">
        <v>45846</v>
      </c>
      <c r="P156" s="50">
        <v>45846</v>
      </c>
      <c r="Q156" s="48">
        <v>2266</v>
      </c>
      <c r="R156" s="48">
        <v>961551</v>
      </c>
      <c r="S156" s="52"/>
      <c r="T156" s="48"/>
    </row>
    <row r="157" spans="1:20" ht="15.75" x14ac:dyDescent="0.25">
      <c r="A157" s="48">
        <v>144</v>
      </c>
      <c r="B157" s="48" t="s">
        <v>2794</v>
      </c>
      <c r="C157" s="48" t="s">
        <v>948</v>
      </c>
      <c r="D157" s="49" t="s">
        <v>949</v>
      </c>
      <c r="E157" s="48">
        <v>13</v>
      </c>
      <c r="F157" s="48">
        <v>268</v>
      </c>
      <c r="G157" s="48">
        <v>101</v>
      </c>
      <c r="H157" s="48" t="s">
        <v>586</v>
      </c>
      <c r="I157" s="50">
        <v>45726</v>
      </c>
      <c r="J157" s="48"/>
      <c r="K157" s="48"/>
      <c r="L157" s="48" t="s">
        <v>1</v>
      </c>
      <c r="M157" s="48" t="s">
        <v>2957</v>
      </c>
      <c r="N157" s="50">
        <v>45838</v>
      </c>
      <c r="O157" s="50">
        <v>45846</v>
      </c>
      <c r="P157" s="50">
        <v>45846</v>
      </c>
      <c r="Q157" s="48">
        <v>2265</v>
      </c>
      <c r="R157" s="48">
        <v>809727</v>
      </c>
      <c r="S157" s="52"/>
      <c r="T157" s="48"/>
    </row>
    <row r="158" spans="1:20" ht="15.75" x14ac:dyDescent="0.25">
      <c r="A158" s="48">
        <v>145</v>
      </c>
      <c r="B158" s="48" t="s">
        <v>2792</v>
      </c>
      <c r="C158" s="48" t="s">
        <v>2958</v>
      </c>
      <c r="D158" s="49" t="s">
        <v>278</v>
      </c>
      <c r="E158" s="48">
        <v>14</v>
      </c>
      <c r="F158" s="48">
        <v>67</v>
      </c>
      <c r="G158" s="48">
        <v>82.4</v>
      </c>
      <c r="H158" s="48" t="s">
        <v>2959</v>
      </c>
      <c r="I158" s="50">
        <v>45670</v>
      </c>
      <c r="J158" s="48"/>
      <c r="K158" s="48"/>
      <c r="L158" s="48" t="s">
        <v>1</v>
      </c>
      <c r="M158" s="48" t="s">
        <v>2957</v>
      </c>
      <c r="N158" s="50">
        <v>45838</v>
      </c>
      <c r="O158" s="48"/>
      <c r="P158" s="48"/>
      <c r="Q158" s="48"/>
      <c r="R158" s="48"/>
      <c r="S158" s="52"/>
      <c r="T158" s="48"/>
    </row>
    <row r="159" spans="1:20" ht="15.75" x14ac:dyDescent="0.25">
      <c r="A159" s="48">
        <v>146</v>
      </c>
      <c r="B159" s="48" t="s">
        <v>2792</v>
      </c>
      <c r="C159" s="48" t="s">
        <v>2960</v>
      </c>
      <c r="D159" s="49" t="s">
        <v>2961</v>
      </c>
      <c r="E159" s="48" t="s">
        <v>85</v>
      </c>
      <c r="F159" s="48">
        <v>75</v>
      </c>
      <c r="G159" s="48">
        <v>55.2</v>
      </c>
      <c r="H159" s="48" t="s">
        <v>2429</v>
      </c>
      <c r="I159" s="50">
        <v>45751</v>
      </c>
      <c r="J159" s="48"/>
      <c r="K159" s="48"/>
      <c r="L159" s="48" t="s">
        <v>2962</v>
      </c>
      <c r="M159" s="48" t="s">
        <v>2754</v>
      </c>
      <c r="N159" s="50">
        <v>45838</v>
      </c>
      <c r="O159" s="48"/>
      <c r="P159" s="48"/>
      <c r="Q159" s="48"/>
      <c r="R159" s="48"/>
      <c r="S159" s="52"/>
      <c r="T159" s="48"/>
    </row>
    <row r="160" spans="1:20" ht="15.75" x14ac:dyDescent="0.25">
      <c r="A160" s="48">
        <v>147</v>
      </c>
      <c r="B160" s="48" t="s">
        <v>2792</v>
      </c>
      <c r="C160" s="48" t="s">
        <v>2963</v>
      </c>
      <c r="D160" s="49" t="s">
        <v>496</v>
      </c>
      <c r="E160" s="48">
        <v>26</v>
      </c>
      <c r="F160" s="48">
        <v>62</v>
      </c>
      <c r="G160" s="48">
        <v>1244.9000000000001</v>
      </c>
      <c r="H160" s="48"/>
      <c r="I160" s="50">
        <v>45846</v>
      </c>
      <c r="J160" s="48"/>
      <c r="K160" s="48" t="s">
        <v>2773</v>
      </c>
      <c r="L160" s="48" t="s">
        <v>62</v>
      </c>
      <c r="M160" s="48" t="s">
        <v>2754</v>
      </c>
      <c r="N160" s="48"/>
      <c r="O160" s="48"/>
      <c r="P160" s="48"/>
      <c r="Q160" s="48"/>
      <c r="R160" s="48"/>
      <c r="S160" s="48" t="s">
        <v>2800</v>
      </c>
      <c r="T160" s="48"/>
    </row>
    <row r="161" spans="1:20" ht="15.75" x14ac:dyDescent="0.25">
      <c r="A161" s="48">
        <v>148</v>
      </c>
      <c r="B161" s="48" t="s">
        <v>2794</v>
      </c>
      <c r="C161" s="48" t="s">
        <v>1717</v>
      </c>
      <c r="D161" s="49" t="s">
        <v>802</v>
      </c>
      <c r="E161" s="48">
        <v>27</v>
      </c>
      <c r="F161" s="48">
        <v>125</v>
      </c>
      <c r="G161" s="48">
        <v>223.5</v>
      </c>
      <c r="H161" s="48"/>
      <c r="I161" s="50">
        <v>45846</v>
      </c>
      <c r="J161" s="48"/>
      <c r="K161" s="48" t="s">
        <v>2773</v>
      </c>
      <c r="L161" s="48" t="s">
        <v>153</v>
      </c>
      <c r="M161" s="48" t="s">
        <v>2796</v>
      </c>
      <c r="N161" s="48"/>
      <c r="O161" s="48"/>
      <c r="P161" s="48"/>
      <c r="Q161" s="48"/>
      <c r="R161" s="48"/>
      <c r="S161" s="48" t="s">
        <v>2800</v>
      </c>
      <c r="T161" s="48"/>
    </row>
    <row r="162" spans="1:20" ht="15.75" x14ac:dyDescent="0.25">
      <c r="A162" s="48">
        <v>149</v>
      </c>
      <c r="B162" s="48" t="s">
        <v>2794</v>
      </c>
      <c r="C162" s="48" t="s">
        <v>2965</v>
      </c>
      <c r="D162" s="49" t="s">
        <v>2966</v>
      </c>
      <c r="E162" s="48">
        <v>9</v>
      </c>
      <c r="F162" s="48">
        <v>179</v>
      </c>
      <c r="G162" s="48">
        <v>1668.9</v>
      </c>
      <c r="H162" s="48"/>
      <c r="I162" s="50">
        <v>45846</v>
      </c>
      <c r="J162" s="48"/>
      <c r="K162" s="48" t="s">
        <v>2773</v>
      </c>
      <c r="L162" s="48" t="s">
        <v>153</v>
      </c>
      <c r="M162" s="48" t="s">
        <v>2796</v>
      </c>
      <c r="N162" s="48"/>
      <c r="O162" s="48"/>
      <c r="P162" s="48"/>
      <c r="Q162" s="48"/>
      <c r="R162" s="48"/>
      <c r="S162" s="48" t="s">
        <v>2800</v>
      </c>
      <c r="T162" s="48"/>
    </row>
    <row r="163" spans="1:20" ht="15.75" x14ac:dyDescent="0.25">
      <c r="A163" s="48">
        <v>150</v>
      </c>
      <c r="B163" s="48" t="s">
        <v>2782</v>
      </c>
      <c r="C163" s="48" t="s">
        <v>2967</v>
      </c>
      <c r="D163" s="49" t="s">
        <v>2968</v>
      </c>
      <c r="E163" s="48">
        <v>16</v>
      </c>
      <c r="F163" s="48">
        <v>651</v>
      </c>
      <c r="G163" s="48">
        <v>80</v>
      </c>
      <c r="H163" s="48"/>
      <c r="I163" s="50">
        <v>45846</v>
      </c>
      <c r="J163" s="48"/>
      <c r="K163" s="48" t="s">
        <v>2773</v>
      </c>
      <c r="L163" s="48" t="s">
        <v>52</v>
      </c>
      <c r="M163" s="48" t="s">
        <v>2888</v>
      </c>
      <c r="N163" s="48"/>
      <c r="O163" s="48"/>
      <c r="P163" s="48"/>
      <c r="Q163" s="48"/>
      <c r="R163" s="48"/>
      <c r="S163" s="48" t="s">
        <v>2800</v>
      </c>
      <c r="T163" s="48"/>
    </row>
    <row r="164" spans="1:20" ht="15.75" x14ac:dyDescent="0.25">
      <c r="A164" s="48">
        <v>151</v>
      </c>
      <c r="B164" s="48" t="s">
        <v>2798</v>
      </c>
      <c r="C164" s="48" t="s">
        <v>2969</v>
      </c>
      <c r="D164" s="49" t="s">
        <v>2970</v>
      </c>
      <c r="E164" s="48">
        <v>61</v>
      </c>
      <c r="F164" s="48">
        <v>123</v>
      </c>
      <c r="G164" s="48">
        <v>149.19999999999999</v>
      </c>
      <c r="H164" s="48"/>
      <c r="I164" s="50">
        <v>45846</v>
      </c>
      <c r="J164" s="48"/>
      <c r="K164" s="48" t="s">
        <v>2773</v>
      </c>
      <c r="L164" s="48" t="s">
        <v>62</v>
      </c>
      <c r="M164" s="48" t="s">
        <v>2964</v>
      </c>
      <c r="N164" s="48"/>
      <c r="O164" s="48"/>
      <c r="P164" s="48"/>
      <c r="Q164" s="48"/>
      <c r="R164" s="48"/>
      <c r="S164" s="48" t="s">
        <v>2800</v>
      </c>
      <c r="T164" s="48"/>
    </row>
    <row r="165" spans="1:20" ht="15.75" x14ac:dyDescent="0.25">
      <c r="A165" s="48">
        <v>152</v>
      </c>
      <c r="B165" s="48" t="s">
        <v>2798</v>
      </c>
      <c r="C165" s="48" t="s">
        <v>2971</v>
      </c>
      <c r="D165" s="49" t="s">
        <v>2041</v>
      </c>
      <c r="E165" s="48">
        <v>29</v>
      </c>
      <c r="F165" s="48">
        <v>162</v>
      </c>
      <c r="G165" s="48">
        <v>900.5</v>
      </c>
      <c r="H165" s="48"/>
      <c r="I165" s="50">
        <v>45846</v>
      </c>
      <c r="J165" s="48"/>
      <c r="K165" s="48" t="s">
        <v>2773</v>
      </c>
      <c r="L165" s="48" t="s">
        <v>62</v>
      </c>
      <c r="M165" s="48" t="s">
        <v>2964</v>
      </c>
      <c r="N165" s="48"/>
      <c r="O165" s="48"/>
      <c r="P165" s="48"/>
      <c r="Q165" s="48"/>
      <c r="R165" s="48"/>
      <c r="S165" s="48" t="s">
        <v>2800</v>
      </c>
      <c r="T165" s="48"/>
    </row>
    <row r="166" spans="1:20" ht="15.75" x14ac:dyDescent="0.25">
      <c r="A166" s="48">
        <v>153</v>
      </c>
      <c r="B166" s="48" t="s">
        <v>2798</v>
      </c>
      <c r="C166" s="48" t="s">
        <v>2971</v>
      </c>
      <c r="D166" s="49" t="s">
        <v>2041</v>
      </c>
      <c r="E166" s="48">
        <v>29</v>
      </c>
      <c r="F166" s="48">
        <v>159</v>
      </c>
      <c r="G166" s="48">
        <v>1657.5</v>
      </c>
      <c r="H166" s="48"/>
      <c r="I166" s="50">
        <v>45846</v>
      </c>
      <c r="J166" s="48"/>
      <c r="K166" s="48" t="s">
        <v>2773</v>
      </c>
      <c r="L166" s="48" t="s">
        <v>62</v>
      </c>
      <c r="M166" s="48" t="s">
        <v>2964</v>
      </c>
      <c r="N166" s="48"/>
      <c r="O166" s="48"/>
      <c r="P166" s="48"/>
      <c r="Q166" s="48"/>
      <c r="R166" s="48"/>
      <c r="S166" s="48" t="s">
        <v>2800</v>
      </c>
      <c r="T166" s="48"/>
    </row>
    <row r="167" spans="1:20" ht="15.75" x14ac:dyDescent="0.25">
      <c r="A167" s="48">
        <v>154</v>
      </c>
      <c r="B167" s="48" t="s">
        <v>2782</v>
      </c>
      <c r="C167" s="48" t="s">
        <v>2972</v>
      </c>
      <c r="D167" s="49" t="s">
        <v>2973</v>
      </c>
      <c r="E167" s="48">
        <v>15</v>
      </c>
      <c r="F167" s="48">
        <v>1297</v>
      </c>
      <c r="G167" s="48">
        <v>464.1</v>
      </c>
      <c r="H167" s="48"/>
      <c r="I167" s="50">
        <v>45846</v>
      </c>
      <c r="J167" s="48"/>
      <c r="K167" s="48" t="s">
        <v>2773</v>
      </c>
      <c r="L167" s="48" t="s">
        <v>62</v>
      </c>
      <c r="M167" s="48" t="s">
        <v>2888</v>
      </c>
      <c r="N167" s="48"/>
      <c r="O167" s="48"/>
      <c r="P167" s="48"/>
      <c r="Q167" s="48"/>
      <c r="R167" s="48"/>
      <c r="S167" s="48" t="s">
        <v>2800</v>
      </c>
      <c r="T167" s="48"/>
    </row>
    <row r="168" spans="1:20" ht="31.5" x14ac:dyDescent="0.25">
      <c r="A168" s="48">
        <v>155</v>
      </c>
      <c r="B168" s="48" t="s">
        <v>2794</v>
      </c>
      <c r="C168" s="5" t="s">
        <v>670</v>
      </c>
      <c r="D168" s="4" t="s">
        <v>460</v>
      </c>
      <c r="E168" s="6">
        <v>3</v>
      </c>
      <c r="F168" s="6">
        <v>271</v>
      </c>
      <c r="G168" s="6">
        <v>76.3</v>
      </c>
      <c r="H168" s="6" t="s">
        <v>55</v>
      </c>
      <c r="I168" s="50">
        <v>45846</v>
      </c>
      <c r="J168" s="48"/>
      <c r="K168" s="48" t="s">
        <v>2773</v>
      </c>
      <c r="L168" s="48" t="s">
        <v>1</v>
      </c>
      <c r="M168" s="48" t="s">
        <v>2796</v>
      </c>
      <c r="N168" s="48"/>
      <c r="O168" s="48"/>
      <c r="P168" s="48"/>
      <c r="Q168" s="48"/>
      <c r="R168" s="48"/>
      <c r="S168" s="48" t="s">
        <v>2800</v>
      </c>
      <c r="T168" s="48"/>
    </row>
    <row r="169" spans="1:20" ht="15.75" x14ac:dyDescent="0.25">
      <c r="A169" s="48">
        <v>156</v>
      </c>
      <c r="B169" s="48" t="s">
        <v>2794</v>
      </c>
      <c r="C169" s="48" t="s">
        <v>2977</v>
      </c>
      <c r="D169" s="49" t="s">
        <v>2978</v>
      </c>
      <c r="E169" s="48">
        <v>16</v>
      </c>
      <c r="F169" s="48">
        <v>711</v>
      </c>
      <c r="G169" s="48">
        <v>691.6</v>
      </c>
      <c r="H169" s="48"/>
      <c r="I169" s="50">
        <v>45846</v>
      </c>
      <c r="J169" s="48"/>
      <c r="K169" s="48" t="s">
        <v>2773</v>
      </c>
      <c r="L169" s="48" t="s">
        <v>153</v>
      </c>
      <c r="M169" s="48" t="s">
        <v>2796</v>
      </c>
      <c r="N169" s="48"/>
      <c r="O169" s="48"/>
      <c r="P169" s="48"/>
      <c r="Q169" s="48"/>
      <c r="R169" s="48"/>
      <c r="S169" s="48" t="s">
        <v>2800</v>
      </c>
      <c r="T169" s="48"/>
    </row>
    <row r="170" spans="1:20" ht="15.75" x14ac:dyDescent="0.25">
      <c r="A170" s="48">
        <v>157</v>
      </c>
      <c r="B170" s="48" t="s">
        <v>2798</v>
      </c>
      <c r="C170" s="48" t="s">
        <v>2979</v>
      </c>
      <c r="D170" s="49" t="s">
        <v>2980</v>
      </c>
      <c r="E170" s="48">
        <v>14</v>
      </c>
      <c r="F170" s="48">
        <v>43</v>
      </c>
      <c r="G170" s="48">
        <v>1504.9</v>
      </c>
      <c r="H170" s="48"/>
      <c r="I170" s="50">
        <v>45846</v>
      </c>
      <c r="J170" s="48"/>
      <c r="K170" s="48" t="s">
        <v>2773</v>
      </c>
      <c r="L170" s="48" t="s">
        <v>153</v>
      </c>
      <c r="M170" s="48" t="s">
        <v>2964</v>
      </c>
      <c r="N170" s="48"/>
      <c r="O170" s="48"/>
      <c r="P170" s="48"/>
      <c r="Q170" s="48"/>
      <c r="R170" s="48"/>
      <c r="S170" s="48" t="s">
        <v>2800</v>
      </c>
      <c r="T170" s="48"/>
    </row>
    <row r="171" spans="1:20" ht="15.75" x14ac:dyDescent="0.25">
      <c r="A171" s="48">
        <v>158</v>
      </c>
      <c r="B171" s="48" t="s">
        <v>2792</v>
      </c>
      <c r="C171" s="48" t="s">
        <v>2981</v>
      </c>
      <c r="D171" s="49" t="s">
        <v>2982</v>
      </c>
      <c r="E171" s="48">
        <v>46</v>
      </c>
      <c r="F171" s="48">
        <v>144</v>
      </c>
      <c r="G171" s="48">
        <v>434.3</v>
      </c>
      <c r="H171" s="48"/>
      <c r="I171" s="50">
        <v>45846</v>
      </c>
      <c r="J171" s="48" t="s">
        <v>3258</v>
      </c>
      <c r="K171" s="48" t="s">
        <v>2773</v>
      </c>
      <c r="L171" s="48" t="s">
        <v>1</v>
      </c>
      <c r="M171" s="48" t="s">
        <v>2754</v>
      </c>
      <c r="N171" s="48"/>
      <c r="O171" s="48"/>
      <c r="P171" s="48"/>
      <c r="Q171" s="48"/>
      <c r="R171" s="48"/>
      <c r="S171" s="48" t="s">
        <v>2800</v>
      </c>
      <c r="T171" s="48"/>
    </row>
    <row r="172" spans="1:20" ht="15.75" x14ac:dyDescent="0.25">
      <c r="A172" s="48">
        <v>159</v>
      </c>
      <c r="B172" s="48" t="s">
        <v>2782</v>
      </c>
      <c r="C172" s="48" t="s">
        <v>2983</v>
      </c>
      <c r="D172" s="49" t="s">
        <v>460</v>
      </c>
      <c r="E172" s="48">
        <v>20</v>
      </c>
      <c r="F172" s="48">
        <v>891</v>
      </c>
      <c r="G172" s="48">
        <v>102.1</v>
      </c>
      <c r="H172" s="48"/>
      <c r="I172" s="50">
        <v>45846</v>
      </c>
      <c r="J172" s="48"/>
      <c r="K172" s="48" t="s">
        <v>2773</v>
      </c>
      <c r="L172" s="48" t="s">
        <v>52</v>
      </c>
      <c r="M172" s="48" t="s">
        <v>2888</v>
      </c>
      <c r="N172" s="48"/>
      <c r="O172" s="48"/>
      <c r="P172" s="48"/>
      <c r="Q172" s="48"/>
      <c r="R172" s="48"/>
      <c r="S172" s="48" t="s">
        <v>2800</v>
      </c>
      <c r="T172" s="48"/>
    </row>
    <row r="173" spans="1:20" ht="15.75" x14ac:dyDescent="0.25">
      <c r="A173" s="48">
        <v>160</v>
      </c>
      <c r="B173" s="48" t="s">
        <v>2782</v>
      </c>
      <c r="C173" s="48" t="s">
        <v>2984</v>
      </c>
      <c r="D173" s="49" t="s">
        <v>2985</v>
      </c>
      <c r="E173" s="48">
        <v>9</v>
      </c>
      <c r="F173" s="48" t="s">
        <v>2986</v>
      </c>
      <c r="G173" s="48" t="s">
        <v>2987</v>
      </c>
      <c r="H173" s="48"/>
      <c r="I173" s="50">
        <v>45846</v>
      </c>
      <c r="J173" s="48"/>
      <c r="K173" s="48" t="s">
        <v>2773</v>
      </c>
      <c r="L173" s="48" t="s">
        <v>1</v>
      </c>
      <c r="M173" s="48" t="s">
        <v>2888</v>
      </c>
      <c r="N173" s="48"/>
      <c r="O173" s="48"/>
      <c r="P173" s="48"/>
      <c r="Q173" s="48"/>
      <c r="R173" s="48"/>
      <c r="S173" s="48" t="s">
        <v>2800</v>
      </c>
      <c r="T173" s="48"/>
    </row>
    <row r="174" spans="1:20" ht="15.75" x14ac:dyDescent="0.25">
      <c r="A174" s="48">
        <v>161</v>
      </c>
      <c r="B174" s="48" t="s">
        <v>2782</v>
      </c>
      <c r="C174" s="48" t="s">
        <v>2988</v>
      </c>
      <c r="D174" s="49" t="s">
        <v>2989</v>
      </c>
      <c r="E174" s="48">
        <v>16</v>
      </c>
      <c r="F174" s="48">
        <v>736</v>
      </c>
      <c r="G174" s="48">
        <v>112.4</v>
      </c>
      <c r="H174" s="48"/>
      <c r="I174" s="50">
        <v>45846</v>
      </c>
      <c r="J174" s="48"/>
      <c r="K174" s="48" t="s">
        <v>2773</v>
      </c>
      <c r="L174" s="48" t="s">
        <v>52</v>
      </c>
      <c r="M174" s="48" t="s">
        <v>2888</v>
      </c>
      <c r="N174" s="48"/>
      <c r="O174" s="48"/>
      <c r="P174" s="48"/>
      <c r="Q174" s="48"/>
      <c r="R174" s="48"/>
      <c r="S174" s="48" t="s">
        <v>2800</v>
      </c>
      <c r="T174" s="48"/>
    </row>
    <row r="175" spans="1:20" ht="15.75" x14ac:dyDescent="0.25">
      <c r="A175" s="48">
        <v>162</v>
      </c>
      <c r="B175" s="48" t="s">
        <v>2798</v>
      </c>
      <c r="C175" s="5" t="s">
        <v>2050</v>
      </c>
      <c r="D175" s="4" t="s">
        <v>2051</v>
      </c>
      <c r="E175" s="6">
        <v>24</v>
      </c>
      <c r="F175" s="6">
        <v>161</v>
      </c>
      <c r="G175" s="6">
        <v>404.9</v>
      </c>
      <c r="H175" s="6" t="s">
        <v>51</v>
      </c>
      <c r="I175" s="7">
        <v>45847</v>
      </c>
      <c r="J175" s="48"/>
      <c r="K175" s="48" t="s">
        <v>2773</v>
      </c>
      <c r="L175" s="48" t="s">
        <v>62</v>
      </c>
      <c r="M175" s="48" t="s">
        <v>2964</v>
      </c>
      <c r="N175" s="48"/>
      <c r="O175" s="48"/>
      <c r="P175" s="48"/>
      <c r="Q175" s="48"/>
      <c r="R175" s="48"/>
      <c r="S175" s="48" t="s">
        <v>2800</v>
      </c>
      <c r="T175" s="48"/>
    </row>
    <row r="176" spans="1:20" ht="15.75" x14ac:dyDescent="0.25">
      <c r="A176" s="48">
        <v>163</v>
      </c>
      <c r="B176" s="48" t="s">
        <v>2798</v>
      </c>
      <c r="C176" s="5" t="s">
        <v>2052</v>
      </c>
      <c r="D176" s="4" t="s">
        <v>2053</v>
      </c>
      <c r="E176" s="6">
        <v>24</v>
      </c>
      <c r="F176" s="6">
        <v>162</v>
      </c>
      <c r="G176" s="6">
        <v>417.9</v>
      </c>
      <c r="H176" s="6" t="s">
        <v>51</v>
      </c>
      <c r="I176" s="7">
        <v>45847</v>
      </c>
      <c r="J176" s="48"/>
      <c r="K176" s="48" t="s">
        <v>2773</v>
      </c>
      <c r="L176" s="48" t="s">
        <v>62</v>
      </c>
      <c r="M176" s="48" t="s">
        <v>2964</v>
      </c>
      <c r="N176" s="48"/>
      <c r="O176" s="48"/>
      <c r="P176" s="48"/>
      <c r="Q176" s="48"/>
      <c r="R176" s="48"/>
      <c r="S176" s="48" t="s">
        <v>2800</v>
      </c>
      <c r="T176" s="48"/>
    </row>
    <row r="177" spans="1:20" ht="15.75" x14ac:dyDescent="0.25">
      <c r="A177" s="48">
        <v>164</v>
      </c>
      <c r="B177" s="48" t="s">
        <v>2798</v>
      </c>
      <c r="C177" s="5" t="s">
        <v>2054</v>
      </c>
      <c r="D177" s="4" t="s">
        <v>2053</v>
      </c>
      <c r="E177" s="6">
        <v>24</v>
      </c>
      <c r="F177" s="6">
        <v>163</v>
      </c>
      <c r="G177" s="6">
        <v>408.9</v>
      </c>
      <c r="H177" s="6" t="s">
        <v>51</v>
      </c>
      <c r="I177" s="7">
        <v>45847</v>
      </c>
      <c r="J177" s="48"/>
      <c r="K177" s="48" t="s">
        <v>2773</v>
      </c>
      <c r="L177" s="48" t="s">
        <v>62</v>
      </c>
      <c r="M177" s="48" t="s">
        <v>2964</v>
      </c>
      <c r="N177" s="48"/>
      <c r="O177" s="48"/>
      <c r="P177" s="48"/>
      <c r="Q177" s="48"/>
      <c r="R177" s="48"/>
      <c r="S177" s="48" t="s">
        <v>2800</v>
      </c>
      <c r="T177" s="48"/>
    </row>
    <row r="178" spans="1:20" ht="15.75" x14ac:dyDescent="0.25">
      <c r="A178" s="48">
        <v>165</v>
      </c>
      <c r="B178" s="48" t="s">
        <v>2798</v>
      </c>
      <c r="C178" s="5" t="s">
        <v>2039</v>
      </c>
      <c r="D178" s="4" t="s">
        <v>76</v>
      </c>
      <c r="E178" s="6">
        <v>33</v>
      </c>
      <c r="F178" s="6">
        <v>37</v>
      </c>
      <c r="G178" s="6">
        <v>1451</v>
      </c>
      <c r="H178" s="6" t="s">
        <v>75</v>
      </c>
      <c r="I178" s="7">
        <v>45792</v>
      </c>
      <c r="J178" s="48"/>
      <c r="K178" s="48"/>
      <c r="L178" s="48" t="s">
        <v>1</v>
      </c>
      <c r="M178" s="48" t="s">
        <v>2888</v>
      </c>
      <c r="N178" s="50">
        <v>45834</v>
      </c>
      <c r="O178" s="50">
        <v>45847</v>
      </c>
      <c r="P178" s="50">
        <v>45847</v>
      </c>
      <c r="Q178" s="48">
        <v>2279</v>
      </c>
      <c r="R178" s="48">
        <v>1713674</v>
      </c>
      <c r="S178" s="52"/>
      <c r="T178" s="48"/>
    </row>
    <row r="179" spans="1:20" ht="15.75" x14ac:dyDescent="0.25">
      <c r="A179" s="48">
        <v>166</v>
      </c>
      <c r="B179" s="48" t="s">
        <v>2792</v>
      </c>
      <c r="C179" s="48" t="s">
        <v>389</v>
      </c>
      <c r="D179" s="49" t="s">
        <v>2276</v>
      </c>
      <c r="E179" s="48" t="s">
        <v>3000</v>
      </c>
      <c r="F179" s="48">
        <v>333</v>
      </c>
      <c r="G179" s="48">
        <v>90</v>
      </c>
      <c r="H179" s="48"/>
      <c r="I179" s="50">
        <v>45847</v>
      </c>
      <c r="J179" s="48"/>
      <c r="K179" s="48" t="s">
        <v>2773</v>
      </c>
      <c r="L179" s="48" t="s">
        <v>52</v>
      </c>
      <c r="M179" s="48" t="s">
        <v>2754</v>
      </c>
      <c r="N179" s="48"/>
      <c r="O179" s="48"/>
      <c r="P179" s="48"/>
      <c r="Q179" s="48"/>
      <c r="R179" s="48"/>
      <c r="S179" s="48" t="s">
        <v>2800</v>
      </c>
      <c r="T179" s="48"/>
    </row>
    <row r="180" spans="1:20" ht="15.75" x14ac:dyDescent="0.25">
      <c r="A180" s="48">
        <v>167</v>
      </c>
      <c r="B180" s="48" t="s">
        <v>2798</v>
      </c>
      <c r="C180" s="48" t="s">
        <v>3002</v>
      </c>
      <c r="D180" s="49" t="s">
        <v>3001</v>
      </c>
      <c r="E180" s="48">
        <v>4</v>
      </c>
      <c r="F180" s="48">
        <v>182</v>
      </c>
      <c r="G180" s="48">
        <v>523.29999999999995</v>
      </c>
      <c r="H180" s="48"/>
      <c r="I180" s="50">
        <v>45847</v>
      </c>
      <c r="J180" s="48"/>
      <c r="K180" s="48" t="s">
        <v>2773</v>
      </c>
      <c r="L180" s="48" t="s">
        <v>62</v>
      </c>
      <c r="M180" s="48" t="s">
        <v>2964</v>
      </c>
      <c r="N180" s="48"/>
      <c r="O180" s="48"/>
      <c r="P180" s="48"/>
      <c r="Q180" s="48"/>
      <c r="R180" s="48"/>
      <c r="S180" s="48" t="s">
        <v>2800</v>
      </c>
      <c r="T180" s="48"/>
    </row>
    <row r="181" spans="1:20" ht="15.75" x14ac:dyDescent="0.25">
      <c r="A181" s="48">
        <v>168</v>
      </c>
      <c r="B181" s="48" t="s">
        <v>2794</v>
      </c>
      <c r="C181" s="48" t="s">
        <v>3003</v>
      </c>
      <c r="D181" s="49" t="s">
        <v>3004</v>
      </c>
      <c r="E181" s="48">
        <v>6</v>
      </c>
      <c r="F181" s="48">
        <v>338</v>
      </c>
      <c r="G181" s="48">
        <v>1124.4000000000001</v>
      </c>
      <c r="H181" s="48"/>
      <c r="I181" s="50">
        <v>45847</v>
      </c>
      <c r="J181" s="48"/>
      <c r="K181" s="48" t="s">
        <v>2773</v>
      </c>
      <c r="L181" s="48" t="s">
        <v>1</v>
      </c>
      <c r="M181" s="48" t="s">
        <v>2796</v>
      </c>
      <c r="N181" s="48"/>
      <c r="O181" s="48"/>
      <c r="P181" s="48"/>
      <c r="Q181" s="48"/>
      <c r="R181" s="48"/>
      <c r="S181" s="48" t="s">
        <v>2800</v>
      </c>
      <c r="T181" s="48"/>
    </row>
    <row r="182" spans="1:20" ht="15.75" x14ac:dyDescent="0.25">
      <c r="A182" s="48">
        <v>169</v>
      </c>
      <c r="B182" s="48" t="s">
        <v>2801</v>
      </c>
      <c r="C182" s="48" t="s">
        <v>3006</v>
      </c>
      <c r="D182" s="49" t="s">
        <v>3007</v>
      </c>
      <c r="E182" s="48">
        <v>37</v>
      </c>
      <c r="F182" s="48">
        <v>506</v>
      </c>
      <c r="G182" s="48">
        <v>48.3</v>
      </c>
      <c r="H182" s="48"/>
      <c r="I182" s="50">
        <v>45847</v>
      </c>
      <c r="J182" s="48"/>
      <c r="K182" s="48" t="s">
        <v>2773</v>
      </c>
      <c r="L182" s="48" t="s">
        <v>52</v>
      </c>
      <c r="M182" s="48" t="s">
        <v>2888</v>
      </c>
      <c r="N182" s="48"/>
      <c r="O182" s="48"/>
      <c r="P182" s="48"/>
      <c r="Q182" s="48"/>
      <c r="R182" s="48"/>
      <c r="S182" s="48" t="s">
        <v>2800</v>
      </c>
      <c r="T182" s="48"/>
    </row>
    <row r="183" spans="1:20" ht="15.75" x14ac:dyDescent="0.25">
      <c r="A183" s="48">
        <v>170</v>
      </c>
      <c r="B183" s="48" t="s">
        <v>2782</v>
      </c>
      <c r="C183" s="48" t="s">
        <v>3008</v>
      </c>
      <c r="D183" s="49" t="s">
        <v>3009</v>
      </c>
      <c r="E183" s="48">
        <v>15</v>
      </c>
      <c r="F183" s="48">
        <v>314</v>
      </c>
      <c r="G183" s="48">
        <v>176.9</v>
      </c>
      <c r="H183" s="48"/>
      <c r="I183" s="50">
        <v>45847</v>
      </c>
      <c r="J183" s="48"/>
      <c r="K183" s="48" t="s">
        <v>2773</v>
      </c>
      <c r="L183" s="48" t="s">
        <v>3010</v>
      </c>
      <c r="M183" s="48" t="s">
        <v>2888</v>
      </c>
      <c r="N183" s="48"/>
      <c r="O183" s="48"/>
      <c r="P183" s="48"/>
      <c r="Q183" s="48"/>
      <c r="R183" s="48"/>
      <c r="S183" s="48" t="s">
        <v>2800</v>
      </c>
      <c r="T183" s="48"/>
    </row>
    <row r="184" spans="1:20" ht="15.75" x14ac:dyDescent="0.25">
      <c r="A184" s="48">
        <v>171</v>
      </c>
      <c r="B184" s="48" t="s">
        <v>2798</v>
      </c>
      <c r="C184" s="48" t="s">
        <v>3011</v>
      </c>
      <c r="D184" s="49" t="s">
        <v>3012</v>
      </c>
      <c r="E184" s="48">
        <v>26</v>
      </c>
      <c r="F184" s="48">
        <v>123</v>
      </c>
      <c r="G184" s="48">
        <v>855.9</v>
      </c>
      <c r="H184" s="48"/>
      <c r="I184" s="50">
        <v>45847</v>
      </c>
      <c r="J184" s="48"/>
      <c r="K184" s="48" t="s">
        <v>2773</v>
      </c>
      <c r="L184" s="48" t="s">
        <v>62</v>
      </c>
      <c r="M184" s="48" t="s">
        <v>2964</v>
      </c>
      <c r="N184" s="48"/>
      <c r="O184" s="48"/>
      <c r="P184" s="48"/>
      <c r="Q184" s="48"/>
      <c r="R184" s="48"/>
      <c r="S184" s="48" t="s">
        <v>2800</v>
      </c>
      <c r="T184" s="48"/>
    </row>
    <row r="185" spans="1:20" ht="15.75" x14ac:dyDescent="0.25">
      <c r="A185" s="48">
        <v>172</v>
      </c>
      <c r="B185" s="48" t="s">
        <v>2798</v>
      </c>
      <c r="C185" s="48" t="s">
        <v>1355</v>
      </c>
      <c r="D185" s="49" t="s">
        <v>1354</v>
      </c>
      <c r="E185" s="48">
        <v>22</v>
      </c>
      <c r="F185" s="48">
        <v>593</v>
      </c>
      <c r="G185" s="48">
        <v>126.5</v>
      </c>
      <c r="H185" s="48"/>
      <c r="I185" s="50">
        <v>45847</v>
      </c>
      <c r="J185" s="48"/>
      <c r="K185" s="48" t="s">
        <v>2773</v>
      </c>
      <c r="L185" s="48" t="s">
        <v>1</v>
      </c>
      <c r="M185" s="48" t="s">
        <v>2964</v>
      </c>
      <c r="N185" s="48"/>
      <c r="O185" s="48"/>
      <c r="P185" s="48"/>
      <c r="Q185" s="48"/>
      <c r="R185" s="48"/>
      <c r="S185" s="48" t="s">
        <v>2800</v>
      </c>
      <c r="T185" s="48"/>
    </row>
    <row r="186" spans="1:20" ht="15.75" x14ac:dyDescent="0.25">
      <c r="A186" s="48">
        <v>173</v>
      </c>
      <c r="B186" s="48" t="s">
        <v>2792</v>
      </c>
      <c r="C186" s="48" t="s">
        <v>3017</v>
      </c>
      <c r="D186" s="49" t="s">
        <v>3018</v>
      </c>
      <c r="E186" s="48">
        <v>137</v>
      </c>
      <c r="F186" s="48">
        <v>307</v>
      </c>
      <c r="G186" s="48">
        <v>52.9</v>
      </c>
      <c r="H186" s="48"/>
      <c r="I186" s="50">
        <v>45847</v>
      </c>
      <c r="J186" s="48"/>
      <c r="K186" s="48" t="s">
        <v>2773</v>
      </c>
      <c r="L186" s="48" t="s">
        <v>1</v>
      </c>
      <c r="M186" s="48" t="s">
        <v>2754</v>
      </c>
      <c r="N186" s="48"/>
      <c r="O186" s="48"/>
      <c r="P186" s="48"/>
      <c r="Q186" s="48"/>
      <c r="R186" s="48"/>
      <c r="S186" s="48" t="s">
        <v>2800</v>
      </c>
      <c r="T186" s="48"/>
    </row>
    <row r="187" spans="1:20" ht="15.75" x14ac:dyDescent="0.25">
      <c r="A187" s="48">
        <v>174</v>
      </c>
      <c r="B187" s="48" t="s">
        <v>2792</v>
      </c>
      <c r="C187" s="48" t="s">
        <v>2639</v>
      </c>
      <c r="D187" s="49" t="s">
        <v>2640</v>
      </c>
      <c r="E187" s="48">
        <v>41</v>
      </c>
      <c r="F187" s="48">
        <v>578</v>
      </c>
      <c r="G187" s="48">
        <v>527.5</v>
      </c>
      <c r="H187" s="48"/>
      <c r="I187" s="50">
        <v>45847</v>
      </c>
      <c r="J187" s="48"/>
      <c r="K187" s="48" t="s">
        <v>2773</v>
      </c>
      <c r="L187" s="48" t="s">
        <v>62</v>
      </c>
      <c r="M187" s="48" t="s">
        <v>2754</v>
      </c>
      <c r="N187" s="48"/>
      <c r="O187" s="48"/>
      <c r="P187" s="48"/>
      <c r="Q187" s="48"/>
      <c r="R187" s="48"/>
      <c r="S187" s="48" t="s">
        <v>2800</v>
      </c>
      <c r="T187" s="48"/>
    </row>
    <row r="188" spans="1:20" ht="15.75" x14ac:dyDescent="0.25">
      <c r="A188" s="48">
        <v>175</v>
      </c>
      <c r="B188" s="48" t="s">
        <v>2794</v>
      </c>
      <c r="C188" s="48" t="s">
        <v>3019</v>
      </c>
      <c r="D188" s="49" t="s">
        <v>430</v>
      </c>
      <c r="E188" s="48">
        <v>38</v>
      </c>
      <c r="F188" s="48">
        <v>23</v>
      </c>
      <c r="G188" s="48">
        <v>129.80000000000001</v>
      </c>
      <c r="H188" s="48"/>
      <c r="I188" s="50">
        <v>45847</v>
      </c>
      <c r="J188" s="48"/>
      <c r="K188" s="48" t="s">
        <v>2773</v>
      </c>
      <c r="L188" s="48" t="s">
        <v>52</v>
      </c>
      <c r="M188" s="48" t="s">
        <v>2796</v>
      </c>
      <c r="N188" s="48"/>
      <c r="O188" s="48"/>
      <c r="P188" s="48"/>
      <c r="Q188" s="48"/>
      <c r="R188" s="48"/>
      <c r="S188" s="48" t="s">
        <v>2800</v>
      </c>
      <c r="T188" s="48"/>
    </row>
    <row r="189" spans="1:20" ht="15.75" x14ac:dyDescent="0.25">
      <c r="A189" s="48">
        <v>176</v>
      </c>
      <c r="B189" s="48" t="s">
        <v>2798</v>
      </c>
      <c r="C189" s="48" t="s">
        <v>3020</v>
      </c>
      <c r="D189" s="49" t="s">
        <v>3021</v>
      </c>
      <c r="E189" s="48">
        <v>54</v>
      </c>
      <c r="F189" s="48" t="s">
        <v>3022</v>
      </c>
      <c r="G189" s="48" t="s">
        <v>3023</v>
      </c>
      <c r="H189" s="48"/>
      <c r="I189" s="50">
        <v>45847</v>
      </c>
      <c r="J189" s="48"/>
      <c r="K189" s="48" t="s">
        <v>2773</v>
      </c>
      <c r="L189" s="48" t="s">
        <v>2759</v>
      </c>
      <c r="M189" s="48" t="s">
        <v>2964</v>
      </c>
      <c r="N189" s="48"/>
      <c r="O189" s="48"/>
      <c r="P189" s="48"/>
      <c r="Q189" s="48"/>
      <c r="R189" s="48"/>
      <c r="S189" s="48" t="s">
        <v>2800</v>
      </c>
      <c r="T189" s="48"/>
    </row>
    <row r="190" spans="1:20" ht="15.75" x14ac:dyDescent="0.25">
      <c r="A190" s="48">
        <v>177</v>
      </c>
      <c r="B190" s="48" t="s">
        <v>2792</v>
      </c>
      <c r="C190" s="48" t="s">
        <v>840</v>
      </c>
      <c r="D190" s="49" t="s">
        <v>1375</v>
      </c>
      <c r="E190" s="48">
        <v>25</v>
      </c>
      <c r="F190" s="48">
        <v>83</v>
      </c>
      <c r="G190" s="48">
        <v>146</v>
      </c>
      <c r="H190" s="48"/>
      <c r="I190" s="50">
        <v>45847</v>
      </c>
      <c r="J190" s="48"/>
      <c r="K190" s="48" t="s">
        <v>2773</v>
      </c>
      <c r="L190" s="48" t="s">
        <v>62</v>
      </c>
      <c r="M190" s="48" t="s">
        <v>2754</v>
      </c>
      <c r="N190" s="48"/>
      <c r="O190" s="48"/>
      <c r="P190" s="48"/>
      <c r="Q190" s="48"/>
      <c r="R190" s="48"/>
      <c r="S190" s="48" t="s">
        <v>2800</v>
      </c>
      <c r="T190" s="48"/>
    </row>
    <row r="191" spans="1:20" ht="15.75" x14ac:dyDescent="0.25">
      <c r="A191" s="48">
        <v>178</v>
      </c>
      <c r="B191" s="48" t="s">
        <v>2792</v>
      </c>
      <c r="C191" s="48" t="s">
        <v>3024</v>
      </c>
      <c r="D191" s="49" t="s">
        <v>3025</v>
      </c>
      <c r="E191" s="48">
        <v>17</v>
      </c>
      <c r="F191" s="48">
        <v>42</v>
      </c>
      <c r="G191" s="48">
        <v>874.9</v>
      </c>
      <c r="H191" s="48"/>
      <c r="I191" s="50">
        <v>45847</v>
      </c>
      <c r="J191" s="48"/>
      <c r="K191" s="48" t="s">
        <v>2773</v>
      </c>
      <c r="L191" s="48" t="s">
        <v>153</v>
      </c>
      <c r="M191" s="48" t="s">
        <v>2754</v>
      </c>
      <c r="N191" s="48"/>
      <c r="O191" s="48"/>
      <c r="P191" s="48"/>
      <c r="Q191" s="48"/>
      <c r="R191" s="48"/>
      <c r="S191" s="48" t="s">
        <v>2800</v>
      </c>
      <c r="T191" s="48"/>
    </row>
    <row r="192" spans="1:20" ht="15.75" x14ac:dyDescent="0.25">
      <c r="A192" s="48">
        <v>179</v>
      </c>
      <c r="B192" s="48" t="s">
        <v>2782</v>
      </c>
      <c r="C192" s="48" t="s">
        <v>3026</v>
      </c>
      <c r="D192" s="49" t="s">
        <v>3027</v>
      </c>
      <c r="E192" s="48">
        <v>9</v>
      </c>
      <c r="F192" s="48">
        <v>562</v>
      </c>
      <c r="G192" s="48">
        <v>994.5</v>
      </c>
      <c r="H192" s="48"/>
      <c r="I192" s="50">
        <v>45847</v>
      </c>
      <c r="J192" s="48"/>
      <c r="K192" s="48" t="s">
        <v>2773</v>
      </c>
      <c r="L192" s="48" t="s">
        <v>153</v>
      </c>
      <c r="M192" s="48" t="s">
        <v>2888</v>
      </c>
      <c r="N192" s="48"/>
      <c r="O192" s="48"/>
      <c r="P192" s="48"/>
      <c r="Q192" s="48"/>
      <c r="R192" s="48"/>
      <c r="S192" s="48" t="s">
        <v>2800</v>
      </c>
      <c r="T192" s="48"/>
    </row>
    <row r="193" spans="1:20" ht="15.75" x14ac:dyDescent="0.25">
      <c r="A193" s="48">
        <v>180</v>
      </c>
      <c r="B193" s="48" t="s">
        <v>2798</v>
      </c>
      <c r="C193" s="48" t="s">
        <v>3029</v>
      </c>
      <c r="D193" s="49" t="s">
        <v>3028</v>
      </c>
      <c r="E193" s="48">
        <v>11</v>
      </c>
      <c r="F193" s="48">
        <v>244</v>
      </c>
      <c r="G193" s="48">
        <v>2116</v>
      </c>
      <c r="H193" s="48"/>
      <c r="I193" s="50">
        <v>45847</v>
      </c>
      <c r="J193" s="48"/>
      <c r="K193" s="48" t="s">
        <v>2773</v>
      </c>
      <c r="L193" s="48" t="s">
        <v>2759</v>
      </c>
      <c r="M193" s="48" t="s">
        <v>2964</v>
      </c>
      <c r="N193" s="48"/>
      <c r="O193" s="48"/>
      <c r="P193" s="48"/>
      <c r="Q193" s="48"/>
      <c r="R193" s="48"/>
      <c r="S193" s="48" t="s">
        <v>2800</v>
      </c>
      <c r="T193" s="48"/>
    </row>
    <row r="194" spans="1:20" ht="15.75" x14ac:dyDescent="0.25">
      <c r="A194" s="48">
        <v>181</v>
      </c>
      <c r="B194" s="48" t="s">
        <v>2782</v>
      </c>
      <c r="C194" s="48" t="s">
        <v>3030</v>
      </c>
      <c r="D194" s="49" t="s">
        <v>3031</v>
      </c>
      <c r="E194" s="48">
        <v>3</v>
      </c>
      <c r="F194" s="48">
        <v>122</v>
      </c>
      <c r="G194" s="48">
        <v>140</v>
      </c>
      <c r="H194" s="48"/>
      <c r="I194" s="50">
        <v>45847</v>
      </c>
      <c r="J194" s="48"/>
      <c r="K194" s="48" t="s">
        <v>2773</v>
      </c>
      <c r="L194" s="48" t="s">
        <v>1</v>
      </c>
      <c r="M194" s="48" t="s">
        <v>2888</v>
      </c>
      <c r="N194" s="48"/>
      <c r="O194" s="48"/>
      <c r="P194" s="48"/>
      <c r="Q194" s="48"/>
      <c r="R194" s="48"/>
      <c r="S194" s="48" t="s">
        <v>2800</v>
      </c>
      <c r="T194" s="48"/>
    </row>
    <row r="195" spans="1:20" ht="15.75" x14ac:dyDescent="0.25">
      <c r="A195" s="48">
        <v>182</v>
      </c>
      <c r="B195" s="48" t="s">
        <v>2792</v>
      </c>
      <c r="C195" s="5" t="s">
        <v>2364</v>
      </c>
      <c r="D195" s="4" t="s">
        <v>2365</v>
      </c>
      <c r="E195" s="6">
        <v>25</v>
      </c>
      <c r="F195" s="6">
        <v>78</v>
      </c>
      <c r="G195" s="6">
        <v>141.5</v>
      </c>
      <c r="H195" s="6" t="s">
        <v>51</v>
      </c>
      <c r="I195" s="50">
        <v>45847</v>
      </c>
      <c r="J195" s="48"/>
      <c r="K195" s="48" t="s">
        <v>2773</v>
      </c>
      <c r="L195" s="48" t="s">
        <v>1</v>
      </c>
      <c r="M195" s="48" t="s">
        <v>2754</v>
      </c>
      <c r="N195" s="48"/>
      <c r="O195" s="48"/>
      <c r="P195" s="48"/>
      <c r="Q195" s="48"/>
      <c r="R195" s="48"/>
      <c r="S195" s="52"/>
      <c r="T195" s="48"/>
    </row>
    <row r="196" spans="1:20" ht="15.75" x14ac:dyDescent="0.25">
      <c r="A196" s="48">
        <v>183</v>
      </c>
      <c r="B196" s="48" t="s">
        <v>2798</v>
      </c>
      <c r="C196" s="48" t="s">
        <v>3042</v>
      </c>
      <c r="D196" s="49" t="s">
        <v>80</v>
      </c>
      <c r="E196" s="48">
        <v>10</v>
      </c>
      <c r="F196" s="48">
        <v>270</v>
      </c>
      <c r="G196" s="48">
        <v>186.6</v>
      </c>
      <c r="H196" s="48"/>
      <c r="I196" s="50">
        <v>45848</v>
      </c>
      <c r="J196" s="48"/>
      <c r="K196" s="48" t="s">
        <v>2773</v>
      </c>
      <c r="L196" s="48" t="s">
        <v>1</v>
      </c>
      <c r="M196" s="48" t="s">
        <v>2964</v>
      </c>
      <c r="N196" s="48"/>
      <c r="O196" s="48"/>
      <c r="P196" s="48"/>
      <c r="Q196" s="48"/>
      <c r="R196" s="48"/>
      <c r="S196" s="52"/>
      <c r="T196" s="48"/>
    </row>
    <row r="197" spans="1:20" ht="15.75" x14ac:dyDescent="0.25">
      <c r="A197" s="48">
        <v>184</v>
      </c>
      <c r="B197" s="48" t="s">
        <v>2798</v>
      </c>
      <c r="C197" s="48" t="s">
        <v>3043</v>
      </c>
      <c r="D197" s="49" t="s">
        <v>3044</v>
      </c>
      <c r="E197" s="48">
        <v>15</v>
      </c>
      <c r="F197" s="48">
        <v>21</v>
      </c>
      <c r="G197" s="48">
        <v>3065.8</v>
      </c>
      <c r="H197" s="48"/>
      <c r="I197" s="50">
        <v>45848</v>
      </c>
      <c r="J197" s="48"/>
      <c r="K197" s="48" t="s">
        <v>2773</v>
      </c>
      <c r="L197" s="48" t="s">
        <v>1</v>
      </c>
      <c r="M197" s="48" t="s">
        <v>2964</v>
      </c>
      <c r="N197" s="48"/>
      <c r="O197" s="48"/>
      <c r="P197" s="48"/>
      <c r="Q197" s="48"/>
      <c r="R197" s="48"/>
      <c r="S197" s="52"/>
      <c r="T197" s="48"/>
    </row>
    <row r="198" spans="1:20" ht="15.75" x14ac:dyDescent="0.25">
      <c r="A198" s="48">
        <v>185</v>
      </c>
      <c r="B198" s="48" t="s">
        <v>2798</v>
      </c>
      <c r="C198" s="48" t="s">
        <v>3045</v>
      </c>
      <c r="D198" s="49" t="s">
        <v>3046</v>
      </c>
      <c r="E198" s="48">
        <v>18</v>
      </c>
      <c r="F198" s="48">
        <v>248</v>
      </c>
      <c r="G198" s="48">
        <v>151.5</v>
      </c>
      <c r="H198" s="48"/>
      <c r="I198" s="50">
        <v>45848</v>
      </c>
      <c r="J198" s="48"/>
      <c r="K198" s="48" t="s">
        <v>2773</v>
      </c>
      <c r="L198" s="48" t="s">
        <v>3010</v>
      </c>
      <c r="M198" s="48" t="s">
        <v>2964</v>
      </c>
      <c r="N198" s="48"/>
      <c r="O198" s="48"/>
      <c r="P198" s="48"/>
      <c r="Q198" s="48"/>
      <c r="R198" s="48"/>
      <c r="S198" s="52"/>
      <c r="T198" s="48"/>
    </row>
    <row r="199" spans="1:20" ht="15.75" x14ac:dyDescent="0.25">
      <c r="A199" s="48">
        <v>186</v>
      </c>
      <c r="B199" s="48" t="s">
        <v>2798</v>
      </c>
      <c r="C199" s="48" t="s">
        <v>899</v>
      </c>
      <c r="D199" s="49" t="s">
        <v>3047</v>
      </c>
      <c r="E199" s="48" t="s">
        <v>3048</v>
      </c>
      <c r="F199" s="48" t="s">
        <v>3049</v>
      </c>
      <c r="G199" s="48"/>
      <c r="H199" s="48"/>
      <c r="I199" s="50">
        <v>45848</v>
      </c>
      <c r="J199" s="48"/>
      <c r="K199" s="48" t="s">
        <v>2773</v>
      </c>
      <c r="L199" s="48" t="s">
        <v>1</v>
      </c>
      <c r="M199" s="48" t="s">
        <v>2964</v>
      </c>
      <c r="N199" s="48"/>
      <c r="O199" s="48"/>
      <c r="P199" s="48"/>
      <c r="Q199" s="48"/>
      <c r="R199" s="48"/>
      <c r="S199" s="52"/>
      <c r="T199" s="48"/>
    </row>
    <row r="200" spans="1:20" ht="15.75" x14ac:dyDescent="0.25">
      <c r="A200" s="48">
        <v>187</v>
      </c>
      <c r="B200" s="48" t="s">
        <v>2801</v>
      </c>
      <c r="C200" s="48" t="s">
        <v>3050</v>
      </c>
      <c r="D200" s="49" t="s">
        <v>3051</v>
      </c>
      <c r="E200" s="48">
        <v>12</v>
      </c>
      <c r="F200" s="48">
        <v>402</v>
      </c>
      <c r="G200" s="48">
        <v>558.29999999999995</v>
      </c>
      <c r="H200" s="48"/>
      <c r="I200" s="50">
        <v>45848</v>
      </c>
      <c r="J200" s="48"/>
      <c r="K200" s="48" t="s">
        <v>2773</v>
      </c>
      <c r="L200" s="48" t="s">
        <v>1</v>
      </c>
      <c r="M200" s="48" t="s">
        <v>2888</v>
      </c>
      <c r="N200" s="48"/>
      <c r="O200" s="48"/>
      <c r="P200" s="48"/>
      <c r="Q200" s="48"/>
      <c r="R200" s="48"/>
      <c r="S200" s="52"/>
      <c r="T200" s="48"/>
    </row>
    <row r="201" spans="1:20" ht="15.75" x14ac:dyDescent="0.25">
      <c r="A201" s="48">
        <v>188</v>
      </c>
      <c r="B201" s="48" t="s">
        <v>2801</v>
      </c>
      <c r="C201" s="48" t="s">
        <v>3052</v>
      </c>
      <c r="D201" s="49" t="s">
        <v>3053</v>
      </c>
      <c r="E201" s="48">
        <v>12</v>
      </c>
      <c r="F201" s="48">
        <v>745</v>
      </c>
      <c r="G201" s="48">
        <v>498.3</v>
      </c>
      <c r="H201" s="48"/>
      <c r="I201" s="50">
        <v>45848</v>
      </c>
      <c r="J201" s="48"/>
      <c r="K201" s="48" t="s">
        <v>2773</v>
      </c>
      <c r="L201" s="48" t="s">
        <v>62</v>
      </c>
      <c r="M201" s="48" t="s">
        <v>2888</v>
      </c>
      <c r="N201" s="48"/>
      <c r="O201" s="48"/>
      <c r="P201" s="48"/>
      <c r="Q201" s="48"/>
      <c r="R201" s="48"/>
      <c r="S201" s="52"/>
      <c r="T201" s="48"/>
    </row>
    <row r="202" spans="1:20" ht="15.75" x14ac:dyDescent="0.25">
      <c r="A202" s="48">
        <v>189</v>
      </c>
      <c r="B202" s="48" t="s">
        <v>2801</v>
      </c>
      <c r="C202" s="48" t="s">
        <v>3054</v>
      </c>
      <c r="D202" s="49" t="s">
        <v>3053</v>
      </c>
      <c r="E202" s="48">
        <v>12</v>
      </c>
      <c r="F202" s="48">
        <v>744</v>
      </c>
      <c r="G202" s="48">
        <v>512.4</v>
      </c>
      <c r="H202" s="48"/>
      <c r="I202" s="50">
        <v>45848</v>
      </c>
      <c r="J202" s="48"/>
      <c r="K202" s="48" t="s">
        <v>2773</v>
      </c>
      <c r="L202" s="48" t="s">
        <v>62</v>
      </c>
      <c r="M202" s="48" t="s">
        <v>2888</v>
      </c>
      <c r="N202" s="48"/>
      <c r="O202" s="48"/>
      <c r="P202" s="48"/>
      <c r="Q202" s="48"/>
      <c r="R202" s="48"/>
      <c r="S202" s="52"/>
      <c r="T202" s="48"/>
    </row>
    <row r="203" spans="1:20" ht="15.75" x14ac:dyDescent="0.25">
      <c r="A203" s="48">
        <v>190</v>
      </c>
      <c r="B203" s="48" t="s">
        <v>2801</v>
      </c>
      <c r="C203" s="48" t="s">
        <v>3055</v>
      </c>
      <c r="D203" s="49" t="s">
        <v>3053</v>
      </c>
      <c r="E203" s="48">
        <v>12</v>
      </c>
      <c r="F203" s="48">
        <v>743</v>
      </c>
      <c r="G203" s="48">
        <v>533.70000000000005</v>
      </c>
      <c r="H203" s="48"/>
      <c r="I203" s="50">
        <v>45848</v>
      </c>
      <c r="J203" s="48"/>
      <c r="K203" s="48" t="s">
        <v>2773</v>
      </c>
      <c r="L203" s="48" t="s">
        <v>62</v>
      </c>
      <c r="M203" s="48" t="s">
        <v>2888</v>
      </c>
      <c r="N203" s="48"/>
      <c r="O203" s="48"/>
      <c r="P203" s="48"/>
      <c r="Q203" s="48"/>
      <c r="R203" s="48"/>
      <c r="S203" s="52"/>
      <c r="T203" s="48"/>
    </row>
    <row r="204" spans="1:20" ht="15.75" x14ac:dyDescent="0.25">
      <c r="A204" s="48">
        <v>191</v>
      </c>
      <c r="B204" s="48" t="s">
        <v>2801</v>
      </c>
      <c r="C204" s="48" t="s">
        <v>3056</v>
      </c>
      <c r="D204" s="49" t="s">
        <v>3053</v>
      </c>
      <c r="E204" s="48">
        <v>12</v>
      </c>
      <c r="F204" s="48">
        <v>742</v>
      </c>
      <c r="G204" s="48">
        <v>922.8</v>
      </c>
      <c r="H204" s="48"/>
      <c r="I204" s="50">
        <v>45848</v>
      </c>
      <c r="J204" s="48"/>
      <c r="K204" s="48" t="s">
        <v>2773</v>
      </c>
      <c r="L204" s="48" t="s">
        <v>62</v>
      </c>
      <c r="M204" s="48" t="s">
        <v>2888</v>
      </c>
      <c r="N204" s="48"/>
      <c r="O204" s="48"/>
      <c r="P204" s="48"/>
      <c r="Q204" s="48"/>
      <c r="R204" s="48"/>
      <c r="S204" s="52"/>
      <c r="T204" s="48"/>
    </row>
    <row r="205" spans="1:20" ht="15.75" x14ac:dyDescent="0.25">
      <c r="A205" s="48">
        <v>192</v>
      </c>
      <c r="B205" s="48" t="s">
        <v>2782</v>
      </c>
      <c r="C205" s="48" t="s">
        <v>3057</v>
      </c>
      <c r="D205" s="49" t="s">
        <v>3058</v>
      </c>
      <c r="E205" s="48">
        <v>9</v>
      </c>
      <c r="F205" s="48">
        <v>11</v>
      </c>
      <c r="G205" s="48">
        <v>104.3</v>
      </c>
      <c r="H205" s="48"/>
      <c r="I205" s="50">
        <v>45848</v>
      </c>
      <c r="J205" s="48"/>
      <c r="K205" s="48" t="s">
        <v>2773</v>
      </c>
      <c r="L205" s="48" t="s">
        <v>3059</v>
      </c>
      <c r="M205" s="48" t="s">
        <v>2888</v>
      </c>
      <c r="N205" s="48"/>
      <c r="O205" s="48"/>
      <c r="P205" s="48"/>
      <c r="Q205" s="48"/>
      <c r="R205" s="48"/>
      <c r="S205" s="52"/>
      <c r="T205" s="48"/>
    </row>
    <row r="206" spans="1:20" ht="15.75" x14ac:dyDescent="0.25">
      <c r="A206" s="48">
        <v>193</v>
      </c>
      <c r="B206" s="48" t="s">
        <v>2782</v>
      </c>
      <c r="C206" s="48" t="s">
        <v>3060</v>
      </c>
      <c r="D206" s="49" t="s">
        <v>3061</v>
      </c>
      <c r="E206" s="48">
        <v>6</v>
      </c>
      <c r="F206" s="48">
        <v>1821</v>
      </c>
      <c r="G206" s="48">
        <v>33.1</v>
      </c>
      <c r="H206" s="48"/>
      <c r="I206" s="50">
        <v>45848</v>
      </c>
      <c r="J206" s="48"/>
      <c r="K206" s="48" t="s">
        <v>2773</v>
      </c>
      <c r="L206" s="48" t="s">
        <v>1</v>
      </c>
      <c r="M206" s="48" t="s">
        <v>2888</v>
      </c>
      <c r="N206" s="48"/>
      <c r="O206" s="48"/>
      <c r="P206" s="48"/>
      <c r="Q206" s="48"/>
      <c r="R206" s="48"/>
      <c r="S206" s="52"/>
      <c r="T206" s="48"/>
    </row>
    <row r="207" spans="1:20" ht="15.75" x14ac:dyDescent="0.25">
      <c r="A207" s="48">
        <v>194</v>
      </c>
      <c r="B207" s="48" t="s">
        <v>2794</v>
      </c>
      <c r="C207" s="48" t="s">
        <v>3062</v>
      </c>
      <c r="D207" s="49" t="s">
        <v>3063</v>
      </c>
      <c r="E207" s="48" t="s">
        <v>3064</v>
      </c>
      <c r="F207" s="48">
        <v>386</v>
      </c>
      <c r="G207" s="48">
        <v>43</v>
      </c>
      <c r="H207" s="48"/>
      <c r="I207" s="50">
        <v>45848</v>
      </c>
      <c r="J207" s="48"/>
      <c r="K207" s="48" t="s">
        <v>2773</v>
      </c>
      <c r="L207" s="48" t="s">
        <v>1</v>
      </c>
      <c r="M207" s="48" t="s">
        <v>2796</v>
      </c>
      <c r="N207" s="48"/>
      <c r="O207" s="48"/>
      <c r="P207" s="48"/>
      <c r="Q207" s="48"/>
      <c r="R207" s="48"/>
      <c r="S207" s="52"/>
      <c r="T207" s="48"/>
    </row>
    <row r="208" spans="1:20" ht="15.75" x14ac:dyDescent="0.25">
      <c r="A208" s="48">
        <v>195</v>
      </c>
      <c r="B208" s="48" t="s">
        <v>2794</v>
      </c>
      <c r="C208" s="48" t="s">
        <v>3065</v>
      </c>
      <c r="D208" s="49" t="s">
        <v>3066</v>
      </c>
      <c r="E208" s="48">
        <v>9</v>
      </c>
      <c r="F208" s="48">
        <v>197</v>
      </c>
      <c r="G208" s="48">
        <v>6883</v>
      </c>
      <c r="H208" s="48"/>
      <c r="I208" s="50">
        <v>45848</v>
      </c>
      <c r="J208" s="48"/>
      <c r="K208" s="48" t="s">
        <v>2773</v>
      </c>
      <c r="L208" s="48" t="s">
        <v>153</v>
      </c>
      <c r="M208" s="48" t="s">
        <v>2796</v>
      </c>
      <c r="N208" s="48"/>
      <c r="O208" s="48"/>
      <c r="P208" s="48"/>
      <c r="Q208" s="48"/>
      <c r="R208" s="48"/>
      <c r="S208" s="52"/>
      <c r="T208" s="48"/>
    </row>
    <row r="209" spans="1:20" ht="15.75" x14ac:dyDescent="0.25">
      <c r="A209" s="48">
        <v>196</v>
      </c>
      <c r="B209" s="48" t="s">
        <v>2792</v>
      </c>
      <c r="C209" s="48" t="s">
        <v>3067</v>
      </c>
      <c r="D209" s="49" t="s">
        <v>1171</v>
      </c>
      <c r="E209" s="48">
        <v>10</v>
      </c>
      <c r="F209" s="48">
        <v>78</v>
      </c>
      <c r="G209" s="48">
        <v>284</v>
      </c>
      <c r="H209" s="48"/>
      <c r="I209" s="50">
        <v>45848</v>
      </c>
      <c r="J209" s="48"/>
      <c r="K209" s="48" t="s">
        <v>2773</v>
      </c>
      <c r="L209" s="48" t="s">
        <v>2759</v>
      </c>
      <c r="M209" s="48" t="s">
        <v>2754</v>
      </c>
      <c r="N209" s="48"/>
      <c r="O209" s="48"/>
      <c r="P209" s="48"/>
      <c r="Q209" s="48"/>
      <c r="R209" s="48"/>
      <c r="S209" s="52"/>
      <c r="T209" s="48"/>
    </row>
    <row r="210" spans="1:20" ht="15.75" x14ac:dyDescent="0.25">
      <c r="A210" s="48">
        <v>197</v>
      </c>
      <c r="B210" s="48" t="s">
        <v>2782</v>
      </c>
      <c r="C210" s="48" t="s">
        <v>3068</v>
      </c>
      <c r="D210" s="49" t="s">
        <v>3069</v>
      </c>
      <c r="E210" s="48" t="s">
        <v>3070</v>
      </c>
      <c r="F210" s="48" t="s">
        <v>3071</v>
      </c>
      <c r="G210" s="48" t="s">
        <v>3072</v>
      </c>
      <c r="H210" s="48"/>
      <c r="I210" s="50">
        <v>45848</v>
      </c>
      <c r="J210" s="48"/>
      <c r="K210" s="48" t="s">
        <v>2773</v>
      </c>
      <c r="L210" s="48" t="s">
        <v>1</v>
      </c>
      <c r="M210" s="48" t="s">
        <v>2888</v>
      </c>
      <c r="N210" s="48"/>
      <c r="O210" s="48"/>
      <c r="P210" s="48"/>
      <c r="Q210" s="48"/>
      <c r="R210" s="48"/>
      <c r="S210" s="52"/>
      <c r="T210" s="48"/>
    </row>
    <row r="211" spans="1:20" x14ac:dyDescent="0.3">
      <c r="A211" s="48">
        <v>198</v>
      </c>
      <c r="B211" s="48" t="s">
        <v>2782</v>
      </c>
      <c r="C211" s="5" t="s">
        <v>775</v>
      </c>
      <c r="E211" s="6">
        <v>12</v>
      </c>
      <c r="F211" s="6">
        <v>199</v>
      </c>
      <c r="G211" s="48">
        <v>405.9</v>
      </c>
      <c r="H211" s="48"/>
      <c r="I211" s="50"/>
      <c r="J211" s="48"/>
      <c r="K211" s="48"/>
      <c r="L211" s="48" t="s">
        <v>153</v>
      </c>
      <c r="M211" s="48" t="s">
        <v>180</v>
      </c>
      <c r="N211" s="48"/>
      <c r="O211" s="50">
        <v>45849</v>
      </c>
      <c r="P211" s="48"/>
      <c r="Q211" s="48">
        <v>2294</v>
      </c>
      <c r="R211" s="48"/>
      <c r="S211" s="52"/>
      <c r="T211" s="48"/>
    </row>
    <row r="212" spans="1:20" x14ac:dyDescent="0.3">
      <c r="A212" s="48">
        <v>199</v>
      </c>
      <c r="B212" s="48" t="s">
        <v>2798</v>
      </c>
      <c r="C212" s="5" t="s">
        <v>2213</v>
      </c>
      <c r="D212" s="47" t="s">
        <v>2214</v>
      </c>
      <c r="E212" s="6">
        <v>24</v>
      </c>
      <c r="F212" s="6">
        <v>224</v>
      </c>
      <c r="G212" s="6">
        <v>1202.2</v>
      </c>
      <c r="H212" s="48"/>
      <c r="I212" s="50"/>
      <c r="J212" s="48"/>
      <c r="K212" s="48"/>
      <c r="L212" s="48" t="s">
        <v>823</v>
      </c>
      <c r="M212" s="48" t="s">
        <v>2888</v>
      </c>
      <c r="N212" s="48"/>
      <c r="O212" s="50">
        <v>45849</v>
      </c>
      <c r="P212" s="48"/>
      <c r="Q212" s="48">
        <v>2296</v>
      </c>
      <c r="R212" s="48"/>
      <c r="S212" s="52"/>
      <c r="T212" s="48"/>
    </row>
    <row r="213" spans="1:20" x14ac:dyDescent="0.3">
      <c r="A213" s="48">
        <v>200</v>
      </c>
      <c r="B213" s="48" t="s">
        <v>2798</v>
      </c>
      <c r="C213" s="5" t="s">
        <v>2213</v>
      </c>
      <c r="D213" s="47" t="s">
        <v>2214</v>
      </c>
      <c r="E213" s="48" t="s">
        <v>3074</v>
      </c>
      <c r="F213" s="48" t="s">
        <v>3075</v>
      </c>
      <c r="G213" s="48">
        <v>48</v>
      </c>
      <c r="H213" s="48"/>
      <c r="I213" s="50"/>
      <c r="J213" s="48"/>
      <c r="K213" s="48"/>
      <c r="L213" s="48" t="s">
        <v>1</v>
      </c>
      <c r="M213" s="48" t="s">
        <v>2888</v>
      </c>
      <c r="N213" s="48"/>
      <c r="O213" s="50">
        <v>45849</v>
      </c>
      <c r="P213" s="48"/>
      <c r="Q213" s="48">
        <v>2297</v>
      </c>
      <c r="R213" s="48"/>
      <c r="S213" s="52"/>
      <c r="T213" s="48"/>
    </row>
    <row r="214" spans="1:20" ht="15.75" x14ac:dyDescent="0.25">
      <c r="A214" s="48">
        <v>201</v>
      </c>
      <c r="B214" s="48" t="s">
        <v>2792</v>
      </c>
      <c r="C214" s="19" t="s">
        <v>2657</v>
      </c>
      <c r="D214" s="4" t="s">
        <v>2658</v>
      </c>
      <c r="E214" s="3">
        <v>13</v>
      </c>
      <c r="F214" s="3">
        <v>159</v>
      </c>
      <c r="G214" s="3">
        <v>213.9</v>
      </c>
      <c r="H214" s="3" t="s">
        <v>75</v>
      </c>
      <c r="I214" s="21">
        <v>45849</v>
      </c>
      <c r="J214" s="48"/>
      <c r="K214" s="48" t="s">
        <v>2773</v>
      </c>
      <c r="L214" s="48" t="s">
        <v>1</v>
      </c>
      <c r="M214" s="48" t="s">
        <v>2754</v>
      </c>
      <c r="N214" s="48"/>
      <c r="O214" s="48"/>
      <c r="P214" s="48"/>
      <c r="Q214" s="48"/>
      <c r="R214" s="48"/>
      <c r="S214" s="52"/>
      <c r="T214" s="48"/>
    </row>
    <row r="215" spans="1:20" ht="15.75" x14ac:dyDescent="0.25">
      <c r="A215" s="48">
        <v>202</v>
      </c>
      <c r="B215" s="48" t="s">
        <v>2792</v>
      </c>
      <c r="C215" s="48" t="s">
        <v>3076</v>
      </c>
      <c r="D215" s="49" t="s">
        <v>3077</v>
      </c>
      <c r="E215" s="48">
        <v>18</v>
      </c>
      <c r="F215" s="48">
        <v>252</v>
      </c>
      <c r="G215" s="48">
        <v>1415.3</v>
      </c>
      <c r="H215" s="48"/>
      <c r="I215" s="21">
        <v>45849</v>
      </c>
      <c r="J215" s="48"/>
      <c r="K215" s="48" t="s">
        <v>2773</v>
      </c>
      <c r="L215" s="48" t="s">
        <v>153</v>
      </c>
      <c r="M215" s="48" t="s">
        <v>2754</v>
      </c>
      <c r="N215" s="48"/>
      <c r="O215" s="48"/>
      <c r="P215" s="48"/>
      <c r="Q215" s="48"/>
      <c r="R215" s="48"/>
      <c r="S215" s="52"/>
      <c r="T215" s="48"/>
    </row>
    <row r="216" spans="1:20" ht="15.75" x14ac:dyDescent="0.25">
      <c r="A216" s="48">
        <v>203</v>
      </c>
      <c r="B216" s="48" t="s">
        <v>2782</v>
      </c>
      <c r="C216" s="48" t="s">
        <v>3078</v>
      </c>
      <c r="D216" s="49" t="s">
        <v>3079</v>
      </c>
      <c r="E216" s="48">
        <v>31</v>
      </c>
      <c r="F216" s="48">
        <v>363</v>
      </c>
      <c r="G216" s="48">
        <v>867.4</v>
      </c>
      <c r="H216" s="48"/>
      <c r="I216" s="21">
        <v>45849</v>
      </c>
      <c r="J216" s="48"/>
      <c r="K216" s="48" t="s">
        <v>2773</v>
      </c>
      <c r="L216" s="48" t="s">
        <v>3080</v>
      </c>
      <c r="M216" s="48" t="s">
        <v>2888</v>
      </c>
      <c r="N216" s="48"/>
      <c r="O216" s="48"/>
      <c r="P216" s="48"/>
      <c r="Q216" s="48"/>
      <c r="R216" s="48"/>
      <c r="S216" s="52"/>
      <c r="T216" s="48"/>
    </row>
    <row r="217" spans="1:20" ht="15.75" x14ac:dyDescent="0.25">
      <c r="A217" s="48">
        <v>204</v>
      </c>
      <c r="B217" s="48" t="s">
        <v>2782</v>
      </c>
      <c r="C217" s="48" t="s">
        <v>3081</v>
      </c>
      <c r="D217" s="49" t="s">
        <v>3082</v>
      </c>
      <c r="E217" s="48">
        <v>9</v>
      </c>
      <c r="F217" s="48">
        <v>237</v>
      </c>
      <c r="G217" s="48">
        <v>2084.1999999999998</v>
      </c>
      <c r="H217" s="48"/>
      <c r="I217" s="21">
        <v>45849</v>
      </c>
      <c r="J217" s="48"/>
      <c r="K217" s="48" t="s">
        <v>2773</v>
      </c>
      <c r="L217" s="48" t="s">
        <v>153</v>
      </c>
      <c r="M217" s="48" t="s">
        <v>2888</v>
      </c>
      <c r="N217" s="48"/>
      <c r="O217" s="48"/>
      <c r="P217" s="48"/>
      <c r="Q217" s="48"/>
      <c r="R217" s="48"/>
      <c r="S217" s="52"/>
      <c r="T217" s="48"/>
    </row>
    <row r="218" spans="1:20" ht="15.75" x14ac:dyDescent="0.25">
      <c r="A218" s="48">
        <v>205</v>
      </c>
      <c r="B218" s="48" t="s">
        <v>2792</v>
      </c>
      <c r="C218" s="48" t="s">
        <v>2122</v>
      </c>
      <c r="D218" s="49" t="s">
        <v>3083</v>
      </c>
      <c r="E218" s="48">
        <v>9</v>
      </c>
      <c r="F218" s="48">
        <v>324</v>
      </c>
      <c r="G218" s="48">
        <v>1504.4</v>
      </c>
      <c r="H218" s="48"/>
      <c r="I218" s="21">
        <v>45849</v>
      </c>
      <c r="J218" s="48"/>
      <c r="K218" s="48" t="s">
        <v>2773</v>
      </c>
      <c r="L218" s="48" t="s">
        <v>62</v>
      </c>
      <c r="M218" s="48" t="s">
        <v>2754</v>
      </c>
      <c r="N218" s="48"/>
      <c r="O218" s="48"/>
      <c r="P218" s="48"/>
      <c r="Q218" s="48"/>
      <c r="R218" s="48"/>
      <c r="S218" s="52"/>
      <c r="T218" s="48"/>
    </row>
    <row r="219" spans="1:20" ht="15.75" x14ac:dyDescent="0.25">
      <c r="A219" s="48">
        <v>206</v>
      </c>
      <c r="B219" s="48" t="s">
        <v>2792</v>
      </c>
      <c r="C219" s="48" t="s">
        <v>3089</v>
      </c>
      <c r="D219" s="49" t="s">
        <v>3090</v>
      </c>
      <c r="E219" s="48">
        <v>34</v>
      </c>
      <c r="F219" s="48">
        <v>720</v>
      </c>
      <c r="G219" s="48">
        <v>2005.4</v>
      </c>
      <c r="H219" s="48"/>
      <c r="I219" s="21">
        <v>45849</v>
      </c>
      <c r="J219" s="48"/>
      <c r="K219" s="48" t="s">
        <v>2773</v>
      </c>
      <c r="L219" s="48" t="s">
        <v>62</v>
      </c>
      <c r="M219" s="48" t="s">
        <v>2754</v>
      </c>
      <c r="N219" s="48"/>
      <c r="O219" s="48"/>
      <c r="P219" s="48"/>
      <c r="Q219" s="48"/>
      <c r="R219" s="48"/>
      <c r="S219" s="52"/>
      <c r="T219" s="48"/>
    </row>
    <row r="220" spans="1:20" ht="15.75" x14ac:dyDescent="0.25">
      <c r="A220" s="48">
        <v>207</v>
      </c>
      <c r="B220" s="48" t="s">
        <v>2794</v>
      </c>
      <c r="C220" s="48" t="s">
        <v>3091</v>
      </c>
      <c r="D220" s="49" t="s">
        <v>3092</v>
      </c>
      <c r="E220" s="48">
        <v>3</v>
      </c>
      <c r="F220" s="48">
        <v>376</v>
      </c>
      <c r="G220" s="48">
        <v>1355.3</v>
      </c>
      <c r="H220" s="48"/>
      <c r="I220" s="21">
        <v>45849</v>
      </c>
      <c r="J220" s="48"/>
      <c r="K220" s="48" t="s">
        <v>2773</v>
      </c>
      <c r="L220" s="48" t="s">
        <v>62</v>
      </c>
      <c r="M220" s="48" t="s">
        <v>2796</v>
      </c>
      <c r="N220" s="48"/>
      <c r="O220" s="48"/>
      <c r="P220" s="48"/>
      <c r="Q220" s="48"/>
      <c r="R220" s="48"/>
      <c r="S220" s="52"/>
      <c r="T220" s="48"/>
    </row>
    <row r="221" spans="1:20" ht="15.75" x14ac:dyDescent="0.25">
      <c r="A221" s="48">
        <v>208</v>
      </c>
      <c r="B221" s="48" t="s">
        <v>2794</v>
      </c>
      <c r="C221" s="48" t="s">
        <v>3093</v>
      </c>
      <c r="D221" s="49" t="s">
        <v>3094</v>
      </c>
      <c r="E221" s="48">
        <v>19</v>
      </c>
      <c r="F221" s="48">
        <v>771</v>
      </c>
      <c r="G221" s="48">
        <v>2003.9</v>
      </c>
      <c r="H221" s="48"/>
      <c r="I221" s="21">
        <v>45849</v>
      </c>
      <c r="J221" s="48"/>
      <c r="K221" s="48" t="s">
        <v>2773</v>
      </c>
      <c r="L221" s="48" t="s">
        <v>153</v>
      </c>
      <c r="M221" s="48" t="s">
        <v>2796</v>
      </c>
      <c r="N221" s="48"/>
      <c r="O221" s="48"/>
      <c r="P221" s="48"/>
      <c r="Q221" s="48"/>
      <c r="R221" s="48"/>
      <c r="S221" s="52"/>
      <c r="T221" s="48"/>
    </row>
    <row r="222" spans="1:20" ht="15.75" x14ac:dyDescent="0.25">
      <c r="A222" s="48">
        <v>209</v>
      </c>
      <c r="B222" s="48" t="s">
        <v>2801</v>
      </c>
      <c r="C222" s="48" t="s">
        <v>3097</v>
      </c>
      <c r="D222" s="49" t="s">
        <v>3098</v>
      </c>
      <c r="E222" s="48">
        <v>30</v>
      </c>
      <c r="F222" s="48">
        <v>303</v>
      </c>
      <c r="G222" s="48">
        <v>544.1</v>
      </c>
      <c r="H222" s="48"/>
      <c r="I222" s="21">
        <v>45849</v>
      </c>
      <c r="J222" s="48"/>
      <c r="K222" s="48" t="s">
        <v>2773</v>
      </c>
      <c r="L222" s="48" t="s">
        <v>62</v>
      </c>
      <c r="M222" s="48" t="s">
        <v>2888</v>
      </c>
      <c r="N222" s="48"/>
      <c r="O222" s="48"/>
      <c r="P222" s="48"/>
      <c r="Q222" s="48"/>
      <c r="R222" s="48"/>
      <c r="S222" s="52"/>
      <c r="T222" s="48"/>
    </row>
    <row r="223" spans="1:20" ht="15.75" x14ac:dyDescent="0.25">
      <c r="A223" s="48">
        <v>210</v>
      </c>
      <c r="B223" s="48" t="s">
        <v>2782</v>
      </c>
      <c r="C223" s="48" t="s">
        <v>3099</v>
      </c>
      <c r="D223" s="49" t="s">
        <v>3100</v>
      </c>
      <c r="E223" s="48">
        <v>3</v>
      </c>
      <c r="F223" s="48">
        <v>1985</v>
      </c>
      <c r="G223" s="48">
        <v>81.400000000000006</v>
      </c>
      <c r="H223" s="48"/>
      <c r="I223" s="21">
        <v>45849</v>
      </c>
      <c r="J223" s="48"/>
      <c r="K223" s="48" t="s">
        <v>2773</v>
      </c>
      <c r="L223" s="48" t="s">
        <v>1</v>
      </c>
      <c r="M223" s="48" t="s">
        <v>2888</v>
      </c>
      <c r="N223" s="48"/>
      <c r="O223" s="48"/>
      <c r="P223" s="48"/>
      <c r="Q223" s="48"/>
      <c r="R223" s="48"/>
      <c r="S223" s="52"/>
      <c r="T223" s="48"/>
    </row>
    <row r="224" spans="1:20" ht="15.75" x14ac:dyDescent="0.25">
      <c r="A224" s="48">
        <v>211</v>
      </c>
      <c r="B224" s="48" t="s">
        <v>2798</v>
      </c>
      <c r="C224" s="48" t="s">
        <v>3101</v>
      </c>
      <c r="D224" s="49" t="s">
        <v>3102</v>
      </c>
      <c r="E224" s="48">
        <v>8</v>
      </c>
      <c r="F224" s="48">
        <v>524</v>
      </c>
      <c r="G224" s="48"/>
      <c r="H224" s="48"/>
      <c r="I224" s="21">
        <v>45849</v>
      </c>
      <c r="J224" s="48"/>
      <c r="K224" s="48" t="s">
        <v>2773</v>
      </c>
      <c r="L224" s="48" t="s">
        <v>153</v>
      </c>
      <c r="M224" s="48" t="s">
        <v>2964</v>
      </c>
      <c r="N224" s="48"/>
      <c r="O224" s="48"/>
      <c r="P224" s="48"/>
      <c r="Q224" s="48"/>
      <c r="R224" s="48"/>
      <c r="S224" s="52"/>
      <c r="T224" s="48"/>
    </row>
    <row r="225" spans="1:20" ht="15.75" x14ac:dyDescent="0.25">
      <c r="A225" s="48">
        <v>212</v>
      </c>
      <c r="B225" s="48" t="s">
        <v>2794</v>
      </c>
      <c r="C225" s="48" t="s">
        <v>3103</v>
      </c>
      <c r="D225" s="49" t="s">
        <v>3104</v>
      </c>
      <c r="E225" s="48">
        <v>10</v>
      </c>
      <c r="F225" s="48">
        <v>422</v>
      </c>
      <c r="G225" s="48">
        <v>3824.7</v>
      </c>
      <c r="H225" s="48"/>
      <c r="I225" s="21">
        <v>45849</v>
      </c>
      <c r="J225" s="48"/>
      <c r="K225" s="48" t="s">
        <v>2773</v>
      </c>
      <c r="L225" s="48" t="s">
        <v>823</v>
      </c>
      <c r="M225" s="48" t="s">
        <v>2796</v>
      </c>
      <c r="N225" s="48"/>
      <c r="O225" s="48"/>
      <c r="P225" s="48"/>
      <c r="Q225" s="48"/>
      <c r="R225" s="48"/>
      <c r="S225" s="52"/>
      <c r="T225" s="48"/>
    </row>
    <row r="226" spans="1:20" ht="15.75" x14ac:dyDescent="0.25">
      <c r="A226" s="48">
        <v>213</v>
      </c>
      <c r="B226" s="48" t="s">
        <v>2794</v>
      </c>
      <c r="C226" s="48" t="s">
        <v>3105</v>
      </c>
      <c r="D226" s="49" t="s">
        <v>3104</v>
      </c>
      <c r="E226" s="48">
        <v>3</v>
      </c>
      <c r="F226" s="48" t="s">
        <v>3106</v>
      </c>
      <c r="G226" s="48" t="s">
        <v>3107</v>
      </c>
      <c r="H226" s="48"/>
      <c r="I226" s="21">
        <v>45849</v>
      </c>
      <c r="J226" s="48"/>
      <c r="K226" s="48" t="s">
        <v>2773</v>
      </c>
      <c r="L226" s="48" t="s">
        <v>1</v>
      </c>
      <c r="M226" s="48" t="s">
        <v>2796</v>
      </c>
      <c r="N226" s="48"/>
      <c r="O226" s="48"/>
      <c r="P226" s="48"/>
      <c r="Q226" s="48"/>
      <c r="R226" s="48"/>
      <c r="S226" s="52"/>
      <c r="T226" s="48"/>
    </row>
    <row r="227" spans="1:20" ht="15.75" x14ac:dyDescent="0.25">
      <c r="A227" s="48">
        <v>214</v>
      </c>
      <c r="B227" s="48" t="s">
        <v>2792</v>
      </c>
      <c r="C227" s="48" t="s">
        <v>3108</v>
      </c>
      <c r="D227" s="49" t="s">
        <v>3104</v>
      </c>
      <c r="E227" s="48">
        <v>29</v>
      </c>
      <c r="F227" s="48">
        <v>379</v>
      </c>
      <c r="G227" s="48">
        <v>739</v>
      </c>
      <c r="H227" s="48"/>
      <c r="I227" s="21">
        <v>45849</v>
      </c>
      <c r="J227" s="48"/>
      <c r="K227" s="48" t="s">
        <v>2773</v>
      </c>
      <c r="L227" s="48" t="s">
        <v>62</v>
      </c>
      <c r="M227" s="48" t="s">
        <v>2754</v>
      </c>
      <c r="N227" s="48"/>
      <c r="O227" s="48"/>
      <c r="P227" s="48"/>
      <c r="Q227" s="48"/>
      <c r="R227" s="48"/>
      <c r="S227" s="52"/>
      <c r="T227" s="48"/>
    </row>
    <row r="228" spans="1:20" ht="15.75" x14ac:dyDescent="0.25">
      <c r="A228" s="48">
        <v>215</v>
      </c>
      <c r="B228" s="48" t="s">
        <v>2798</v>
      </c>
      <c r="C228" s="48" t="s">
        <v>3109</v>
      </c>
      <c r="D228" s="49" t="s">
        <v>3104</v>
      </c>
      <c r="E228" s="48">
        <v>25</v>
      </c>
      <c r="F228" s="48">
        <v>189</v>
      </c>
      <c r="G228" s="48">
        <v>2357.6999999999998</v>
      </c>
      <c r="H228" s="48"/>
      <c r="I228" s="21">
        <v>45849</v>
      </c>
      <c r="J228" s="48"/>
      <c r="K228" s="48" t="s">
        <v>2773</v>
      </c>
      <c r="L228" s="48" t="s">
        <v>62</v>
      </c>
      <c r="M228" s="48" t="s">
        <v>2964</v>
      </c>
      <c r="N228" s="48"/>
      <c r="O228" s="48"/>
      <c r="P228" s="48"/>
      <c r="Q228" s="48"/>
      <c r="R228" s="48"/>
      <c r="S228" s="52"/>
      <c r="T228" s="48"/>
    </row>
    <row r="229" spans="1:20" x14ac:dyDescent="0.3">
      <c r="A229" s="48">
        <v>216</v>
      </c>
      <c r="B229" s="48" t="s">
        <v>2801</v>
      </c>
      <c r="C229" s="5" t="s">
        <v>1633</v>
      </c>
      <c r="D229" s="47" t="s">
        <v>3113</v>
      </c>
      <c r="E229" s="6">
        <v>35</v>
      </c>
      <c r="F229" s="6">
        <v>578</v>
      </c>
      <c r="G229" s="6">
        <v>90</v>
      </c>
      <c r="H229" s="48"/>
      <c r="I229" s="50">
        <v>45764</v>
      </c>
      <c r="J229" s="48"/>
      <c r="K229" s="48"/>
      <c r="L229" s="48" t="s">
        <v>52</v>
      </c>
      <c r="M229" s="48" t="s">
        <v>3114</v>
      </c>
      <c r="N229" s="48"/>
      <c r="O229" s="50">
        <v>45852</v>
      </c>
      <c r="P229" s="48"/>
      <c r="Q229" s="48">
        <v>2316</v>
      </c>
      <c r="R229" s="48"/>
      <c r="S229" s="52"/>
      <c r="T229" s="48"/>
    </row>
    <row r="230" spans="1:20" x14ac:dyDescent="0.3">
      <c r="A230" s="48">
        <v>217</v>
      </c>
      <c r="B230" s="48" t="s">
        <v>2792</v>
      </c>
      <c r="C230" s="19" t="s">
        <v>200</v>
      </c>
      <c r="D230" s="47" t="s">
        <v>3115</v>
      </c>
      <c r="E230" s="3">
        <v>6</v>
      </c>
      <c r="F230" s="3">
        <v>121</v>
      </c>
      <c r="G230" s="3">
        <v>49.3</v>
      </c>
      <c r="H230" s="48"/>
      <c r="I230" s="50">
        <v>45664</v>
      </c>
      <c r="J230" s="48"/>
      <c r="K230" s="48"/>
      <c r="L230" s="48" t="s">
        <v>62</v>
      </c>
      <c r="M230" s="48" t="s">
        <v>2754</v>
      </c>
      <c r="N230" s="48"/>
      <c r="O230" s="50">
        <v>45852</v>
      </c>
      <c r="P230" s="48"/>
      <c r="Q230" s="48">
        <v>2324</v>
      </c>
      <c r="R230" s="48"/>
      <c r="S230" s="52"/>
      <c r="T230" s="48"/>
    </row>
    <row r="231" spans="1:20" ht="15.75" x14ac:dyDescent="0.25">
      <c r="A231" s="48">
        <v>218</v>
      </c>
      <c r="B231" s="48" t="s">
        <v>2801</v>
      </c>
      <c r="C231" s="48" t="s">
        <v>3124</v>
      </c>
      <c r="D231" s="49" t="s">
        <v>3125</v>
      </c>
      <c r="E231" s="48">
        <v>32</v>
      </c>
      <c r="F231" s="48">
        <v>177</v>
      </c>
      <c r="G231" s="48">
        <v>293.60000000000002</v>
      </c>
      <c r="H231" s="48"/>
      <c r="I231" s="50">
        <v>45852</v>
      </c>
      <c r="J231" s="48"/>
      <c r="K231" s="48" t="s">
        <v>2773</v>
      </c>
      <c r="L231" s="48" t="s">
        <v>62</v>
      </c>
      <c r="M231" s="48" t="s">
        <v>2888</v>
      </c>
      <c r="N231" s="48"/>
      <c r="O231" s="48"/>
      <c r="P231" s="48"/>
      <c r="Q231" s="48"/>
      <c r="R231" s="48"/>
      <c r="S231" s="52"/>
      <c r="T231" s="48"/>
    </row>
    <row r="232" spans="1:20" ht="15.75" x14ac:dyDescent="0.25">
      <c r="A232" s="48">
        <v>219</v>
      </c>
      <c r="B232" s="48" t="s">
        <v>2801</v>
      </c>
      <c r="C232" s="48" t="s">
        <v>3126</v>
      </c>
      <c r="D232" s="49" t="s">
        <v>3127</v>
      </c>
      <c r="E232" s="48">
        <v>36</v>
      </c>
      <c r="F232" s="48">
        <v>223</v>
      </c>
      <c r="G232" s="48">
        <v>118</v>
      </c>
      <c r="H232" s="48"/>
      <c r="I232" s="50">
        <v>45852</v>
      </c>
      <c r="J232" s="48" t="s">
        <v>3222</v>
      </c>
      <c r="K232" s="48" t="s">
        <v>2773</v>
      </c>
      <c r="L232" s="48" t="s">
        <v>52</v>
      </c>
      <c r="M232" s="48" t="s">
        <v>2888</v>
      </c>
      <c r="N232" s="48"/>
      <c r="O232" s="48"/>
      <c r="P232" s="48"/>
      <c r="Q232" s="48"/>
      <c r="R232" s="48"/>
      <c r="S232" s="52"/>
      <c r="T232" s="48"/>
    </row>
    <row r="233" spans="1:20" ht="15.75" x14ac:dyDescent="0.25">
      <c r="A233" s="48">
        <v>220</v>
      </c>
      <c r="B233" s="48" t="s">
        <v>2801</v>
      </c>
      <c r="C233" s="48" t="s">
        <v>3128</v>
      </c>
      <c r="D233" s="49" t="s">
        <v>3129</v>
      </c>
      <c r="E233" s="48">
        <v>12</v>
      </c>
      <c r="F233" s="48">
        <v>374</v>
      </c>
      <c r="G233" s="48">
        <v>3329.8</v>
      </c>
      <c r="H233" s="48"/>
      <c r="I233" s="50">
        <v>45852</v>
      </c>
      <c r="J233" s="48"/>
      <c r="K233" s="48" t="s">
        <v>2773</v>
      </c>
      <c r="L233" s="48" t="s">
        <v>1</v>
      </c>
      <c r="M233" s="48" t="s">
        <v>2888</v>
      </c>
      <c r="N233" s="48"/>
      <c r="O233" s="48"/>
      <c r="P233" s="48"/>
      <c r="Q233" s="48"/>
      <c r="R233" s="48"/>
      <c r="S233" s="52"/>
      <c r="T233" s="48"/>
    </row>
    <row r="234" spans="1:20" ht="15.75" x14ac:dyDescent="0.25">
      <c r="A234" s="48">
        <v>221</v>
      </c>
      <c r="B234" s="48" t="s">
        <v>2801</v>
      </c>
      <c r="C234" s="48" t="s">
        <v>3130</v>
      </c>
      <c r="D234" s="49" t="s">
        <v>3131</v>
      </c>
      <c r="E234" s="48">
        <v>8</v>
      </c>
      <c r="F234" s="48">
        <v>374</v>
      </c>
      <c r="G234" s="48">
        <v>325.2</v>
      </c>
      <c r="H234" s="48"/>
      <c r="I234" s="50">
        <v>45852</v>
      </c>
      <c r="J234" s="48"/>
      <c r="K234" s="48" t="s">
        <v>2773</v>
      </c>
      <c r="L234" s="48" t="s">
        <v>62</v>
      </c>
      <c r="M234" s="48" t="s">
        <v>2888</v>
      </c>
      <c r="N234" s="48"/>
      <c r="O234" s="48"/>
      <c r="P234" s="48"/>
      <c r="Q234" s="48"/>
      <c r="R234" s="48"/>
      <c r="S234" s="52"/>
      <c r="T234" s="48"/>
    </row>
    <row r="235" spans="1:20" ht="15.75" x14ac:dyDescent="0.25">
      <c r="A235" s="48">
        <v>222</v>
      </c>
      <c r="B235" s="48" t="s">
        <v>2798</v>
      </c>
      <c r="C235" s="48" t="s">
        <v>3132</v>
      </c>
      <c r="D235" s="49" t="s">
        <v>3133</v>
      </c>
      <c r="E235" s="48" t="s">
        <v>3134</v>
      </c>
      <c r="F235" s="48" t="s">
        <v>3135</v>
      </c>
      <c r="G235" s="48">
        <v>123.8</v>
      </c>
      <c r="H235" s="48"/>
      <c r="I235" s="50">
        <v>45852</v>
      </c>
      <c r="J235" s="48"/>
      <c r="K235" s="48" t="s">
        <v>2773</v>
      </c>
      <c r="L235" s="48" t="s">
        <v>1</v>
      </c>
      <c r="M235" s="48" t="s">
        <v>2964</v>
      </c>
      <c r="N235" s="48"/>
      <c r="O235" s="48"/>
      <c r="P235" s="48"/>
      <c r="Q235" s="48"/>
      <c r="R235" s="48"/>
      <c r="S235" s="52"/>
      <c r="T235" s="48"/>
    </row>
    <row r="236" spans="1:20" ht="15.75" x14ac:dyDescent="0.25">
      <c r="A236" s="48">
        <v>223</v>
      </c>
      <c r="B236" s="48" t="s">
        <v>2792</v>
      </c>
      <c r="C236" s="48" t="s">
        <v>3136</v>
      </c>
      <c r="D236" s="49" t="s">
        <v>3137</v>
      </c>
      <c r="E236" s="48">
        <v>8</v>
      </c>
      <c r="F236" s="48">
        <v>459</v>
      </c>
      <c r="G236" s="48">
        <v>94</v>
      </c>
      <c r="H236" s="48"/>
      <c r="I236" s="50">
        <v>45852</v>
      </c>
      <c r="J236" s="48"/>
      <c r="K236" s="48" t="s">
        <v>2773</v>
      </c>
      <c r="L236" s="48" t="s">
        <v>52</v>
      </c>
      <c r="M236" s="48" t="s">
        <v>2754</v>
      </c>
      <c r="N236" s="48"/>
      <c r="O236" s="48"/>
      <c r="P236" s="48"/>
      <c r="Q236" s="48"/>
      <c r="R236" s="48"/>
      <c r="S236" s="52"/>
      <c r="T236" s="48"/>
    </row>
    <row r="237" spans="1:20" ht="15.75" x14ac:dyDescent="0.25">
      <c r="A237" s="48">
        <v>224</v>
      </c>
      <c r="B237" s="48" t="s">
        <v>2792</v>
      </c>
      <c r="C237" s="48" t="s">
        <v>3138</v>
      </c>
      <c r="D237" s="49" t="s">
        <v>3139</v>
      </c>
      <c r="E237" s="48">
        <v>46</v>
      </c>
      <c r="F237" s="48">
        <v>624</v>
      </c>
      <c r="G237" s="48">
        <v>564.79999999999995</v>
      </c>
      <c r="H237" s="48"/>
      <c r="I237" s="50">
        <v>45852</v>
      </c>
      <c r="J237" s="48"/>
      <c r="K237" s="48" t="s">
        <v>2773</v>
      </c>
      <c r="L237" s="48" t="s">
        <v>62</v>
      </c>
      <c r="M237" s="48" t="s">
        <v>2754</v>
      </c>
      <c r="N237" s="48"/>
      <c r="O237" s="48"/>
      <c r="P237" s="48"/>
      <c r="Q237" s="48"/>
      <c r="R237" s="48"/>
      <c r="S237" s="52"/>
      <c r="T237" s="48"/>
    </row>
    <row r="238" spans="1:20" ht="15.75" x14ac:dyDescent="0.25">
      <c r="A238" s="48">
        <v>225</v>
      </c>
      <c r="B238" s="48" t="s">
        <v>2794</v>
      </c>
      <c r="C238" s="48" t="s">
        <v>3140</v>
      </c>
      <c r="D238" s="49" t="s">
        <v>3141</v>
      </c>
      <c r="E238" s="48">
        <v>14</v>
      </c>
      <c r="F238" s="48">
        <v>968</v>
      </c>
      <c r="G238" s="48">
        <v>1020.7</v>
      </c>
      <c r="H238" s="48"/>
      <c r="I238" s="50">
        <v>45852</v>
      </c>
      <c r="J238" s="48" t="s">
        <v>3167</v>
      </c>
      <c r="K238" s="48" t="s">
        <v>2773</v>
      </c>
      <c r="L238" s="48" t="s">
        <v>62</v>
      </c>
      <c r="M238" s="48" t="s">
        <v>2796</v>
      </c>
      <c r="N238" s="48"/>
      <c r="O238" s="48"/>
      <c r="P238" s="48"/>
      <c r="Q238" s="48"/>
      <c r="R238" s="48"/>
      <c r="S238" s="52"/>
      <c r="T238" s="48"/>
    </row>
    <row r="239" spans="1:20" ht="15.75" x14ac:dyDescent="0.25">
      <c r="A239" s="48">
        <v>226</v>
      </c>
      <c r="B239" s="48" t="s">
        <v>2782</v>
      </c>
      <c r="C239" s="48" t="s">
        <v>3142</v>
      </c>
      <c r="D239" s="49" t="s">
        <v>3143</v>
      </c>
      <c r="E239" s="48">
        <v>10</v>
      </c>
      <c r="F239" s="48">
        <v>516</v>
      </c>
      <c r="G239" s="48">
        <v>4669.8</v>
      </c>
      <c r="H239" s="48"/>
      <c r="I239" s="50">
        <v>45852</v>
      </c>
      <c r="J239" s="48"/>
      <c r="K239" s="48" t="s">
        <v>2773</v>
      </c>
      <c r="L239" s="48" t="s">
        <v>153</v>
      </c>
      <c r="M239" s="48" t="s">
        <v>2888</v>
      </c>
      <c r="N239" s="48"/>
      <c r="O239" s="48"/>
      <c r="P239" s="48"/>
      <c r="Q239" s="48"/>
      <c r="R239" s="48"/>
      <c r="S239" s="52"/>
      <c r="T239" s="48"/>
    </row>
    <row r="240" spans="1:20" ht="15.75" x14ac:dyDescent="0.25">
      <c r="A240" s="48">
        <v>227</v>
      </c>
      <c r="B240" s="48" t="s">
        <v>2782</v>
      </c>
      <c r="C240" s="48" t="s">
        <v>3144</v>
      </c>
      <c r="D240" s="49" t="s">
        <v>3145</v>
      </c>
      <c r="E240" s="48">
        <v>20</v>
      </c>
      <c r="F240" s="48">
        <v>804</v>
      </c>
      <c r="G240" s="48">
        <v>193.2</v>
      </c>
      <c r="H240" s="48"/>
      <c r="I240" s="50">
        <v>45852</v>
      </c>
      <c r="J240" s="48"/>
      <c r="K240" s="48" t="s">
        <v>2773</v>
      </c>
      <c r="L240" s="48" t="s">
        <v>62</v>
      </c>
      <c r="M240" s="48" t="s">
        <v>2888</v>
      </c>
      <c r="N240" s="48"/>
      <c r="O240" s="48"/>
      <c r="P240" s="48"/>
      <c r="Q240" s="48"/>
      <c r="R240" s="48"/>
      <c r="S240" s="52"/>
      <c r="T240" s="48"/>
    </row>
    <row r="241" spans="1:20" ht="15.75" x14ac:dyDescent="0.25">
      <c r="A241" s="48">
        <v>228</v>
      </c>
      <c r="B241" s="48" t="s">
        <v>2782</v>
      </c>
      <c r="C241" s="48" t="s">
        <v>3146</v>
      </c>
      <c r="D241" s="49" t="s">
        <v>3147</v>
      </c>
      <c r="E241" s="48">
        <v>40</v>
      </c>
      <c r="F241" s="48">
        <v>437</v>
      </c>
      <c r="G241" s="48">
        <v>86.3</v>
      </c>
      <c r="H241" s="48"/>
      <c r="I241" s="50">
        <v>45852</v>
      </c>
      <c r="J241" s="48"/>
      <c r="K241" s="48" t="s">
        <v>2773</v>
      </c>
      <c r="L241" s="48" t="s">
        <v>3080</v>
      </c>
      <c r="M241" s="48" t="s">
        <v>2888</v>
      </c>
      <c r="N241" s="48"/>
      <c r="O241" s="48"/>
      <c r="P241" s="48"/>
      <c r="Q241" s="48"/>
      <c r="R241" s="48"/>
      <c r="S241" s="52"/>
      <c r="T241" s="48"/>
    </row>
    <row r="242" spans="1:20" ht="15.75" x14ac:dyDescent="0.25">
      <c r="A242" s="48">
        <v>229</v>
      </c>
      <c r="B242" s="48" t="s">
        <v>2782</v>
      </c>
      <c r="C242" s="48" t="s">
        <v>3148</v>
      </c>
      <c r="D242" s="49" t="s">
        <v>3149</v>
      </c>
      <c r="E242" s="48">
        <v>32</v>
      </c>
      <c r="F242" s="48">
        <v>159</v>
      </c>
      <c r="G242" s="48">
        <v>431.5</v>
      </c>
      <c r="H242" s="48"/>
      <c r="I242" s="50">
        <v>45852</v>
      </c>
      <c r="J242" s="48"/>
      <c r="K242" s="48" t="s">
        <v>2773</v>
      </c>
      <c r="L242" s="48" t="s">
        <v>62</v>
      </c>
      <c r="M242" s="48" t="s">
        <v>2888</v>
      </c>
      <c r="N242" s="48"/>
      <c r="O242" s="48"/>
      <c r="P242" s="48"/>
      <c r="Q242" s="48"/>
      <c r="R242" s="48"/>
      <c r="S242" s="52"/>
      <c r="T242" s="48"/>
    </row>
    <row r="243" spans="1:20" ht="15.75" x14ac:dyDescent="0.25">
      <c r="A243" s="48">
        <v>230</v>
      </c>
      <c r="B243" s="48" t="s">
        <v>2782</v>
      </c>
      <c r="C243" s="48" t="s">
        <v>3150</v>
      </c>
      <c r="D243" s="49" t="s">
        <v>3151</v>
      </c>
      <c r="E243" s="48">
        <v>9</v>
      </c>
      <c r="F243" s="48">
        <v>136</v>
      </c>
      <c r="G243" s="48">
        <v>926.1</v>
      </c>
      <c r="H243" s="48"/>
      <c r="I243" s="50">
        <v>45852</v>
      </c>
      <c r="J243" s="48"/>
      <c r="K243" s="48" t="s">
        <v>2773</v>
      </c>
      <c r="L243" s="48" t="s">
        <v>153</v>
      </c>
      <c r="M243" s="48" t="s">
        <v>2888</v>
      </c>
      <c r="N243" s="48"/>
      <c r="O243" s="48"/>
      <c r="P243" s="48"/>
      <c r="Q243" s="48"/>
      <c r="R243" s="48"/>
      <c r="S243" s="52"/>
      <c r="T243" s="48"/>
    </row>
    <row r="244" spans="1:20" ht="15.75" x14ac:dyDescent="0.25">
      <c r="A244" s="48">
        <v>231</v>
      </c>
      <c r="B244" s="48" t="s">
        <v>2794</v>
      </c>
      <c r="C244" s="48" t="s">
        <v>3152</v>
      </c>
      <c r="D244" s="49" t="s">
        <v>3153</v>
      </c>
      <c r="E244" s="48">
        <v>13</v>
      </c>
      <c r="F244" s="48">
        <v>530</v>
      </c>
      <c r="G244" s="48">
        <v>3145.9</v>
      </c>
      <c r="H244" s="48"/>
      <c r="I244" s="50">
        <v>45852</v>
      </c>
      <c r="J244" s="48"/>
      <c r="K244" s="48" t="s">
        <v>2773</v>
      </c>
      <c r="L244" s="48" t="s">
        <v>153</v>
      </c>
      <c r="M244" s="48" t="s">
        <v>2796</v>
      </c>
      <c r="N244" s="48"/>
      <c r="O244" s="48"/>
      <c r="P244" s="48"/>
      <c r="Q244" s="48"/>
      <c r="R244" s="48"/>
      <c r="S244" s="52"/>
      <c r="T244" s="48"/>
    </row>
    <row r="245" spans="1:20" ht="47.25" x14ac:dyDescent="0.25">
      <c r="A245" s="48">
        <v>232</v>
      </c>
      <c r="B245" s="48" t="s">
        <v>2792</v>
      </c>
      <c r="C245" s="5" t="s">
        <v>1486</v>
      </c>
      <c r="D245" s="4" t="s">
        <v>2481</v>
      </c>
      <c r="E245" s="6">
        <v>24</v>
      </c>
      <c r="F245" s="6" t="s">
        <v>2482</v>
      </c>
      <c r="G245" s="6" t="s">
        <v>2483</v>
      </c>
      <c r="H245" s="48"/>
      <c r="I245" s="50">
        <v>45852</v>
      </c>
      <c r="J245" s="48"/>
      <c r="K245" s="48" t="s">
        <v>2773</v>
      </c>
      <c r="L245" s="48" t="s">
        <v>62</v>
      </c>
      <c r="M245" s="48" t="s">
        <v>2754</v>
      </c>
      <c r="N245" s="48"/>
      <c r="O245" s="48"/>
      <c r="P245" s="48"/>
      <c r="Q245" s="48"/>
      <c r="R245" s="48"/>
      <c r="S245" s="52"/>
      <c r="T245" s="48"/>
    </row>
    <row r="246" spans="1:20" ht="15.75" x14ac:dyDescent="0.25">
      <c r="A246" s="48">
        <v>233</v>
      </c>
      <c r="B246" s="48" t="s">
        <v>2801</v>
      </c>
      <c r="C246" s="48" t="s">
        <v>1098</v>
      </c>
      <c r="D246" s="49" t="s">
        <v>3154</v>
      </c>
      <c r="E246" s="48">
        <v>39</v>
      </c>
      <c r="F246" s="48">
        <v>345</v>
      </c>
      <c r="G246" s="48">
        <v>100</v>
      </c>
      <c r="H246" s="48"/>
      <c r="I246" s="50">
        <v>45852</v>
      </c>
      <c r="J246" s="48"/>
      <c r="K246" s="48" t="s">
        <v>2773</v>
      </c>
      <c r="L246" s="48" t="s">
        <v>3010</v>
      </c>
      <c r="M246" s="48" t="s">
        <v>2888</v>
      </c>
      <c r="N246" s="48"/>
      <c r="O246" s="48"/>
      <c r="P246" s="48"/>
      <c r="Q246" s="48"/>
      <c r="R246" s="48"/>
      <c r="S246" s="52"/>
      <c r="T246" s="48"/>
    </row>
    <row r="247" spans="1:20" ht="15.75" x14ac:dyDescent="0.25">
      <c r="A247" s="48">
        <v>234</v>
      </c>
      <c r="B247" s="48" t="s">
        <v>3155</v>
      </c>
      <c r="C247" s="48" t="s">
        <v>3156</v>
      </c>
      <c r="D247" s="49" t="s">
        <v>3157</v>
      </c>
      <c r="E247" s="48">
        <v>10</v>
      </c>
      <c r="F247" s="48">
        <v>380</v>
      </c>
      <c r="G247" s="48">
        <v>292.8</v>
      </c>
      <c r="H247" s="48"/>
      <c r="I247" s="50">
        <v>45852</v>
      </c>
      <c r="J247" s="48"/>
      <c r="K247" s="48" t="s">
        <v>2773</v>
      </c>
      <c r="L247" s="48" t="s">
        <v>62</v>
      </c>
      <c r="M247" s="48" t="s">
        <v>2888</v>
      </c>
      <c r="N247" s="48"/>
      <c r="O247" s="48"/>
      <c r="P247" s="48"/>
      <c r="Q247" s="48"/>
      <c r="R247" s="48"/>
      <c r="S247" s="52"/>
      <c r="T247" s="48"/>
    </row>
    <row r="248" spans="1:20" ht="15.75" x14ac:dyDescent="0.25">
      <c r="A248" s="48">
        <v>235</v>
      </c>
      <c r="B248" s="48" t="s">
        <v>2794</v>
      </c>
      <c r="C248" s="48" t="s">
        <v>3158</v>
      </c>
      <c r="D248" s="49" t="s">
        <v>3159</v>
      </c>
      <c r="E248" s="48">
        <v>5</v>
      </c>
      <c r="F248" s="48">
        <v>13</v>
      </c>
      <c r="G248" s="48">
        <v>2822.2</v>
      </c>
      <c r="H248" s="48"/>
      <c r="I248" s="50">
        <v>45852</v>
      </c>
      <c r="J248" s="48"/>
      <c r="K248" s="48" t="s">
        <v>2773</v>
      </c>
      <c r="L248" s="48" t="s">
        <v>153</v>
      </c>
      <c r="M248" s="48" t="s">
        <v>2796</v>
      </c>
      <c r="N248" s="48"/>
      <c r="O248" s="48"/>
      <c r="P248" s="48"/>
      <c r="Q248" s="48"/>
      <c r="R248" s="48"/>
      <c r="S248" s="52"/>
      <c r="T248" s="48"/>
    </row>
    <row r="249" spans="1:20" ht="15.75" x14ac:dyDescent="0.25">
      <c r="A249" s="48">
        <v>236</v>
      </c>
      <c r="B249" s="48" t="s">
        <v>2794</v>
      </c>
      <c r="C249" s="48" t="s">
        <v>3160</v>
      </c>
      <c r="D249" s="49" t="s">
        <v>3161</v>
      </c>
      <c r="E249" s="48">
        <v>1</v>
      </c>
      <c r="F249" s="48" t="s">
        <v>3162</v>
      </c>
      <c r="G249" s="48"/>
      <c r="H249" s="48"/>
      <c r="I249" s="50">
        <v>45852</v>
      </c>
      <c r="J249" s="48"/>
      <c r="K249" s="48" t="s">
        <v>2773</v>
      </c>
      <c r="L249" s="48" t="s">
        <v>1</v>
      </c>
      <c r="M249" s="48" t="s">
        <v>2796</v>
      </c>
      <c r="N249" s="48"/>
      <c r="O249" s="48"/>
      <c r="P249" s="48"/>
      <c r="Q249" s="48"/>
      <c r="R249" s="48"/>
      <c r="S249" s="52"/>
      <c r="T249" s="48"/>
    </row>
    <row r="250" spans="1:20" x14ac:dyDescent="0.3">
      <c r="A250" s="48">
        <v>237</v>
      </c>
      <c r="B250" s="48" t="s">
        <v>2794</v>
      </c>
      <c r="C250" s="19" t="s">
        <v>3163</v>
      </c>
      <c r="D250" s="47" t="s">
        <v>3164</v>
      </c>
      <c r="E250" s="6">
        <v>13</v>
      </c>
      <c r="F250" s="6">
        <v>36</v>
      </c>
      <c r="G250" s="6">
        <v>79.3</v>
      </c>
      <c r="H250" s="48"/>
      <c r="I250" s="50">
        <v>45476</v>
      </c>
      <c r="J250" s="48"/>
      <c r="K250" s="48"/>
      <c r="L250" s="48" t="s">
        <v>52</v>
      </c>
      <c r="M250" s="48" t="s">
        <v>1276</v>
      </c>
      <c r="N250" s="48"/>
      <c r="O250" s="50">
        <v>45854</v>
      </c>
      <c r="P250" s="48"/>
      <c r="Q250" s="48">
        <v>2375</v>
      </c>
      <c r="R250" s="48"/>
      <c r="S250" s="52"/>
      <c r="T250" s="48"/>
    </row>
    <row r="251" spans="1:20" ht="15.75" x14ac:dyDescent="0.25">
      <c r="A251" s="48">
        <v>238</v>
      </c>
      <c r="B251" s="48" t="s">
        <v>2794</v>
      </c>
      <c r="C251" s="48" t="s">
        <v>3165</v>
      </c>
      <c r="D251" s="49" t="s">
        <v>3166</v>
      </c>
      <c r="E251" s="48">
        <v>39</v>
      </c>
      <c r="F251" s="48">
        <v>489</v>
      </c>
      <c r="G251" s="48">
        <v>97</v>
      </c>
      <c r="H251" s="48"/>
      <c r="I251" s="50">
        <v>45854</v>
      </c>
      <c r="J251" s="48"/>
      <c r="K251" s="48" t="s">
        <v>2773</v>
      </c>
      <c r="L251" s="48" t="s">
        <v>52</v>
      </c>
      <c r="M251" s="48" t="s">
        <v>2796</v>
      </c>
      <c r="N251" s="48"/>
      <c r="O251" s="48"/>
      <c r="P251" s="48"/>
      <c r="Q251" s="48"/>
      <c r="R251" s="48"/>
      <c r="S251" s="52"/>
      <c r="T251" s="48"/>
    </row>
    <row r="252" spans="1:20" ht="15.75" x14ac:dyDescent="0.25">
      <c r="A252" s="48">
        <v>239</v>
      </c>
      <c r="B252" s="48" t="s">
        <v>2794</v>
      </c>
      <c r="C252" s="48" t="s">
        <v>3204</v>
      </c>
      <c r="D252" s="49" t="s">
        <v>3201</v>
      </c>
      <c r="E252" s="48">
        <v>2</v>
      </c>
      <c r="F252" s="48" t="s">
        <v>3202</v>
      </c>
      <c r="G252" s="48" t="s">
        <v>3203</v>
      </c>
      <c r="H252" s="48"/>
      <c r="I252" s="50">
        <v>45854</v>
      </c>
      <c r="J252" s="48"/>
      <c r="K252" s="48" t="s">
        <v>2773</v>
      </c>
      <c r="L252" s="48" t="s">
        <v>1</v>
      </c>
      <c r="M252" s="48" t="s">
        <v>2796</v>
      </c>
      <c r="N252" s="48"/>
      <c r="O252" s="48"/>
      <c r="P252" s="48"/>
      <c r="Q252" s="48"/>
      <c r="R252" s="48"/>
      <c r="S252" s="52"/>
      <c r="T252" s="48"/>
    </row>
    <row r="253" spans="1:20" ht="15.75" x14ac:dyDescent="0.25">
      <c r="A253" s="48">
        <v>240</v>
      </c>
      <c r="B253" s="48" t="s">
        <v>2794</v>
      </c>
      <c r="C253" s="48" t="s">
        <v>3205</v>
      </c>
      <c r="D253" s="49" t="s">
        <v>3206</v>
      </c>
      <c r="E253" s="48" t="s">
        <v>3207</v>
      </c>
      <c r="F253" s="48">
        <v>360</v>
      </c>
      <c r="G253" s="48">
        <v>455.6</v>
      </c>
      <c r="H253" s="48"/>
      <c r="I253" s="50">
        <v>45854</v>
      </c>
      <c r="J253" s="48"/>
      <c r="K253" s="48" t="s">
        <v>2773</v>
      </c>
      <c r="L253" s="48" t="s">
        <v>62</v>
      </c>
      <c r="M253" s="48" t="s">
        <v>2796</v>
      </c>
      <c r="N253" s="48"/>
      <c r="O253" s="48"/>
      <c r="P253" s="48"/>
      <c r="Q253" s="48"/>
      <c r="R253" s="48"/>
      <c r="S253" s="52"/>
      <c r="T253" s="48"/>
    </row>
    <row r="254" spans="1:20" ht="15.75" x14ac:dyDescent="0.25">
      <c r="A254" s="48">
        <v>241</v>
      </c>
      <c r="B254" s="48" t="s">
        <v>2794</v>
      </c>
      <c r="C254" s="48" t="s">
        <v>3208</v>
      </c>
      <c r="D254" s="49" t="s">
        <v>3209</v>
      </c>
      <c r="E254" s="48">
        <v>3</v>
      </c>
      <c r="F254" s="48">
        <v>240</v>
      </c>
      <c r="G254" s="48">
        <v>605</v>
      </c>
      <c r="H254" s="48"/>
      <c r="I254" s="50">
        <v>45854</v>
      </c>
      <c r="J254" s="48"/>
      <c r="K254" s="48" t="s">
        <v>2773</v>
      </c>
      <c r="L254" s="48" t="s">
        <v>1</v>
      </c>
      <c r="M254" s="48" t="s">
        <v>2796</v>
      </c>
      <c r="N254" s="48"/>
      <c r="O254" s="48"/>
      <c r="P254" s="48"/>
      <c r="Q254" s="48"/>
      <c r="R254" s="48"/>
      <c r="S254" s="52"/>
      <c r="T254" s="48"/>
    </row>
    <row r="255" spans="1:20" ht="15.75" x14ac:dyDescent="0.25">
      <c r="A255" s="48">
        <v>242</v>
      </c>
      <c r="B255" s="48" t="s">
        <v>2798</v>
      </c>
      <c r="C255" s="48" t="s">
        <v>965</v>
      </c>
      <c r="D255" s="49" t="s">
        <v>3210</v>
      </c>
      <c r="E255" s="48">
        <v>29</v>
      </c>
      <c r="F255" s="48">
        <v>205</v>
      </c>
      <c r="G255" s="48">
        <v>886</v>
      </c>
      <c r="H255" s="48"/>
      <c r="I255" s="50">
        <v>45854</v>
      </c>
      <c r="J255" s="48"/>
      <c r="K255" s="48" t="s">
        <v>2773</v>
      </c>
      <c r="L255" s="48" t="s">
        <v>823</v>
      </c>
      <c r="M255" s="48" t="s">
        <v>2964</v>
      </c>
      <c r="N255" s="48"/>
      <c r="O255" s="48"/>
      <c r="P255" s="48"/>
      <c r="Q255" s="48"/>
      <c r="R255" s="48"/>
      <c r="S255" s="52"/>
      <c r="T255" s="48"/>
    </row>
    <row r="256" spans="1:20" ht="15.75" x14ac:dyDescent="0.25">
      <c r="A256" s="48">
        <v>243</v>
      </c>
      <c r="B256" s="48" t="s">
        <v>2798</v>
      </c>
      <c r="C256" s="48" t="s">
        <v>3211</v>
      </c>
      <c r="D256" s="49" t="s">
        <v>3212</v>
      </c>
      <c r="E256" s="48">
        <v>28</v>
      </c>
      <c r="F256" s="48">
        <v>45</v>
      </c>
      <c r="G256" s="48">
        <v>2161.5</v>
      </c>
      <c r="H256" s="48"/>
      <c r="I256" s="50">
        <v>45854</v>
      </c>
      <c r="J256" s="48"/>
      <c r="K256" s="48" t="s">
        <v>2773</v>
      </c>
      <c r="L256" s="48" t="s">
        <v>153</v>
      </c>
      <c r="M256" s="48" t="s">
        <v>2754</v>
      </c>
      <c r="N256" s="48"/>
      <c r="O256" s="48"/>
      <c r="P256" s="48"/>
      <c r="Q256" s="48"/>
      <c r="R256" s="48"/>
      <c r="S256" s="52"/>
      <c r="T256" s="48"/>
    </row>
    <row r="257" spans="1:20" ht="15.75" x14ac:dyDescent="0.25">
      <c r="A257" s="48">
        <v>244</v>
      </c>
      <c r="B257" s="48" t="s">
        <v>2798</v>
      </c>
      <c r="C257" s="48" t="s">
        <v>3213</v>
      </c>
      <c r="D257" s="49" t="s">
        <v>3214</v>
      </c>
      <c r="E257" s="48">
        <v>47</v>
      </c>
      <c r="F257" s="48">
        <v>12</v>
      </c>
      <c r="G257" s="48">
        <v>2210</v>
      </c>
      <c r="H257" s="48"/>
      <c r="I257" s="50">
        <v>45854</v>
      </c>
      <c r="J257" s="48"/>
      <c r="K257" s="48" t="s">
        <v>2773</v>
      </c>
      <c r="L257" s="48" t="s">
        <v>62</v>
      </c>
      <c r="M257" s="48" t="s">
        <v>2964</v>
      </c>
      <c r="N257" s="48"/>
      <c r="O257" s="48"/>
      <c r="P257" s="48"/>
      <c r="Q257" s="48"/>
      <c r="R257" s="48"/>
      <c r="S257" s="52"/>
      <c r="T257" s="48"/>
    </row>
    <row r="258" spans="1:20" ht="15.75" x14ac:dyDescent="0.25">
      <c r="A258" s="48">
        <v>245</v>
      </c>
      <c r="B258" s="48" t="s">
        <v>2798</v>
      </c>
      <c r="C258" s="48" t="s">
        <v>1962</v>
      </c>
      <c r="D258" s="49" t="s">
        <v>3215</v>
      </c>
      <c r="E258" s="48" t="s">
        <v>3216</v>
      </c>
      <c r="F258" s="48">
        <v>358</v>
      </c>
      <c r="G258" s="48">
        <v>2242.4</v>
      </c>
      <c r="H258" s="48"/>
      <c r="I258" s="50">
        <v>45854</v>
      </c>
      <c r="J258" s="48"/>
      <c r="K258" s="48" t="s">
        <v>2773</v>
      </c>
      <c r="L258" s="48" t="s">
        <v>153</v>
      </c>
      <c r="M258" s="48" t="s">
        <v>2964</v>
      </c>
      <c r="N258" s="48"/>
      <c r="O258" s="48"/>
      <c r="P258" s="48"/>
      <c r="Q258" s="48"/>
      <c r="R258" s="48"/>
      <c r="S258" s="52"/>
      <c r="T258" s="48"/>
    </row>
    <row r="259" spans="1:20" ht="15.75" x14ac:dyDescent="0.25">
      <c r="A259" s="48">
        <v>246</v>
      </c>
      <c r="B259" s="48" t="s">
        <v>2801</v>
      </c>
      <c r="C259" s="48" t="s">
        <v>3217</v>
      </c>
      <c r="D259" s="49" t="s">
        <v>3218</v>
      </c>
      <c r="E259" s="48">
        <v>8</v>
      </c>
      <c r="F259" s="48">
        <v>485</v>
      </c>
      <c r="G259" s="48">
        <v>694.8</v>
      </c>
      <c r="H259" s="48"/>
      <c r="I259" s="50">
        <v>45854</v>
      </c>
      <c r="J259" s="48"/>
      <c r="K259" s="48" t="s">
        <v>2773</v>
      </c>
      <c r="L259" s="48" t="s">
        <v>153</v>
      </c>
      <c r="M259" s="48" t="s">
        <v>2888</v>
      </c>
      <c r="N259" s="48"/>
      <c r="O259" s="48"/>
      <c r="P259" s="48"/>
      <c r="Q259" s="48"/>
      <c r="R259" s="48"/>
      <c r="S259" s="52"/>
      <c r="T259" s="48"/>
    </row>
    <row r="260" spans="1:20" ht="15.75" x14ac:dyDescent="0.25">
      <c r="A260" s="48">
        <v>247</v>
      </c>
      <c r="B260" s="48" t="s">
        <v>2798</v>
      </c>
      <c r="C260" s="48" t="s">
        <v>3219</v>
      </c>
      <c r="D260" s="49" t="s">
        <v>3220</v>
      </c>
      <c r="E260" s="48">
        <v>18</v>
      </c>
      <c r="F260" s="48">
        <v>40</v>
      </c>
      <c r="G260" s="48">
        <v>972.1</v>
      </c>
      <c r="H260" s="48"/>
      <c r="I260" s="50">
        <v>45854</v>
      </c>
      <c r="J260" s="48"/>
      <c r="K260" s="48" t="s">
        <v>2773</v>
      </c>
      <c r="L260" s="48" t="s">
        <v>153</v>
      </c>
      <c r="M260" s="48" t="s">
        <v>2964</v>
      </c>
      <c r="N260" s="48"/>
      <c r="O260" s="48"/>
      <c r="P260" s="48"/>
      <c r="Q260" s="48"/>
      <c r="R260" s="48"/>
      <c r="S260" s="52"/>
      <c r="T260" s="48"/>
    </row>
    <row r="261" spans="1:20" ht="15.75" x14ac:dyDescent="0.25">
      <c r="A261" s="48">
        <v>248</v>
      </c>
      <c r="B261" s="48" t="s">
        <v>2798</v>
      </c>
      <c r="C261" s="48" t="s">
        <v>2979</v>
      </c>
      <c r="D261" s="49" t="s">
        <v>3221</v>
      </c>
      <c r="E261" s="48">
        <v>14</v>
      </c>
      <c r="F261" s="48">
        <v>43</v>
      </c>
      <c r="G261" s="48">
        <v>1504.9</v>
      </c>
      <c r="H261" s="48"/>
      <c r="I261" s="50">
        <v>45854</v>
      </c>
      <c r="J261" s="48"/>
      <c r="K261" s="48" t="s">
        <v>2773</v>
      </c>
      <c r="L261" s="48" t="s">
        <v>1</v>
      </c>
      <c r="M261" s="48" t="s">
        <v>2964</v>
      </c>
      <c r="N261" s="48"/>
      <c r="O261" s="48"/>
      <c r="P261" s="48"/>
      <c r="Q261" s="48"/>
      <c r="R261" s="48"/>
      <c r="S261" s="52"/>
      <c r="T261" s="48"/>
    </row>
    <row r="262" spans="1:20" ht="15.75" x14ac:dyDescent="0.25">
      <c r="A262" s="48">
        <v>249</v>
      </c>
      <c r="B262" s="48" t="s">
        <v>2801</v>
      </c>
      <c r="C262" s="48" t="s">
        <v>3223</v>
      </c>
      <c r="D262" s="49" t="s">
        <v>3224</v>
      </c>
      <c r="E262" s="48">
        <v>8</v>
      </c>
      <c r="F262" s="48" t="s">
        <v>3225</v>
      </c>
      <c r="G262" s="48" t="s">
        <v>3226</v>
      </c>
      <c r="H262" s="48"/>
      <c r="I262" s="50">
        <v>45854</v>
      </c>
      <c r="J262" s="48"/>
      <c r="K262" s="48" t="s">
        <v>2773</v>
      </c>
      <c r="L262" s="48" t="s">
        <v>1</v>
      </c>
      <c r="M262" s="48" t="s">
        <v>2888</v>
      </c>
      <c r="N262" s="48"/>
      <c r="O262" s="48"/>
      <c r="P262" s="48"/>
      <c r="Q262" s="48"/>
      <c r="R262" s="48"/>
      <c r="S262" s="52"/>
      <c r="T262" s="48"/>
    </row>
    <row r="263" spans="1:20" ht="15.75" x14ac:dyDescent="0.25">
      <c r="A263" s="48">
        <v>250</v>
      </c>
      <c r="B263" s="48" t="s">
        <v>2801</v>
      </c>
      <c r="C263" s="48" t="s">
        <v>3227</v>
      </c>
      <c r="D263" s="49" t="s">
        <v>3228</v>
      </c>
      <c r="E263" s="48">
        <v>13</v>
      </c>
      <c r="F263" s="48" t="s">
        <v>3229</v>
      </c>
      <c r="G263" s="48"/>
      <c r="H263" s="48"/>
      <c r="I263" s="50">
        <v>45854</v>
      </c>
      <c r="J263" s="48"/>
      <c r="K263" s="48" t="s">
        <v>2773</v>
      </c>
      <c r="L263" s="48" t="s">
        <v>1</v>
      </c>
      <c r="M263" s="48" t="s">
        <v>2888</v>
      </c>
      <c r="N263" s="48"/>
      <c r="O263" s="48"/>
      <c r="P263" s="48"/>
      <c r="Q263" s="48"/>
      <c r="R263" s="48"/>
      <c r="S263" s="52"/>
      <c r="T263" s="48"/>
    </row>
    <row r="264" spans="1:20" ht="15.75" x14ac:dyDescent="0.25">
      <c r="A264" s="48">
        <v>251</v>
      </c>
      <c r="B264" s="48" t="s">
        <v>2798</v>
      </c>
      <c r="C264" s="48" t="s">
        <v>3230</v>
      </c>
      <c r="D264" s="49" t="s">
        <v>3231</v>
      </c>
      <c r="E264" s="48">
        <v>16</v>
      </c>
      <c r="F264" s="48">
        <v>222</v>
      </c>
      <c r="G264" s="48">
        <v>1827.9</v>
      </c>
      <c r="H264" s="48"/>
      <c r="I264" s="50">
        <v>45854</v>
      </c>
      <c r="J264" s="48"/>
      <c r="K264" s="48" t="s">
        <v>2773</v>
      </c>
      <c r="L264" s="48" t="s">
        <v>1</v>
      </c>
      <c r="M264" s="48" t="s">
        <v>2964</v>
      </c>
      <c r="N264" s="48"/>
      <c r="O264" s="48"/>
      <c r="P264" s="48"/>
      <c r="Q264" s="48"/>
      <c r="R264" s="48"/>
      <c r="S264" s="52"/>
      <c r="T264" s="48"/>
    </row>
    <row r="265" spans="1:20" ht="15.75" x14ac:dyDescent="0.25">
      <c r="A265" s="48">
        <v>252</v>
      </c>
      <c r="B265" s="48" t="s">
        <v>2792</v>
      </c>
      <c r="C265" s="48" t="s">
        <v>176</v>
      </c>
      <c r="D265" s="49" t="s">
        <v>3232</v>
      </c>
      <c r="E265" s="48">
        <v>47</v>
      </c>
      <c r="F265" s="48">
        <v>660</v>
      </c>
      <c r="G265" s="48">
        <v>188.1</v>
      </c>
      <c r="H265" s="48"/>
      <c r="I265" s="50">
        <v>45854</v>
      </c>
      <c r="J265" s="48"/>
      <c r="K265" s="48" t="s">
        <v>2773</v>
      </c>
      <c r="L265" s="48" t="s">
        <v>153</v>
      </c>
      <c r="M265" s="48" t="s">
        <v>2754</v>
      </c>
      <c r="N265" s="48"/>
      <c r="O265" s="48"/>
      <c r="P265" s="48"/>
      <c r="Q265" s="48"/>
      <c r="R265" s="48"/>
      <c r="S265" s="52"/>
      <c r="T265" s="48"/>
    </row>
    <row r="266" spans="1:20" ht="15.75" x14ac:dyDescent="0.25">
      <c r="A266" s="48">
        <v>253</v>
      </c>
      <c r="B266" s="48" t="s">
        <v>2794</v>
      </c>
      <c r="C266" s="48" t="s">
        <v>3233</v>
      </c>
      <c r="D266" s="49" t="s">
        <v>3234</v>
      </c>
      <c r="E266" s="48">
        <v>25</v>
      </c>
      <c r="F266" s="48">
        <v>141</v>
      </c>
      <c r="G266" s="48">
        <v>108.2</v>
      </c>
      <c r="H266" s="48"/>
      <c r="I266" s="50">
        <v>45854</v>
      </c>
      <c r="J266" s="48"/>
      <c r="K266" s="48" t="s">
        <v>2773</v>
      </c>
      <c r="L266" s="48" t="s">
        <v>1</v>
      </c>
      <c r="M266" s="48" t="s">
        <v>2796</v>
      </c>
      <c r="N266" s="48"/>
      <c r="O266" s="48"/>
      <c r="P266" s="48"/>
      <c r="Q266" s="48"/>
      <c r="R266" s="48"/>
      <c r="S266" s="52"/>
      <c r="T266" s="48"/>
    </row>
    <row r="267" spans="1:20" ht="15.75" x14ac:dyDescent="0.25">
      <c r="A267" s="48">
        <v>254</v>
      </c>
      <c r="B267" s="48" t="s">
        <v>2794</v>
      </c>
      <c r="C267" s="48" t="s">
        <v>3235</v>
      </c>
      <c r="D267" s="49" t="s">
        <v>3236</v>
      </c>
      <c r="E267" s="48">
        <v>37</v>
      </c>
      <c r="F267" s="48">
        <v>92</v>
      </c>
      <c r="G267" s="48">
        <v>190</v>
      </c>
      <c r="H267" s="48"/>
      <c r="I267" s="50">
        <v>45854</v>
      </c>
      <c r="J267" s="48"/>
      <c r="K267" s="48" t="s">
        <v>2773</v>
      </c>
      <c r="L267" s="48" t="s">
        <v>52</v>
      </c>
      <c r="M267" s="48" t="s">
        <v>2796</v>
      </c>
      <c r="N267" s="48"/>
      <c r="O267" s="48"/>
      <c r="P267" s="48"/>
      <c r="Q267" s="48"/>
      <c r="R267" s="48"/>
      <c r="S267" s="52"/>
      <c r="T267" s="48"/>
    </row>
    <row r="268" spans="1:20" ht="15.75" x14ac:dyDescent="0.25">
      <c r="A268" s="48">
        <v>255</v>
      </c>
      <c r="B268" s="48" t="s">
        <v>2792</v>
      </c>
      <c r="C268" s="48" t="s">
        <v>3237</v>
      </c>
      <c r="D268" s="49" t="s">
        <v>3238</v>
      </c>
      <c r="E268" s="48">
        <v>44</v>
      </c>
      <c r="F268" s="48">
        <v>40</v>
      </c>
      <c r="G268" s="48"/>
      <c r="H268" s="48"/>
      <c r="I268" s="50">
        <v>45854</v>
      </c>
      <c r="J268" s="48"/>
      <c r="K268" s="48" t="s">
        <v>2773</v>
      </c>
      <c r="L268" s="48" t="s">
        <v>2759</v>
      </c>
      <c r="M268" s="48" t="s">
        <v>2754</v>
      </c>
      <c r="N268" s="48"/>
      <c r="O268" s="48"/>
      <c r="P268" s="48"/>
      <c r="Q268" s="48"/>
      <c r="R268" s="48"/>
      <c r="S268" s="52"/>
      <c r="T268" s="48"/>
    </row>
    <row r="269" spans="1:20" x14ac:dyDescent="0.3">
      <c r="A269" s="48">
        <v>256</v>
      </c>
      <c r="B269" s="48" t="s">
        <v>2792</v>
      </c>
      <c r="C269" s="48" t="s">
        <v>3239</v>
      </c>
      <c r="D269" s="47" t="s">
        <v>3240</v>
      </c>
      <c r="E269" s="48">
        <v>39</v>
      </c>
      <c r="F269" s="48">
        <v>287</v>
      </c>
      <c r="G269" s="48"/>
      <c r="H269" s="48"/>
      <c r="I269" s="50">
        <v>45854</v>
      </c>
      <c r="J269" s="48"/>
      <c r="K269" s="48" t="s">
        <v>2773</v>
      </c>
      <c r="L269" s="48" t="s">
        <v>52</v>
      </c>
      <c r="M269" s="48" t="s">
        <v>2754</v>
      </c>
      <c r="N269" s="48"/>
      <c r="O269" s="48"/>
      <c r="P269" s="48"/>
      <c r="Q269" s="48"/>
      <c r="R269" s="48"/>
      <c r="S269" s="52"/>
      <c r="T269" s="48"/>
    </row>
    <row r="270" spans="1:20" ht="15.75" x14ac:dyDescent="0.25">
      <c r="A270" s="48">
        <v>257</v>
      </c>
      <c r="B270" s="48" t="s">
        <v>2801</v>
      </c>
      <c r="C270" s="48" t="s">
        <v>3241</v>
      </c>
      <c r="D270" s="49" t="s">
        <v>3242</v>
      </c>
      <c r="E270" s="48">
        <v>4</v>
      </c>
      <c r="F270" s="48" t="s">
        <v>3243</v>
      </c>
      <c r="G270" s="48"/>
      <c r="H270" s="48"/>
      <c r="I270" s="50">
        <v>45854</v>
      </c>
      <c r="J270" s="48"/>
      <c r="K270" s="48" t="s">
        <v>2773</v>
      </c>
      <c r="L270" s="48" t="s">
        <v>1</v>
      </c>
      <c r="M270" s="48" t="s">
        <v>2888</v>
      </c>
      <c r="N270" s="48"/>
      <c r="O270" s="48"/>
      <c r="P270" s="48"/>
      <c r="Q270" s="48"/>
      <c r="R270" s="48"/>
      <c r="S270" s="52"/>
      <c r="T270" s="48"/>
    </row>
    <row r="271" spans="1:20" ht="15.75" x14ac:dyDescent="0.25">
      <c r="A271" s="48">
        <v>258</v>
      </c>
      <c r="B271" s="48" t="s">
        <v>2801</v>
      </c>
      <c r="C271" s="48" t="s">
        <v>3241</v>
      </c>
      <c r="D271" s="49" t="s">
        <v>3242</v>
      </c>
      <c r="E271" s="48">
        <v>4</v>
      </c>
      <c r="F271" s="48">
        <v>245</v>
      </c>
      <c r="G271" s="48"/>
      <c r="H271" s="48"/>
      <c r="I271" s="50">
        <v>45854</v>
      </c>
      <c r="J271" s="48"/>
      <c r="K271" s="48" t="s">
        <v>2773</v>
      </c>
      <c r="L271" s="48" t="s">
        <v>1</v>
      </c>
      <c r="M271" s="48" t="s">
        <v>2888</v>
      </c>
      <c r="N271" s="48"/>
      <c r="O271" s="48"/>
      <c r="P271" s="48"/>
      <c r="Q271" s="48"/>
      <c r="R271" s="48"/>
      <c r="S271" s="52"/>
      <c r="T271" s="48"/>
    </row>
    <row r="272" spans="1:20" ht="15.75" x14ac:dyDescent="0.25">
      <c r="A272" s="48">
        <v>259</v>
      </c>
      <c r="B272" s="48" t="s">
        <v>2801</v>
      </c>
      <c r="C272" s="48" t="s">
        <v>3244</v>
      </c>
      <c r="D272" s="49" t="s">
        <v>3245</v>
      </c>
      <c r="E272" s="48">
        <v>3</v>
      </c>
      <c r="F272" s="48">
        <v>230</v>
      </c>
      <c r="G272" s="48"/>
      <c r="H272" s="48"/>
      <c r="I272" s="50">
        <v>45854</v>
      </c>
      <c r="J272" s="48"/>
      <c r="K272" s="48" t="s">
        <v>2773</v>
      </c>
      <c r="L272" s="48" t="s">
        <v>2759</v>
      </c>
      <c r="M272" s="48" t="s">
        <v>2888</v>
      </c>
      <c r="N272" s="48"/>
      <c r="O272" s="48"/>
      <c r="P272" s="48"/>
      <c r="Q272" s="48"/>
      <c r="R272" s="48"/>
      <c r="S272" s="52"/>
      <c r="T272" s="48"/>
    </row>
    <row r="273" spans="1:20" ht="15.75" x14ac:dyDescent="0.25">
      <c r="A273" s="48">
        <v>260</v>
      </c>
      <c r="B273" s="48" t="s">
        <v>2782</v>
      </c>
      <c r="C273" s="48" t="s">
        <v>2478</v>
      </c>
      <c r="D273" s="49" t="s">
        <v>3236</v>
      </c>
      <c r="E273" s="48">
        <v>19</v>
      </c>
      <c r="F273" s="48">
        <v>1</v>
      </c>
      <c r="G273" s="48">
        <v>761.1</v>
      </c>
      <c r="H273" s="48"/>
      <c r="I273" s="50">
        <v>45854</v>
      </c>
      <c r="J273" s="48"/>
      <c r="K273" s="48" t="s">
        <v>2773</v>
      </c>
      <c r="L273" s="48" t="s">
        <v>1</v>
      </c>
      <c r="M273" s="48" t="s">
        <v>2888</v>
      </c>
      <c r="N273" s="48"/>
      <c r="O273" s="48"/>
      <c r="P273" s="48"/>
      <c r="Q273" s="48"/>
      <c r="R273" s="48"/>
      <c r="S273" s="52"/>
      <c r="T273" s="48"/>
    </row>
    <row r="274" spans="1:20" ht="15.75" x14ac:dyDescent="0.25">
      <c r="A274" s="48">
        <v>261</v>
      </c>
      <c r="B274" s="48" t="s">
        <v>2782</v>
      </c>
      <c r="C274" s="48" t="s">
        <v>3246</v>
      </c>
      <c r="D274" s="49" t="s">
        <v>3247</v>
      </c>
      <c r="E274" s="48">
        <v>1</v>
      </c>
      <c r="F274" s="48">
        <v>12</v>
      </c>
      <c r="G274" s="48">
        <v>283.8</v>
      </c>
      <c r="H274" s="48"/>
      <c r="I274" s="50">
        <v>45854</v>
      </c>
      <c r="J274" s="48"/>
      <c r="K274" s="48" t="s">
        <v>2773</v>
      </c>
      <c r="L274" s="48" t="s">
        <v>1</v>
      </c>
      <c r="M274" s="48" t="s">
        <v>2888</v>
      </c>
      <c r="N274" s="48"/>
      <c r="O274" s="48"/>
      <c r="P274" s="48"/>
      <c r="Q274" s="48"/>
      <c r="R274" s="48"/>
      <c r="S274" s="52"/>
      <c r="T274" s="48"/>
    </row>
    <row r="275" spans="1:20" ht="15.75" x14ac:dyDescent="0.25">
      <c r="A275" s="48">
        <v>262</v>
      </c>
      <c r="B275" s="48" t="s">
        <v>2782</v>
      </c>
      <c r="C275" s="48" t="s">
        <v>3248</v>
      </c>
      <c r="D275" s="49" t="s">
        <v>3249</v>
      </c>
      <c r="E275" s="48">
        <v>10</v>
      </c>
      <c r="F275" s="48">
        <v>696</v>
      </c>
      <c r="G275" s="48"/>
      <c r="H275" s="48"/>
      <c r="I275" s="50">
        <v>45854</v>
      </c>
      <c r="J275" s="48"/>
      <c r="K275" s="48" t="s">
        <v>2773</v>
      </c>
      <c r="L275" s="48" t="s">
        <v>62</v>
      </c>
      <c r="M275" s="48" t="s">
        <v>2888</v>
      </c>
      <c r="N275" s="48"/>
      <c r="O275" s="48"/>
      <c r="P275" s="48"/>
      <c r="Q275" s="48"/>
      <c r="R275" s="48"/>
      <c r="S275" s="52"/>
      <c r="T275" s="48"/>
    </row>
    <row r="276" spans="1:20" ht="15.75" x14ac:dyDescent="0.25">
      <c r="A276" s="48">
        <v>263</v>
      </c>
      <c r="B276" s="48" t="s">
        <v>2782</v>
      </c>
      <c r="C276" s="48" t="s">
        <v>3250</v>
      </c>
      <c r="D276" s="49" t="s">
        <v>3251</v>
      </c>
      <c r="E276" s="48">
        <v>3</v>
      </c>
      <c r="F276" s="48">
        <v>1631</v>
      </c>
      <c r="G276" s="48">
        <v>969</v>
      </c>
      <c r="H276" s="48"/>
      <c r="I276" s="50">
        <v>45854</v>
      </c>
      <c r="J276" s="48"/>
      <c r="K276" s="48" t="s">
        <v>2773</v>
      </c>
      <c r="L276" s="48" t="s">
        <v>1</v>
      </c>
      <c r="M276" s="48" t="s">
        <v>2888</v>
      </c>
      <c r="N276" s="48"/>
      <c r="O276" s="48"/>
      <c r="P276" s="48"/>
      <c r="Q276" s="48"/>
      <c r="R276" s="48"/>
      <c r="S276" s="52"/>
      <c r="T276" s="48"/>
    </row>
    <row r="277" spans="1:20" ht="15.75" x14ac:dyDescent="0.25">
      <c r="A277" s="48">
        <v>264</v>
      </c>
      <c r="B277" s="48" t="s">
        <v>2792</v>
      </c>
      <c r="C277" s="48" t="s">
        <v>3252</v>
      </c>
      <c r="D277" s="49" t="s">
        <v>3253</v>
      </c>
      <c r="E277" s="48">
        <v>14</v>
      </c>
      <c r="F277" s="48">
        <v>9</v>
      </c>
      <c r="G277" s="48"/>
      <c r="H277" s="48"/>
      <c r="I277" s="50">
        <v>45854</v>
      </c>
      <c r="J277" s="48"/>
      <c r="K277" s="48" t="s">
        <v>2773</v>
      </c>
      <c r="L277" s="48" t="s">
        <v>52</v>
      </c>
      <c r="M277" s="48" t="s">
        <v>2754</v>
      </c>
      <c r="N277" s="48"/>
      <c r="O277" s="48"/>
      <c r="P277" s="48"/>
      <c r="Q277" s="48"/>
      <c r="R277" s="48"/>
      <c r="S277" s="52"/>
      <c r="T277" s="48"/>
    </row>
    <row r="278" spans="1:20" ht="15.75" x14ac:dyDescent="0.25">
      <c r="A278" s="48">
        <v>265</v>
      </c>
      <c r="B278" s="48" t="s">
        <v>2792</v>
      </c>
      <c r="C278" s="48" t="s">
        <v>3254</v>
      </c>
      <c r="D278" s="49" t="s">
        <v>3255</v>
      </c>
      <c r="E278" s="48">
        <v>32</v>
      </c>
      <c r="F278" s="48">
        <v>243</v>
      </c>
      <c r="G278" s="48">
        <v>336</v>
      </c>
      <c r="H278" s="48"/>
      <c r="I278" s="50">
        <v>45854</v>
      </c>
      <c r="J278" s="48"/>
      <c r="K278" s="48" t="s">
        <v>2773</v>
      </c>
      <c r="L278" s="48" t="s">
        <v>62</v>
      </c>
      <c r="M278" s="48" t="s">
        <v>2754</v>
      </c>
      <c r="N278" s="48"/>
      <c r="O278" s="48"/>
      <c r="P278" s="48"/>
      <c r="Q278" s="48"/>
      <c r="R278" s="48"/>
      <c r="S278" s="52"/>
      <c r="T278" s="48"/>
    </row>
    <row r="279" spans="1:20" ht="15.75" x14ac:dyDescent="0.25">
      <c r="A279" s="48">
        <v>266</v>
      </c>
      <c r="B279" s="48" t="s">
        <v>2792</v>
      </c>
      <c r="C279" s="48" t="s">
        <v>3256</v>
      </c>
      <c r="D279" s="49" t="s">
        <v>3257</v>
      </c>
      <c r="E279" s="48">
        <v>27</v>
      </c>
      <c r="F279" s="48">
        <v>54</v>
      </c>
      <c r="G279" s="48">
        <v>821.6</v>
      </c>
      <c r="H279" s="48"/>
      <c r="I279" s="50">
        <v>45854</v>
      </c>
      <c r="J279" s="48"/>
      <c r="K279" s="48" t="s">
        <v>2773</v>
      </c>
      <c r="L279" s="48" t="s">
        <v>153</v>
      </c>
      <c r="M279" s="48" t="s">
        <v>2754</v>
      </c>
      <c r="N279" s="48"/>
      <c r="O279" s="48"/>
      <c r="P279" s="48"/>
      <c r="Q279" s="48"/>
      <c r="R279" s="48"/>
      <c r="S279" s="52"/>
      <c r="T279" s="48"/>
    </row>
    <row r="280" spans="1:20" ht="15.75" x14ac:dyDescent="0.25">
      <c r="A280" s="48">
        <v>267</v>
      </c>
      <c r="B280" s="48" t="s">
        <v>2792</v>
      </c>
      <c r="C280" s="48" t="s">
        <v>3260</v>
      </c>
      <c r="D280" s="49" t="s">
        <v>3259</v>
      </c>
      <c r="E280" s="48">
        <v>19</v>
      </c>
      <c r="F280" s="48">
        <v>262</v>
      </c>
      <c r="G280" s="48">
        <v>3617.3</v>
      </c>
      <c r="H280" s="48"/>
      <c r="I280" s="50">
        <v>45854</v>
      </c>
      <c r="J280" s="48"/>
      <c r="K280" s="48" t="s">
        <v>2773</v>
      </c>
      <c r="L280" s="48" t="s">
        <v>153</v>
      </c>
      <c r="M280" s="48" t="s">
        <v>2754</v>
      </c>
      <c r="N280" s="48"/>
      <c r="O280" s="48"/>
      <c r="P280" s="48"/>
      <c r="Q280" s="48"/>
      <c r="R280" s="48"/>
      <c r="S280" s="52"/>
      <c r="T280" s="48"/>
    </row>
    <row r="281" spans="1:20" ht="15.75" x14ac:dyDescent="0.25">
      <c r="A281" s="48">
        <v>268</v>
      </c>
      <c r="B281" s="48" t="s">
        <v>2782</v>
      </c>
      <c r="C281" s="48" t="s">
        <v>3261</v>
      </c>
      <c r="D281" s="49" t="s">
        <v>3262</v>
      </c>
      <c r="E281" s="48">
        <v>7</v>
      </c>
      <c r="F281" s="48">
        <v>1286</v>
      </c>
      <c r="G281" s="48">
        <v>137.30000000000001</v>
      </c>
      <c r="H281" s="48"/>
      <c r="I281" s="50">
        <v>45854</v>
      </c>
      <c r="J281" s="48"/>
      <c r="K281" s="48" t="s">
        <v>2773</v>
      </c>
      <c r="L281" s="48" t="s">
        <v>1</v>
      </c>
      <c r="M281" s="48" t="s">
        <v>2888</v>
      </c>
      <c r="N281" s="48"/>
      <c r="O281" s="48"/>
      <c r="P281" s="48"/>
      <c r="Q281" s="48"/>
      <c r="R281" s="48"/>
      <c r="S281" s="52"/>
      <c r="T281" s="48"/>
    </row>
    <row r="282" spans="1:20" ht="15.75" x14ac:dyDescent="0.25">
      <c r="A282" s="48">
        <v>269</v>
      </c>
      <c r="B282" s="48" t="s">
        <v>2801</v>
      </c>
      <c r="C282" s="48" t="s">
        <v>3263</v>
      </c>
      <c r="D282" s="49" t="s">
        <v>3264</v>
      </c>
      <c r="E282" s="48">
        <v>35</v>
      </c>
      <c r="F282" s="48">
        <v>850</v>
      </c>
      <c r="G282" s="48">
        <v>240.3</v>
      </c>
      <c r="H282" s="48"/>
      <c r="I282" s="50">
        <v>45854</v>
      </c>
      <c r="J282" s="48"/>
      <c r="K282" s="48" t="s">
        <v>2773</v>
      </c>
      <c r="L282" s="48" t="s">
        <v>62</v>
      </c>
      <c r="M282" s="48" t="s">
        <v>2888</v>
      </c>
      <c r="N282" s="48"/>
      <c r="O282" s="48"/>
      <c r="P282" s="48"/>
      <c r="Q282" s="48"/>
      <c r="R282" s="48"/>
      <c r="S282" s="52"/>
      <c r="T282" s="48"/>
    </row>
    <row r="283" spans="1:20" ht="15.75" x14ac:dyDescent="0.25">
      <c r="A283" s="48">
        <v>270</v>
      </c>
      <c r="B283" s="48" t="s">
        <v>2782</v>
      </c>
      <c r="C283" s="48" t="s">
        <v>3265</v>
      </c>
      <c r="D283" s="49" t="s">
        <v>3266</v>
      </c>
      <c r="E283" s="48">
        <v>9</v>
      </c>
      <c r="F283" s="48">
        <v>2113</v>
      </c>
      <c r="G283" s="48">
        <v>82.4</v>
      </c>
      <c r="H283" s="48"/>
      <c r="I283" s="50">
        <v>45854</v>
      </c>
      <c r="J283" s="48"/>
      <c r="K283" s="48" t="s">
        <v>2773</v>
      </c>
      <c r="L283" s="48" t="s">
        <v>1</v>
      </c>
      <c r="M283" s="48" t="s">
        <v>2888</v>
      </c>
      <c r="N283" s="48"/>
      <c r="O283" s="48"/>
      <c r="P283" s="48"/>
      <c r="Q283" s="48"/>
      <c r="R283" s="48"/>
      <c r="S283" s="52"/>
      <c r="T283" s="48"/>
    </row>
    <row r="284" spans="1:20" ht="15.75" x14ac:dyDescent="0.25">
      <c r="A284" s="48">
        <v>271</v>
      </c>
      <c r="B284" s="48" t="s">
        <v>2798</v>
      </c>
      <c r="C284" s="48" t="s">
        <v>3267</v>
      </c>
      <c r="D284" s="49" t="s">
        <v>3268</v>
      </c>
      <c r="E284" s="48">
        <v>27</v>
      </c>
      <c r="F284" s="48">
        <v>29</v>
      </c>
      <c r="G284" s="48">
        <v>1575.7</v>
      </c>
      <c r="H284" s="48"/>
      <c r="I284" s="50">
        <v>45854</v>
      </c>
      <c r="J284" s="48"/>
      <c r="K284" s="48" t="s">
        <v>2773</v>
      </c>
      <c r="L284" s="48" t="s">
        <v>153</v>
      </c>
      <c r="M284" s="48" t="s">
        <v>2964</v>
      </c>
      <c r="N284" s="48"/>
      <c r="O284" s="48"/>
      <c r="P284" s="48"/>
      <c r="Q284" s="48"/>
      <c r="R284" s="48"/>
      <c r="S284" s="52"/>
      <c r="T284" s="48"/>
    </row>
    <row r="285" spans="1:20" ht="15.75" x14ac:dyDescent="0.25">
      <c r="A285" s="48">
        <v>272</v>
      </c>
      <c r="B285" s="48" t="s">
        <v>2798</v>
      </c>
      <c r="C285" s="48" t="s">
        <v>3269</v>
      </c>
      <c r="D285" s="49" t="s">
        <v>3270</v>
      </c>
      <c r="E285" s="48">
        <v>44</v>
      </c>
      <c r="F285" s="48" t="s">
        <v>3271</v>
      </c>
      <c r="G285" s="48">
        <v>2534</v>
      </c>
      <c r="H285" s="48"/>
      <c r="I285" s="50">
        <v>45854</v>
      </c>
      <c r="J285" s="48"/>
      <c r="K285" s="48" t="s">
        <v>2773</v>
      </c>
      <c r="L285" s="48" t="s">
        <v>1</v>
      </c>
      <c r="M285" s="48" t="s">
        <v>2964</v>
      </c>
      <c r="N285" s="48"/>
      <c r="O285" s="48"/>
      <c r="P285" s="48"/>
      <c r="Q285" s="48"/>
      <c r="R285" s="48"/>
      <c r="S285" s="52"/>
      <c r="T285" s="48"/>
    </row>
    <row r="286" spans="1:20" ht="15.75" x14ac:dyDescent="0.25">
      <c r="A286" s="48">
        <v>273</v>
      </c>
      <c r="B286" s="48" t="s">
        <v>2801</v>
      </c>
      <c r="C286" s="48" t="s">
        <v>3272</v>
      </c>
      <c r="D286" s="49" t="s">
        <v>3273</v>
      </c>
      <c r="E286" s="48">
        <v>7</v>
      </c>
      <c r="F286" s="48" t="s">
        <v>3274</v>
      </c>
      <c r="G286" s="48"/>
      <c r="H286" s="48"/>
      <c r="I286" s="50">
        <v>45854</v>
      </c>
      <c r="J286" s="48"/>
      <c r="K286" s="48" t="s">
        <v>2773</v>
      </c>
      <c r="L286" s="48" t="s">
        <v>1</v>
      </c>
      <c r="M286" s="48" t="s">
        <v>2888</v>
      </c>
      <c r="N286" s="48"/>
      <c r="O286" s="48"/>
      <c r="P286" s="48"/>
      <c r="Q286" s="48"/>
      <c r="R286" s="48"/>
      <c r="S286" s="52"/>
      <c r="T286" s="48"/>
    </row>
    <row r="287" spans="1:20" ht="15.75" x14ac:dyDescent="0.25">
      <c r="A287" s="48">
        <v>274</v>
      </c>
      <c r="B287" s="48" t="s">
        <v>2798</v>
      </c>
      <c r="C287" s="48" t="s">
        <v>3275</v>
      </c>
      <c r="D287" s="49" t="s">
        <v>3276</v>
      </c>
      <c r="E287" s="48">
        <v>63</v>
      </c>
      <c r="F287" s="48">
        <v>151</v>
      </c>
      <c r="G287" s="48"/>
      <c r="H287" s="48"/>
      <c r="I287" s="50">
        <v>45854</v>
      </c>
      <c r="J287" s="48"/>
      <c r="K287" s="48" t="s">
        <v>2773</v>
      </c>
      <c r="L287" s="48" t="s">
        <v>3010</v>
      </c>
      <c r="M287" s="48" t="s">
        <v>2964</v>
      </c>
      <c r="N287" s="48"/>
      <c r="O287" s="48"/>
      <c r="P287" s="48"/>
      <c r="Q287" s="48"/>
      <c r="R287" s="48"/>
      <c r="S287" s="52"/>
      <c r="T287" s="48"/>
    </row>
    <row r="288" spans="1:20" ht="15.75" x14ac:dyDescent="0.25">
      <c r="A288" s="48">
        <v>275</v>
      </c>
      <c r="B288" s="48" t="s">
        <v>2782</v>
      </c>
      <c r="C288" s="5" t="s">
        <v>2731</v>
      </c>
      <c r="D288" s="4" t="s">
        <v>2732</v>
      </c>
      <c r="E288" s="6">
        <v>9</v>
      </c>
      <c r="F288" s="6">
        <v>398</v>
      </c>
      <c r="G288" s="3">
        <v>389.8</v>
      </c>
      <c r="H288" s="48"/>
      <c r="I288" s="50">
        <v>45854</v>
      </c>
      <c r="J288" s="48"/>
      <c r="K288" s="48"/>
      <c r="L288" s="48" t="s">
        <v>62</v>
      </c>
      <c r="M288" s="48" t="s">
        <v>2888</v>
      </c>
      <c r="N288" s="48"/>
      <c r="O288" s="50">
        <v>45854</v>
      </c>
      <c r="P288" s="48"/>
      <c r="Q288" s="48">
        <v>2420</v>
      </c>
      <c r="R288" s="48"/>
      <c r="S288" s="52"/>
      <c r="T288" s="48"/>
    </row>
    <row r="289" spans="1:20" ht="15.75" x14ac:dyDescent="0.25">
      <c r="A289" s="48">
        <v>276</v>
      </c>
      <c r="B289" s="48" t="s">
        <v>2798</v>
      </c>
      <c r="C289" s="5" t="s">
        <v>2138</v>
      </c>
      <c r="D289" s="4" t="s">
        <v>1821</v>
      </c>
      <c r="E289" s="6">
        <v>24</v>
      </c>
      <c r="F289" s="6">
        <v>458</v>
      </c>
      <c r="G289" s="6">
        <v>613.20000000000005</v>
      </c>
      <c r="H289" s="48"/>
      <c r="I289" s="50">
        <v>45798</v>
      </c>
      <c r="J289" s="48"/>
      <c r="K289" s="48"/>
      <c r="L289" s="48" t="s">
        <v>62</v>
      </c>
      <c r="M289" s="48" t="s">
        <v>2754</v>
      </c>
      <c r="N289" s="48"/>
      <c r="O289" s="50">
        <v>45854</v>
      </c>
      <c r="P289" s="48"/>
      <c r="Q289" s="48">
        <v>2399</v>
      </c>
      <c r="R289" s="48"/>
      <c r="S289" s="52"/>
      <c r="T289" s="48"/>
    </row>
    <row r="290" spans="1:20" ht="15.75" x14ac:dyDescent="0.25">
      <c r="A290" s="48">
        <v>277</v>
      </c>
      <c r="B290" s="48" t="s">
        <v>2792</v>
      </c>
      <c r="C290" s="5" t="s">
        <v>2540</v>
      </c>
      <c r="D290" s="4" t="s">
        <v>2541</v>
      </c>
      <c r="E290" s="6">
        <v>23</v>
      </c>
      <c r="F290" s="6">
        <v>72</v>
      </c>
      <c r="G290" s="6">
        <v>1322.1</v>
      </c>
      <c r="H290" s="48"/>
      <c r="I290" s="50">
        <v>45825</v>
      </c>
      <c r="J290" s="48" t="s">
        <v>3283</v>
      </c>
      <c r="K290" s="48"/>
      <c r="L290" s="48"/>
      <c r="M290" s="48"/>
      <c r="N290" s="48"/>
      <c r="O290" s="48"/>
      <c r="P290" s="48"/>
      <c r="Q290" s="48"/>
      <c r="R290" s="48"/>
      <c r="S290" s="52"/>
      <c r="T290" s="48"/>
    </row>
    <row r="291" spans="1:20" ht="15.75" x14ac:dyDescent="0.25">
      <c r="A291" s="48">
        <v>278</v>
      </c>
      <c r="B291" s="48" t="s">
        <v>2792</v>
      </c>
      <c r="C291" s="5" t="s">
        <v>2540</v>
      </c>
      <c r="D291" s="4" t="s">
        <v>2541</v>
      </c>
      <c r="E291" s="6">
        <v>23</v>
      </c>
      <c r="F291" s="6">
        <v>72</v>
      </c>
      <c r="G291" s="6">
        <v>1322.1</v>
      </c>
      <c r="H291" s="48"/>
      <c r="I291" s="50">
        <v>45825</v>
      </c>
      <c r="J291" s="48" t="s">
        <v>3283</v>
      </c>
      <c r="K291" s="48"/>
      <c r="L291" s="48"/>
      <c r="M291" s="48"/>
      <c r="N291" s="48"/>
      <c r="O291" s="48"/>
      <c r="P291" s="48"/>
      <c r="Q291" s="48"/>
      <c r="R291" s="48"/>
      <c r="S291" s="52"/>
      <c r="T291" s="48"/>
    </row>
    <row r="292" spans="1:20" ht="31.5" x14ac:dyDescent="0.25">
      <c r="A292" s="48">
        <v>279</v>
      </c>
      <c r="B292" s="48" t="s">
        <v>2792</v>
      </c>
      <c r="C292" s="5" t="s">
        <v>2611</v>
      </c>
      <c r="D292" s="4" t="s">
        <v>2282</v>
      </c>
      <c r="E292" s="6">
        <v>14</v>
      </c>
      <c r="F292" s="6">
        <v>274</v>
      </c>
      <c r="G292" s="6">
        <v>546.5</v>
      </c>
      <c r="H292" s="48"/>
      <c r="I292" s="50">
        <v>45855</v>
      </c>
      <c r="J292" s="48"/>
      <c r="K292" s="48" t="s">
        <v>2773</v>
      </c>
      <c r="L292" s="48" t="s">
        <v>153</v>
      </c>
      <c r="M292" s="48" t="s">
        <v>2754</v>
      </c>
      <c r="N292" s="48"/>
      <c r="O292" s="48"/>
      <c r="P292" s="48"/>
      <c r="Q292" s="48"/>
      <c r="R292" s="48"/>
      <c r="S292" s="52"/>
      <c r="T292" s="48"/>
    </row>
    <row r="293" spans="1:20" ht="31.5" x14ac:dyDescent="0.25">
      <c r="A293" s="48">
        <v>280</v>
      </c>
      <c r="B293" s="48" t="s">
        <v>2792</v>
      </c>
      <c r="C293" s="5" t="s">
        <v>245</v>
      </c>
      <c r="D293" s="4" t="s">
        <v>246</v>
      </c>
      <c r="E293" s="6">
        <v>9</v>
      </c>
      <c r="F293" s="6" t="s">
        <v>2115</v>
      </c>
      <c r="G293" s="6" t="s">
        <v>2116</v>
      </c>
      <c r="H293" s="48"/>
      <c r="I293" s="50">
        <v>45855</v>
      </c>
      <c r="J293" s="48"/>
      <c r="K293" s="48" t="s">
        <v>2773</v>
      </c>
      <c r="L293" s="48" t="s">
        <v>1</v>
      </c>
      <c r="M293" s="48" t="s">
        <v>2754</v>
      </c>
      <c r="N293" s="48"/>
      <c r="O293" s="48"/>
      <c r="P293" s="48"/>
      <c r="Q293" s="48"/>
      <c r="R293" s="48"/>
      <c r="S293" s="52"/>
      <c r="T293" s="48"/>
    </row>
    <row r="294" spans="1:20" ht="15.75" x14ac:dyDescent="0.25">
      <c r="A294" s="48">
        <v>281</v>
      </c>
      <c r="B294" s="48" t="s">
        <v>2792</v>
      </c>
      <c r="C294" s="5" t="s">
        <v>247</v>
      </c>
      <c r="D294" s="4" t="s">
        <v>246</v>
      </c>
      <c r="E294" s="6">
        <v>9</v>
      </c>
      <c r="F294" s="6">
        <v>365</v>
      </c>
      <c r="G294" s="6">
        <v>102.4</v>
      </c>
      <c r="H294" s="48"/>
      <c r="I294" s="50">
        <v>45855</v>
      </c>
      <c r="J294" s="48"/>
      <c r="K294" s="48" t="s">
        <v>2773</v>
      </c>
      <c r="L294" s="48" t="s">
        <v>1</v>
      </c>
      <c r="M294" s="48" t="s">
        <v>2754</v>
      </c>
      <c r="N294" s="48"/>
      <c r="O294" s="48"/>
      <c r="P294" s="48"/>
      <c r="Q294" s="48"/>
      <c r="R294" s="48"/>
      <c r="S294" s="52"/>
      <c r="T294" s="48"/>
    </row>
    <row r="295" spans="1:20" ht="15.75" x14ac:dyDescent="0.25">
      <c r="A295" s="48">
        <v>282</v>
      </c>
      <c r="B295" s="48" t="s">
        <v>2794</v>
      </c>
      <c r="C295" s="5" t="s">
        <v>2469</v>
      </c>
      <c r="D295" s="4" t="s">
        <v>2187</v>
      </c>
      <c r="E295" s="6">
        <v>11</v>
      </c>
      <c r="F295" s="6">
        <v>233</v>
      </c>
      <c r="G295" s="6">
        <v>67.599999999999994</v>
      </c>
      <c r="H295" s="48"/>
      <c r="I295" s="50">
        <v>45855</v>
      </c>
      <c r="J295" s="48"/>
      <c r="K295" s="48" t="s">
        <v>2773</v>
      </c>
      <c r="L295" s="48" t="s">
        <v>1</v>
      </c>
      <c r="M295" s="48" t="s">
        <v>2796</v>
      </c>
      <c r="N295" s="48"/>
      <c r="O295" s="48"/>
      <c r="P295" s="48"/>
      <c r="Q295" s="48"/>
      <c r="R295" s="48"/>
      <c r="S295" s="52"/>
      <c r="T295" s="48"/>
    </row>
    <row r="296" spans="1:20" ht="15.75" x14ac:dyDescent="0.25">
      <c r="A296" s="48">
        <v>283</v>
      </c>
      <c r="B296" s="48" t="s">
        <v>2792</v>
      </c>
      <c r="C296" s="48" t="s">
        <v>3284</v>
      </c>
      <c r="D296" s="49" t="s">
        <v>3285</v>
      </c>
      <c r="E296" s="48">
        <v>24</v>
      </c>
      <c r="F296" s="48">
        <v>266</v>
      </c>
      <c r="G296" s="48">
        <v>968.1</v>
      </c>
      <c r="H296" s="48"/>
      <c r="I296" s="50">
        <v>45855</v>
      </c>
      <c r="J296" s="48"/>
      <c r="K296" s="48" t="s">
        <v>2773</v>
      </c>
      <c r="L296" s="48" t="s">
        <v>62</v>
      </c>
      <c r="M296" s="48" t="s">
        <v>2754</v>
      </c>
      <c r="N296" s="48"/>
      <c r="O296" s="48"/>
      <c r="P296" s="48"/>
      <c r="Q296" s="48"/>
      <c r="R296" s="48"/>
      <c r="S296" s="52"/>
      <c r="T296" s="48"/>
    </row>
    <row r="297" spans="1:20" ht="15.75" x14ac:dyDescent="0.25">
      <c r="A297" s="48">
        <v>284</v>
      </c>
      <c r="B297" s="48" t="s">
        <v>2798</v>
      </c>
      <c r="C297" s="48" t="s">
        <v>3286</v>
      </c>
      <c r="D297" s="49" t="s">
        <v>3287</v>
      </c>
      <c r="E297" s="48">
        <v>43</v>
      </c>
      <c r="F297" s="48">
        <v>199</v>
      </c>
      <c r="G297" s="48">
        <v>179.4</v>
      </c>
      <c r="H297" s="48"/>
      <c r="I297" s="50">
        <v>45855</v>
      </c>
      <c r="J297" s="48"/>
      <c r="K297" s="48" t="s">
        <v>2773</v>
      </c>
      <c r="L297" s="48" t="s">
        <v>62</v>
      </c>
      <c r="M297" s="48" t="s">
        <v>2964</v>
      </c>
      <c r="N297" s="48"/>
      <c r="O297" s="48"/>
      <c r="P297" s="48"/>
      <c r="Q297" s="48"/>
      <c r="R297" s="48"/>
      <c r="S297" s="52"/>
      <c r="T297" s="48"/>
    </row>
    <row r="298" spans="1:20" ht="15.75" x14ac:dyDescent="0.25">
      <c r="A298" s="48">
        <v>285</v>
      </c>
      <c r="B298" s="48" t="s">
        <v>2782</v>
      </c>
      <c r="C298" s="48" t="s">
        <v>3288</v>
      </c>
      <c r="D298" s="49" t="s">
        <v>3289</v>
      </c>
      <c r="E298" s="48">
        <v>9</v>
      </c>
      <c r="F298" s="48" t="s">
        <v>3290</v>
      </c>
      <c r="G298" s="48"/>
      <c r="H298" s="48"/>
      <c r="I298" s="50">
        <v>45855</v>
      </c>
      <c r="J298" s="48"/>
      <c r="K298" s="48" t="s">
        <v>2773</v>
      </c>
      <c r="L298" s="48" t="s">
        <v>1</v>
      </c>
      <c r="M298" s="48" t="s">
        <v>2888</v>
      </c>
      <c r="N298" s="48"/>
      <c r="O298" s="48"/>
      <c r="P298" s="48"/>
      <c r="Q298" s="48"/>
      <c r="R298" s="48"/>
      <c r="S298" s="52"/>
      <c r="T298" s="48"/>
    </row>
    <row r="299" spans="1:20" ht="15.75" x14ac:dyDescent="0.25">
      <c r="A299" s="48">
        <v>286</v>
      </c>
      <c r="B299" s="48" t="s">
        <v>2798</v>
      </c>
      <c r="C299" s="48" t="s">
        <v>1211</v>
      </c>
      <c r="D299" s="49" t="s">
        <v>3293</v>
      </c>
      <c r="E299" s="48">
        <v>4</v>
      </c>
      <c r="F299" s="48">
        <v>31</v>
      </c>
      <c r="G299" s="48">
        <v>1124.4000000000001</v>
      </c>
      <c r="H299" s="48"/>
      <c r="I299" s="50">
        <v>45855</v>
      </c>
      <c r="J299" s="48"/>
      <c r="K299" s="48" t="s">
        <v>2773</v>
      </c>
      <c r="L299" s="48" t="s">
        <v>153</v>
      </c>
      <c r="M299" s="48" t="s">
        <v>2964</v>
      </c>
      <c r="N299" s="48"/>
      <c r="O299" s="48"/>
      <c r="P299" s="48"/>
      <c r="Q299" s="48"/>
      <c r="R299" s="48"/>
      <c r="S299" s="52"/>
      <c r="T299" s="48"/>
    </row>
    <row r="300" spans="1:20" ht="15.75" x14ac:dyDescent="0.25">
      <c r="A300" s="48">
        <v>287</v>
      </c>
      <c r="B300" s="48" t="s">
        <v>2792</v>
      </c>
      <c r="C300" s="48" t="s">
        <v>3291</v>
      </c>
      <c r="D300" s="49" t="s">
        <v>3292</v>
      </c>
      <c r="E300" s="48">
        <v>32</v>
      </c>
      <c r="F300" s="48">
        <v>802</v>
      </c>
      <c r="G300" s="48">
        <v>60.1</v>
      </c>
      <c r="H300" s="48"/>
      <c r="I300" s="50">
        <v>45855</v>
      </c>
      <c r="J300" s="48"/>
      <c r="K300" s="48" t="s">
        <v>2773</v>
      </c>
      <c r="L300" s="48" t="s">
        <v>52</v>
      </c>
      <c r="M300" s="48" t="s">
        <v>2754</v>
      </c>
      <c r="N300" s="48"/>
      <c r="O300" s="48"/>
      <c r="P300" s="48"/>
      <c r="Q300" s="48"/>
      <c r="R300" s="48"/>
      <c r="S300" s="52"/>
      <c r="T300" s="48"/>
    </row>
    <row r="301" spans="1:20" ht="15.75" x14ac:dyDescent="0.25">
      <c r="A301" s="48">
        <v>288</v>
      </c>
      <c r="B301" s="48" t="s">
        <v>2792</v>
      </c>
      <c r="C301" s="48" t="s">
        <v>364</v>
      </c>
      <c r="D301" s="49" t="s">
        <v>3294</v>
      </c>
      <c r="E301" s="48">
        <v>26</v>
      </c>
      <c r="F301" s="48">
        <v>69</v>
      </c>
      <c r="G301" s="48">
        <v>917.4</v>
      </c>
      <c r="H301" s="48"/>
      <c r="I301" s="50">
        <v>45855</v>
      </c>
      <c r="J301" s="48"/>
      <c r="K301" s="48" t="s">
        <v>2773</v>
      </c>
      <c r="L301" s="48" t="s">
        <v>153</v>
      </c>
      <c r="M301" s="48" t="s">
        <v>2754</v>
      </c>
      <c r="N301" s="48"/>
      <c r="O301" s="48"/>
      <c r="P301" s="48"/>
      <c r="Q301" s="48"/>
      <c r="R301" s="48"/>
      <c r="S301" s="52"/>
      <c r="T301" s="48"/>
    </row>
    <row r="302" spans="1:20" ht="15.75" x14ac:dyDescent="0.25">
      <c r="A302" s="48">
        <v>289</v>
      </c>
      <c r="B302" s="48" t="s">
        <v>2794</v>
      </c>
      <c r="C302" s="48" t="s">
        <v>3295</v>
      </c>
      <c r="D302" s="49" t="s">
        <v>3296</v>
      </c>
      <c r="E302" s="48">
        <v>3</v>
      </c>
      <c r="F302" s="48">
        <v>26</v>
      </c>
      <c r="G302" s="48">
        <v>138.19999999999999</v>
      </c>
      <c r="H302" s="48"/>
      <c r="I302" s="50">
        <v>45855</v>
      </c>
      <c r="J302" s="48"/>
      <c r="K302" s="48" t="s">
        <v>2773</v>
      </c>
      <c r="L302" s="48" t="s">
        <v>1</v>
      </c>
      <c r="M302" s="48" t="s">
        <v>2796</v>
      </c>
      <c r="N302" s="48"/>
      <c r="O302" s="48"/>
      <c r="P302" s="48"/>
      <c r="Q302" s="48"/>
      <c r="R302" s="48"/>
      <c r="S302" s="52"/>
      <c r="T302" s="48"/>
    </row>
    <row r="303" spans="1:20" ht="15.75" x14ac:dyDescent="0.25">
      <c r="A303" s="48">
        <v>290</v>
      </c>
      <c r="B303" s="48" t="s">
        <v>2794</v>
      </c>
      <c r="C303" s="48" t="s">
        <v>3297</v>
      </c>
      <c r="D303" s="49" t="s">
        <v>3298</v>
      </c>
      <c r="E303" s="48">
        <v>27</v>
      </c>
      <c r="F303" s="48">
        <v>207</v>
      </c>
      <c r="G303" s="48">
        <v>461</v>
      </c>
      <c r="H303" s="48"/>
      <c r="I303" s="50">
        <v>45855</v>
      </c>
      <c r="J303" s="48"/>
      <c r="K303" s="48" t="s">
        <v>2773</v>
      </c>
      <c r="L303" s="48" t="s">
        <v>62</v>
      </c>
      <c r="M303" s="48" t="s">
        <v>2796</v>
      </c>
      <c r="N303" s="48"/>
      <c r="O303" s="48"/>
      <c r="P303" s="48"/>
      <c r="Q303" s="48"/>
      <c r="R303" s="48"/>
      <c r="S303" s="52"/>
      <c r="T303" s="48"/>
    </row>
    <row r="304" spans="1:20" ht="15.75" x14ac:dyDescent="0.25">
      <c r="A304" s="48">
        <v>291</v>
      </c>
      <c r="B304" s="48" t="s">
        <v>2792</v>
      </c>
      <c r="C304" s="48" t="s">
        <v>3299</v>
      </c>
      <c r="D304" s="49" t="s">
        <v>3300</v>
      </c>
      <c r="E304" s="48">
        <v>24</v>
      </c>
      <c r="F304" s="48">
        <v>109</v>
      </c>
      <c r="G304" s="48">
        <v>527.6</v>
      </c>
      <c r="H304" s="48"/>
      <c r="I304" s="50">
        <v>45855</v>
      </c>
      <c r="J304" s="48"/>
      <c r="K304" s="48" t="s">
        <v>2773</v>
      </c>
      <c r="L304" s="48" t="s">
        <v>2759</v>
      </c>
      <c r="M304" s="48" t="s">
        <v>2754</v>
      </c>
      <c r="N304" s="48"/>
      <c r="O304" s="48"/>
      <c r="P304" s="48"/>
      <c r="Q304" s="48"/>
      <c r="R304" s="48"/>
      <c r="S304" s="52"/>
      <c r="T304" s="48"/>
    </row>
    <row r="305" spans="1:20" ht="15.75" x14ac:dyDescent="0.25">
      <c r="A305" s="48">
        <v>292</v>
      </c>
      <c r="B305" s="48" t="s">
        <v>2792</v>
      </c>
      <c r="C305" s="48" t="s">
        <v>3301</v>
      </c>
      <c r="D305" s="49" t="s">
        <v>3302</v>
      </c>
      <c r="E305" s="48"/>
      <c r="F305" s="48">
        <v>114</v>
      </c>
      <c r="G305" s="48">
        <v>345</v>
      </c>
      <c r="H305" s="48"/>
      <c r="I305" s="50">
        <v>45855</v>
      </c>
      <c r="J305" s="48"/>
      <c r="K305" s="48" t="s">
        <v>2773</v>
      </c>
      <c r="L305" s="48" t="s">
        <v>2759</v>
      </c>
      <c r="M305" s="48" t="s">
        <v>2754</v>
      </c>
      <c r="N305" s="48"/>
      <c r="O305" s="48"/>
      <c r="P305" s="48"/>
      <c r="Q305" s="48"/>
      <c r="R305" s="48"/>
      <c r="S305" s="52"/>
      <c r="T305" s="48"/>
    </row>
    <row r="306" spans="1:20" x14ac:dyDescent="0.3">
      <c r="A306" s="48">
        <v>293</v>
      </c>
      <c r="B306" s="48" t="s">
        <v>2782</v>
      </c>
      <c r="C306" s="5" t="s">
        <v>485</v>
      </c>
      <c r="D306" s="47" t="s">
        <v>3310</v>
      </c>
      <c r="E306" s="6">
        <v>17</v>
      </c>
      <c r="F306" s="6">
        <v>105</v>
      </c>
      <c r="G306" s="6">
        <v>1181.8</v>
      </c>
      <c r="H306" s="48"/>
      <c r="I306" s="50"/>
      <c r="J306" s="48"/>
      <c r="K306" s="48"/>
      <c r="L306" s="48" t="s">
        <v>153</v>
      </c>
      <c r="M306" s="48" t="s">
        <v>3311</v>
      </c>
      <c r="N306" s="48"/>
      <c r="O306" s="50">
        <v>45855</v>
      </c>
      <c r="P306" s="48"/>
      <c r="Q306" s="48">
        <v>2427</v>
      </c>
      <c r="R306" s="48"/>
      <c r="S306" s="52"/>
      <c r="T306" s="48"/>
    </row>
    <row r="307" spans="1:20" ht="15.75" x14ac:dyDescent="0.25">
      <c r="A307" s="48">
        <v>294</v>
      </c>
      <c r="B307" s="48" t="s">
        <v>2792</v>
      </c>
      <c r="C307" s="48" t="s">
        <v>3312</v>
      </c>
      <c r="D307" s="49" t="s">
        <v>2276</v>
      </c>
      <c r="E307" s="48">
        <v>12</v>
      </c>
      <c r="F307" s="48">
        <v>212</v>
      </c>
      <c r="G307" s="48">
        <v>48.4</v>
      </c>
      <c r="H307" s="48"/>
      <c r="I307" s="50">
        <v>45855</v>
      </c>
      <c r="J307" s="48"/>
      <c r="K307" s="48" t="s">
        <v>2773</v>
      </c>
      <c r="L307" s="48" t="s">
        <v>52</v>
      </c>
      <c r="M307" s="48" t="s">
        <v>2754</v>
      </c>
      <c r="N307" s="48"/>
      <c r="O307" s="48"/>
      <c r="P307" s="48"/>
      <c r="Q307" s="48"/>
      <c r="R307" s="48"/>
      <c r="S307" s="52"/>
      <c r="T307" s="48"/>
    </row>
    <row r="308" spans="1:20" ht="15.75" x14ac:dyDescent="0.25">
      <c r="A308" s="48">
        <v>295</v>
      </c>
      <c r="B308" s="48" t="s">
        <v>2792</v>
      </c>
      <c r="C308" s="5" t="s">
        <v>2398</v>
      </c>
      <c r="D308" s="4" t="s">
        <v>2244</v>
      </c>
      <c r="E308" s="6" t="s">
        <v>85</v>
      </c>
      <c r="F308" s="6">
        <v>246</v>
      </c>
      <c r="G308" s="6">
        <v>38.4</v>
      </c>
      <c r="H308" s="48"/>
      <c r="I308" s="50">
        <v>45804</v>
      </c>
      <c r="J308" s="48"/>
      <c r="K308" s="48"/>
      <c r="L308" s="48" t="s">
        <v>1</v>
      </c>
      <c r="M308" s="48" t="s">
        <v>2754</v>
      </c>
      <c r="N308" s="48"/>
      <c r="O308" s="50">
        <v>45855</v>
      </c>
      <c r="P308" s="48"/>
      <c r="Q308" s="48"/>
      <c r="R308" s="48"/>
      <c r="S308" s="52"/>
      <c r="T308" s="48"/>
    </row>
    <row r="309" spans="1:20" ht="15.75" x14ac:dyDescent="0.25">
      <c r="A309" s="48">
        <v>296</v>
      </c>
      <c r="B309" s="48" t="s">
        <v>2792</v>
      </c>
      <c r="C309" s="5" t="s">
        <v>712</v>
      </c>
      <c r="D309" s="4" t="s">
        <v>713</v>
      </c>
      <c r="E309" s="6">
        <v>17</v>
      </c>
      <c r="F309" s="6">
        <v>123</v>
      </c>
      <c r="G309" s="6">
        <v>44</v>
      </c>
      <c r="H309" s="48"/>
      <c r="I309" s="50">
        <v>45827</v>
      </c>
      <c r="J309" s="48"/>
      <c r="K309" s="48"/>
      <c r="L309" s="48" t="s">
        <v>52</v>
      </c>
      <c r="M309" s="48" t="s">
        <v>2754</v>
      </c>
      <c r="N309" s="48"/>
      <c r="O309" s="50">
        <v>45855</v>
      </c>
      <c r="P309" s="48"/>
      <c r="Q309" s="48"/>
      <c r="R309" s="48"/>
      <c r="S309" s="52"/>
      <c r="T309" s="48"/>
    </row>
    <row r="310" spans="1:20" ht="15.75" x14ac:dyDescent="0.25">
      <c r="A310" s="48">
        <v>297</v>
      </c>
      <c r="B310" s="48" t="s">
        <v>2798</v>
      </c>
      <c r="C310" s="48" t="s">
        <v>3313</v>
      </c>
      <c r="D310" s="49" t="s">
        <v>3314</v>
      </c>
      <c r="E310" s="48">
        <v>16</v>
      </c>
      <c r="F310" s="48">
        <v>117</v>
      </c>
      <c r="G310" s="48">
        <v>2883.2</v>
      </c>
      <c r="H310" s="48"/>
      <c r="I310" s="50">
        <v>45855</v>
      </c>
      <c r="J310" s="48"/>
      <c r="K310" s="48" t="s">
        <v>2773</v>
      </c>
      <c r="L310" s="48" t="s">
        <v>153</v>
      </c>
      <c r="M310" s="48" t="s">
        <v>2964</v>
      </c>
      <c r="N310" s="48"/>
      <c r="O310" s="48"/>
      <c r="P310" s="48"/>
      <c r="Q310" s="48"/>
      <c r="R310" s="48"/>
      <c r="S310" s="52"/>
      <c r="T310" s="48"/>
    </row>
    <row r="311" spans="1:20" ht="15.75" x14ac:dyDescent="0.25">
      <c r="A311" s="48">
        <v>298</v>
      </c>
      <c r="B311" s="48" t="s">
        <v>2782</v>
      </c>
      <c r="C311" s="48" t="s">
        <v>3315</v>
      </c>
      <c r="D311" s="49" t="s">
        <v>3316</v>
      </c>
      <c r="E311" s="48">
        <v>15</v>
      </c>
      <c r="F311" s="48">
        <v>1291</v>
      </c>
      <c r="G311" s="48">
        <v>1681.3</v>
      </c>
      <c r="H311" s="48"/>
      <c r="I311" s="50">
        <v>45855</v>
      </c>
      <c r="J311" s="48"/>
      <c r="K311" s="48" t="s">
        <v>2773</v>
      </c>
      <c r="L311" s="48" t="s">
        <v>62</v>
      </c>
      <c r="M311" s="48" t="s">
        <v>2888</v>
      </c>
      <c r="N311" s="48"/>
      <c r="O311" s="48"/>
      <c r="P311" s="48"/>
      <c r="Q311" s="48"/>
      <c r="R311" s="48"/>
      <c r="S311" s="52"/>
      <c r="T311" s="48"/>
    </row>
    <row r="312" spans="1:20" ht="15.75" x14ac:dyDescent="0.25">
      <c r="A312" s="48">
        <v>299</v>
      </c>
      <c r="B312" s="48" t="s">
        <v>2794</v>
      </c>
      <c r="C312" s="48" t="s">
        <v>3317</v>
      </c>
      <c r="D312" s="49" t="s">
        <v>1086</v>
      </c>
      <c r="E312" s="48">
        <v>34</v>
      </c>
      <c r="F312" s="48">
        <v>228</v>
      </c>
      <c r="G312" s="48">
        <v>36.1</v>
      </c>
      <c r="H312" s="48"/>
      <c r="I312" s="50">
        <v>45855</v>
      </c>
      <c r="J312" s="48"/>
      <c r="K312" s="48" t="s">
        <v>2773</v>
      </c>
      <c r="L312" s="48" t="s">
        <v>2759</v>
      </c>
      <c r="M312" s="48" t="s">
        <v>2796</v>
      </c>
      <c r="N312" s="48"/>
      <c r="O312" s="48"/>
      <c r="P312" s="48"/>
      <c r="Q312" s="48"/>
      <c r="R312" s="48"/>
      <c r="S312" s="52"/>
      <c r="T312" s="48"/>
    </row>
    <row r="313" spans="1:20" ht="15.75" x14ac:dyDescent="0.25">
      <c r="A313" s="48">
        <v>300</v>
      </c>
      <c r="B313" s="48" t="s">
        <v>2794</v>
      </c>
      <c r="C313" s="48" t="s">
        <v>2243</v>
      </c>
      <c r="D313" s="49" t="s">
        <v>3319</v>
      </c>
      <c r="E313" s="48">
        <v>23</v>
      </c>
      <c r="F313" s="48">
        <v>140</v>
      </c>
      <c r="G313" s="48">
        <v>503.9</v>
      </c>
      <c r="H313" s="48"/>
      <c r="I313" s="50">
        <v>45855</v>
      </c>
      <c r="J313" s="48"/>
      <c r="K313" s="48" t="s">
        <v>2773</v>
      </c>
      <c r="L313" s="48" t="s">
        <v>62</v>
      </c>
      <c r="M313" s="48" t="s">
        <v>2796</v>
      </c>
      <c r="N313" s="48"/>
      <c r="O313" s="48"/>
      <c r="P313" s="48"/>
      <c r="Q313" s="48"/>
      <c r="R313" s="48"/>
      <c r="S313" s="52"/>
      <c r="T313" s="48"/>
    </row>
    <row r="314" spans="1:20" ht="15.75" x14ac:dyDescent="0.25">
      <c r="A314" s="48">
        <v>301</v>
      </c>
      <c r="B314" s="48" t="s">
        <v>2794</v>
      </c>
      <c r="C314" s="48" t="s">
        <v>3320</v>
      </c>
      <c r="D314" s="49" t="s">
        <v>3321</v>
      </c>
      <c r="E314" s="48">
        <v>5</v>
      </c>
      <c r="F314" s="48">
        <v>325</v>
      </c>
      <c r="G314" s="48">
        <v>88.4</v>
      </c>
      <c r="H314" s="48"/>
      <c r="I314" s="50">
        <v>45855</v>
      </c>
      <c r="J314" s="48"/>
      <c r="K314" s="48" t="s">
        <v>2773</v>
      </c>
      <c r="L314" s="48" t="s">
        <v>52</v>
      </c>
      <c r="M314" s="48" t="s">
        <v>2796</v>
      </c>
      <c r="N314" s="48"/>
      <c r="O314" s="48"/>
      <c r="P314" s="48"/>
      <c r="Q314" s="48"/>
      <c r="R314" s="48"/>
      <c r="S314" s="52"/>
      <c r="T314" s="48"/>
    </row>
    <row r="315" spans="1:20" ht="15.75" x14ac:dyDescent="0.25">
      <c r="A315" s="48">
        <v>302</v>
      </c>
      <c r="B315" s="48"/>
      <c r="C315" s="48"/>
      <c r="D315" s="49"/>
      <c r="E315" s="48"/>
      <c r="F315" s="48"/>
      <c r="G315" s="48"/>
      <c r="H315" s="48"/>
      <c r="I315" s="50"/>
      <c r="J315" s="48"/>
      <c r="K315" s="48"/>
      <c r="L315" s="48"/>
      <c r="M315" s="48"/>
      <c r="N315" s="48"/>
      <c r="O315" s="48"/>
      <c r="P315" s="48"/>
      <c r="Q315" s="48"/>
      <c r="R315" s="48"/>
      <c r="S315" s="52"/>
      <c r="T315" s="48"/>
    </row>
    <row r="316" spans="1:20" ht="15.75" x14ac:dyDescent="0.25">
      <c r="A316" s="48">
        <v>303</v>
      </c>
      <c r="B316" s="48"/>
      <c r="C316" s="48"/>
      <c r="D316" s="49"/>
      <c r="E316" s="48"/>
      <c r="F316" s="48"/>
      <c r="G316" s="48"/>
      <c r="H316" s="48"/>
      <c r="I316" s="50"/>
      <c r="J316" s="48"/>
      <c r="K316" s="48"/>
      <c r="L316" s="48"/>
      <c r="M316" s="48"/>
      <c r="N316" s="48"/>
      <c r="O316" s="48"/>
      <c r="P316" s="48"/>
      <c r="Q316" s="48"/>
      <c r="R316" s="48"/>
      <c r="S316" s="52"/>
      <c r="T316" s="48"/>
    </row>
    <row r="317" spans="1:20" ht="15.75" x14ac:dyDescent="0.25">
      <c r="A317" s="48">
        <v>304</v>
      </c>
      <c r="B317" s="48"/>
      <c r="C317" s="48"/>
      <c r="D317" s="49"/>
      <c r="E317" s="48"/>
      <c r="F317" s="48"/>
      <c r="G317" s="48"/>
      <c r="H317" s="48"/>
      <c r="I317" s="50"/>
      <c r="J317" s="48"/>
      <c r="K317" s="48"/>
      <c r="L317" s="48"/>
      <c r="M317" s="48"/>
      <c r="N317" s="48"/>
      <c r="O317" s="48"/>
      <c r="P317" s="48"/>
      <c r="Q317" s="48"/>
      <c r="R317" s="48"/>
      <c r="S317" s="52"/>
      <c r="T317" s="48"/>
    </row>
    <row r="318" spans="1:20" ht="15.75" x14ac:dyDescent="0.25">
      <c r="A318" s="48">
        <v>305</v>
      </c>
      <c r="B318" s="48"/>
      <c r="C318" s="48"/>
      <c r="D318" s="49"/>
      <c r="E318" s="48"/>
      <c r="F318" s="48"/>
      <c r="G318" s="48"/>
      <c r="H318" s="48"/>
      <c r="I318" s="50"/>
      <c r="J318" s="48"/>
      <c r="K318" s="48"/>
      <c r="L318" s="48"/>
      <c r="M318" s="48"/>
      <c r="N318" s="48"/>
      <c r="O318" s="48"/>
      <c r="P318" s="48"/>
      <c r="Q318" s="48"/>
      <c r="R318" s="48"/>
      <c r="S318" s="52"/>
      <c r="T318" s="48"/>
    </row>
    <row r="319" spans="1:20" ht="15.75" x14ac:dyDescent="0.25">
      <c r="A319" s="48">
        <v>306</v>
      </c>
      <c r="B319" s="48"/>
      <c r="C319" s="48"/>
      <c r="D319" s="49"/>
      <c r="E319" s="48"/>
      <c r="F319" s="48"/>
      <c r="G319" s="48"/>
      <c r="H319" s="48"/>
      <c r="I319" s="50"/>
      <c r="J319" s="48"/>
      <c r="K319" s="48"/>
      <c r="L319" s="48"/>
      <c r="M319" s="48"/>
      <c r="N319" s="48"/>
      <c r="O319" s="48"/>
      <c r="P319" s="48"/>
      <c r="Q319" s="48"/>
      <c r="R319" s="48"/>
      <c r="S319" s="52"/>
      <c r="T319" s="48"/>
    </row>
    <row r="320" spans="1:20" ht="15.75" x14ac:dyDescent="0.25">
      <c r="A320" s="48">
        <v>307</v>
      </c>
      <c r="B320" s="48"/>
      <c r="C320" s="48"/>
      <c r="D320" s="49"/>
      <c r="E320" s="48"/>
      <c r="F320" s="48"/>
      <c r="G320" s="48"/>
      <c r="H320" s="48"/>
      <c r="I320" s="50"/>
      <c r="J320" s="48"/>
      <c r="K320" s="48"/>
      <c r="L320" s="48"/>
      <c r="M320" s="48"/>
      <c r="N320" s="48"/>
      <c r="O320" s="48"/>
      <c r="P320" s="48"/>
      <c r="Q320" s="48"/>
      <c r="R320" s="48"/>
      <c r="S320" s="52"/>
      <c r="T320" s="48"/>
    </row>
    <row r="321" spans="1:20" ht="15.75" x14ac:dyDescent="0.25">
      <c r="A321" s="48">
        <v>308</v>
      </c>
      <c r="B321" s="48"/>
      <c r="C321" s="48"/>
      <c r="D321" s="49"/>
      <c r="E321" s="48"/>
      <c r="F321" s="48"/>
      <c r="G321" s="48"/>
      <c r="H321" s="48"/>
      <c r="I321" s="50"/>
      <c r="J321" s="48"/>
      <c r="K321" s="48"/>
      <c r="L321" s="48"/>
      <c r="M321" s="48"/>
      <c r="N321" s="48"/>
      <c r="O321" s="48"/>
      <c r="P321" s="48"/>
      <c r="Q321" s="48"/>
      <c r="R321" s="48"/>
      <c r="S321" s="52"/>
      <c r="T321" s="48"/>
    </row>
    <row r="322" spans="1:20" ht="15.75" x14ac:dyDescent="0.25">
      <c r="A322" s="48">
        <v>309</v>
      </c>
      <c r="B322" s="48"/>
      <c r="C322" s="48"/>
      <c r="D322" s="49"/>
      <c r="E322" s="48"/>
      <c r="F322" s="48"/>
      <c r="G322" s="48"/>
      <c r="H322" s="48"/>
      <c r="I322" s="50"/>
      <c r="J322" s="48"/>
      <c r="K322" s="48"/>
      <c r="L322" s="48"/>
      <c r="M322" s="48"/>
      <c r="N322" s="48"/>
      <c r="O322" s="48"/>
      <c r="P322" s="48"/>
      <c r="Q322" s="48"/>
      <c r="R322" s="48"/>
      <c r="S322" s="52"/>
      <c r="T322" s="48"/>
    </row>
    <row r="323" spans="1:20" ht="15.75" x14ac:dyDescent="0.25">
      <c r="A323" s="48">
        <v>310</v>
      </c>
      <c r="B323" s="48"/>
      <c r="C323" s="48"/>
      <c r="D323" s="49"/>
      <c r="E323" s="48"/>
      <c r="F323" s="48"/>
      <c r="G323" s="48"/>
      <c r="H323" s="48"/>
      <c r="I323" s="50"/>
      <c r="J323" s="48"/>
      <c r="K323" s="48"/>
      <c r="L323" s="48"/>
      <c r="M323" s="48"/>
      <c r="N323" s="48"/>
      <c r="O323" s="48"/>
      <c r="P323" s="48"/>
      <c r="Q323" s="48"/>
      <c r="R323" s="48"/>
      <c r="S323" s="52"/>
      <c r="T323" s="48"/>
    </row>
    <row r="324" spans="1:20" ht="15.75" x14ac:dyDescent="0.25">
      <c r="A324" s="48">
        <v>311</v>
      </c>
      <c r="B324" s="48"/>
      <c r="C324" s="48"/>
      <c r="D324" s="49"/>
      <c r="E324" s="48"/>
      <c r="F324" s="48"/>
      <c r="G324" s="48"/>
      <c r="H324" s="48"/>
      <c r="I324" s="50"/>
      <c r="J324" s="48"/>
      <c r="K324" s="48"/>
      <c r="L324" s="48"/>
      <c r="M324" s="48"/>
      <c r="N324" s="48"/>
      <c r="O324" s="48"/>
      <c r="P324" s="48"/>
      <c r="Q324" s="48"/>
      <c r="R324" s="48"/>
      <c r="S324" s="52"/>
      <c r="T324" s="48"/>
    </row>
    <row r="325" spans="1:20" ht="15.75" x14ac:dyDescent="0.25">
      <c r="A325" s="48">
        <v>312</v>
      </c>
      <c r="B325" s="48"/>
      <c r="C325" s="48"/>
      <c r="D325" s="49"/>
      <c r="E325" s="48"/>
      <c r="F325" s="48"/>
      <c r="G325" s="48"/>
      <c r="H325" s="48"/>
      <c r="I325" s="50"/>
      <c r="J325" s="48"/>
      <c r="K325" s="48"/>
      <c r="L325" s="48"/>
      <c r="M325" s="48"/>
      <c r="N325" s="48"/>
      <c r="O325" s="48"/>
      <c r="P325" s="48"/>
      <c r="Q325" s="48"/>
      <c r="R325" s="48"/>
      <c r="S325" s="52"/>
      <c r="T325" s="48"/>
    </row>
    <row r="326" spans="1:20" ht="15.75" x14ac:dyDescent="0.25">
      <c r="A326" s="48">
        <v>313</v>
      </c>
      <c r="B326" s="48"/>
      <c r="C326" s="48"/>
      <c r="D326" s="49"/>
      <c r="E326" s="48"/>
      <c r="F326" s="48"/>
      <c r="G326" s="48"/>
      <c r="H326" s="48"/>
      <c r="I326" s="50"/>
      <c r="J326" s="48"/>
      <c r="K326" s="48"/>
      <c r="L326" s="48"/>
      <c r="M326" s="48"/>
      <c r="N326" s="48"/>
      <c r="O326" s="48"/>
      <c r="P326" s="48"/>
      <c r="Q326" s="48"/>
      <c r="R326" s="48"/>
      <c r="S326" s="52"/>
      <c r="T326" s="48"/>
    </row>
    <row r="327" spans="1:20" ht="15.75" x14ac:dyDescent="0.25">
      <c r="A327" s="48">
        <v>314</v>
      </c>
      <c r="B327" s="48"/>
      <c r="C327" s="48"/>
      <c r="D327" s="49"/>
      <c r="E327" s="48"/>
      <c r="F327" s="48"/>
      <c r="G327" s="48"/>
      <c r="H327" s="48"/>
      <c r="I327" s="50"/>
      <c r="J327" s="48"/>
      <c r="K327" s="48"/>
      <c r="L327" s="48"/>
      <c r="M327" s="48"/>
      <c r="N327" s="48"/>
      <c r="O327" s="48"/>
      <c r="P327" s="48"/>
      <c r="Q327" s="48"/>
      <c r="R327" s="48"/>
      <c r="S327" s="52"/>
      <c r="T327" s="48"/>
    </row>
    <row r="328" spans="1:20" ht="15.75" x14ac:dyDescent="0.25">
      <c r="A328" s="48">
        <v>315</v>
      </c>
      <c r="B328" s="48"/>
      <c r="C328" s="48"/>
      <c r="D328" s="49"/>
      <c r="E328" s="48"/>
      <c r="F328" s="48"/>
      <c r="G328" s="48"/>
      <c r="H328" s="48"/>
      <c r="I328" s="50"/>
      <c r="J328" s="48"/>
      <c r="K328" s="48"/>
      <c r="L328" s="48"/>
      <c r="M328" s="48"/>
      <c r="N328" s="48"/>
      <c r="O328" s="48"/>
      <c r="P328" s="48"/>
      <c r="Q328" s="48"/>
      <c r="R328" s="48"/>
      <c r="S328" s="52"/>
      <c r="T328" s="48"/>
    </row>
    <row r="329" spans="1:20" ht="15.75" x14ac:dyDescent="0.25">
      <c r="A329" s="48">
        <v>316</v>
      </c>
      <c r="B329" s="48"/>
      <c r="C329" s="48"/>
      <c r="D329" s="49"/>
      <c r="E329" s="48"/>
      <c r="F329" s="48"/>
      <c r="G329" s="48"/>
      <c r="H329" s="48"/>
      <c r="I329" s="50"/>
      <c r="J329" s="48"/>
      <c r="K329" s="48"/>
      <c r="L329" s="48"/>
      <c r="M329" s="48"/>
      <c r="N329" s="48"/>
      <c r="O329" s="48"/>
      <c r="P329" s="48"/>
      <c r="Q329" s="48"/>
      <c r="R329" s="48"/>
      <c r="S329" s="52"/>
      <c r="T329" s="48"/>
    </row>
    <row r="330" spans="1:20" ht="15.75" x14ac:dyDescent="0.25">
      <c r="A330" s="48">
        <v>317</v>
      </c>
      <c r="B330" s="48"/>
      <c r="C330" s="48"/>
      <c r="D330" s="49"/>
      <c r="E330" s="48"/>
      <c r="F330" s="48"/>
      <c r="G330" s="48"/>
      <c r="H330" s="48"/>
      <c r="I330" s="50"/>
      <c r="J330" s="48"/>
      <c r="K330" s="48"/>
      <c r="L330" s="48"/>
      <c r="M330" s="48"/>
      <c r="N330" s="48"/>
      <c r="O330" s="48"/>
      <c r="P330" s="48"/>
      <c r="Q330" s="48"/>
      <c r="R330" s="48"/>
      <c r="S330" s="52"/>
      <c r="T330" s="48"/>
    </row>
    <row r="331" spans="1:20" ht="15.75" x14ac:dyDescent="0.25">
      <c r="A331" s="48">
        <v>318</v>
      </c>
      <c r="B331" s="48"/>
      <c r="C331" s="48"/>
      <c r="D331" s="49"/>
      <c r="E331" s="48"/>
      <c r="F331" s="48"/>
      <c r="G331" s="48"/>
      <c r="H331" s="48"/>
      <c r="I331" s="50"/>
      <c r="J331" s="48"/>
      <c r="K331" s="48"/>
      <c r="L331" s="48"/>
      <c r="M331" s="48"/>
      <c r="N331" s="48"/>
      <c r="O331" s="48"/>
      <c r="P331" s="48"/>
      <c r="Q331" s="48"/>
      <c r="R331" s="48"/>
      <c r="S331" s="52"/>
      <c r="T331" s="48"/>
    </row>
    <row r="332" spans="1:20" ht="15.75" x14ac:dyDescent="0.25">
      <c r="A332" s="48">
        <v>319</v>
      </c>
      <c r="B332" s="48"/>
      <c r="C332" s="48"/>
      <c r="D332" s="49"/>
      <c r="E332" s="48"/>
      <c r="F332" s="48"/>
      <c r="G332" s="48"/>
      <c r="H332" s="48"/>
      <c r="I332" s="50"/>
      <c r="J332" s="48"/>
      <c r="K332" s="48"/>
      <c r="L332" s="48"/>
      <c r="M332" s="48"/>
      <c r="N332" s="48"/>
      <c r="O332" s="48"/>
      <c r="P332" s="48"/>
      <c r="Q332" s="48"/>
      <c r="R332" s="48"/>
      <c r="S332" s="52"/>
      <c r="T332" s="48"/>
    </row>
    <row r="333" spans="1:20" ht="15.75" x14ac:dyDescent="0.25">
      <c r="A333" s="48">
        <v>320</v>
      </c>
      <c r="B333" s="48"/>
      <c r="C333" s="48"/>
      <c r="D333" s="49"/>
      <c r="E333" s="48"/>
      <c r="F333" s="48"/>
      <c r="G333" s="48"/>
      <c r="H333" s="48"/>
      <c r="I333" s="50"/>
      <c r="J333" s="48"/>
      <c r="K333" s="48"/>
      <c r="L333" s="48"/>
      <c r="M333" s="48"/>
      <c r="N333" s="48"/>
      <c r="O333" s="48"/>
      <c r="P333" s="48"/>
      <c r="Q333" s="48"/>
      <c r="R333" s="48"/>
      <c r="S333" s="52"/>
      <c r="T333" s="48"/>
    </row>
    <row r="334" spans="1:20" ht="15.75" x14ac:dyDescent="0.25">
      <c r="A334" s="48">
        <v>321</v>
      </c>
      <c r="B334" s="48"/>
      <c r="C334" s="48"/>
      <c r="D334" s="49"/>
      <c r="E334" s="48"/>
      <c r="F334" s="48"/>
      <c r="G334" s="48"/>
      <c r="H334" s="48"/>
      <c r="I334" s="50"/>
      <c r="J334" s="48"/>
      <c r="K334" s="48"/>
      <c r="L334" s="48"/>
      <c r="M334" s="48"/>
      <c r="N334" s="48"/>
      <c r="O334" s="48"/>
      <c r="P334" s="48"/>
      <c r="Q334" s="48"/>
      <c r="R334" s="48"/>
      <c r="S334" s="52"/>
      <c r="T334" s="48"/>
    </row>
    <row r="335" spans="1:20" ht="15.75" x14ac:dyDescent="0.25">
      <c r="A335" s="48">
        <v>322</v>
      </c>
      <c r="B335" s="48"/>
      <c r="C335" s="48"/>
      <c r="D335" s="49"/>
      <c r="E335" s="48"/>
      <c r="F335" s="48"/>
      <c r="G335" s="48"/>
      <c r="H335" s="48"/>
      <c r="I335" s="50"/>
      <c r="J335" s="48"/>
      <c r="K335" s="48"/>
      <c r="L335" s="48"/>
      <c r="M335" s="48"/>
      <c r="N335" s="48"/>
      <c r="O335" s="48"/>
      <c r="P335" s="48"/>
      <c r="Q335" s="48"/>
      <c r="R335" s="48"/>
      <c r="S335" s="52"/>
      <c r="T335" s="48"/>
    </row>
    <row r="336" spans="1:20" ht="15.75" x14ac:dyDescent="0.25">
      <c r="A336" s="48">
        <v>323</v>
      </c>
      <c r="B336" s="48"/>
      <c r="C336" s="48"/>
      <c r="D336" s="49"/>
      <c r="E336" s="48"/>
      <c r="F336" s="48"/>
      <c r="G336" s="48"/>
      <c r="H336" s="48"/>
      <c r="I336" s="50"/>
      <c r="J336" s="48"/>
      <c r="K336" s="48"/>
      <c r="L336" s="48"/>
      <c r="M336" s="48"/>
      <c r="N336" s="48"/>
      <c r="O336" s="48"/>
      <c r="P336" s="48"/>
      <c r="Q336" s="48"/>
      <c r="R336" s="48"/>
      <c r="S336" s="52"/>
      <c r="T336" s="48"/>
    </row>
    <row r="337" spans="1:20" ht="15.75" x14ac:dyDescent="0.25">
      <c r="A337" s="48">
        <v>324</v>
      </c>
      <c r="B337" s="48"/>
      <c r="C337" s="48"/>
      <c r="D337" s="49"/>
      <c r="E337" s="48"/>
      <c r="F337" s="48"/>
      <c r="G337" s="48"/>
      <c r="H337" s="48"/>
      <c r="I337" s="50"/>
      <c r="J337" s="48"/>
      <c r="K337" s="48"/>
      <c r="L337" s="48"/>
      <c r="M337" s="48"/>
      <c r="N337" s="48"/>
      <c r="O337" s="48"/>
      <c r="P337" s="48"/>
      <c r="Q337" s="48"/>
      <c r="R337" s="48"/>
      <c r="S337" s="52"/>
      <c r="T337" s="48"/>
    </row>
    <row r="338" spans="1:20" ht="15.75" x14ac:dyDescent="0.25">
      <c r="A338" s="48">
        <v>325</v>
      </c>
      <c r="B338" s="48"/>
      <c r="C338" s="48"/>
      <c r="D338" s="49"/>
      <c r="E338" s="48"/>
      <c r="F338" s="48"/>
      <c r="G338" s="48"/>
      <c r="H338" s="48"/>
      <c r="I338" s="50"/>
      <c r="J338" s="48"/>
      <c r="K338" s="48"/>
      <c r="L338" s="48"/>
      <c r="M338" s="48"/>
      <c r="N338" s="48"/>
      <c r="O338" s="48"/>
      <c r="P338" s="48"/>
      <c r="Q338" s="48"/>
      <c r="R338" s="48"/>
      <c r="S338" s="52"/>
      <c r="T338" s="48"/>
    </row>
    <row r="339" spans="1:20" ht="15.75" x14ac:dyDescent="0.25">
      <c r="A339" s="48">
        <v>326</v>
      </c>
      <c r="B339" s="48"/>
      <c r="C339" s="48"/>
      <c r="D339" s="49"/>
      <c r="E339" s="48"/>
      <c r="F339" s="48"/>
      <c r="G339" s="48"/>
      <c r="H339" s="48"/>
      <c r="I339" s="50"/>
      <c r="J339" s="48"/>
      <c r="K339" s="48"/>
      <c r="L339" s="48"/>
      <c r="M339" s="48"/>
      <c r="N339" s="48"/>
      <c r="O339" s="48"/>
      <c r="P339" s="48"/>
      <c r="Q339" s="48"/>
      <c r="R339" s="48"/>
      <c r="S339" s="52"/>
      <c r="T339" s="48"/>
    </row>
    <row r="340" spans="1:20" ht="15.75" x14ac:dyDescent="0.25">
      <c r="A340" s="48">
        <v>327</v>
      </c>
      <c r="B340" s="48"/>
      <c r="C340" s="48"/>
      <c r="D340" s="49"/>
      <c r="E340" s="48"/>
      <c r="F340" s="48"/>
      <c r="G340" s="48"/>
      <c r="H340" s="48"/>
      <c r="I340" s="50"/>
      <c r="J340" s="48"/>
      <c r="K340" s="48"/>
      <c r="L340" s="48"/>
      <c r="M340" s="48"/>
      <c r="N340" s="48"/>
      <c r="O340" s="48"/>
      <c r="P340" s="48"/>
      <c r="Q340" s="48"/>
      <c r="R340" s="48"/>
      <c r="S340" s="52"/>
      <c r="T340" s="48"/>
    </row>
    <row r="341" spans="1:20" ht="15.75" x14ac:dyDescent="0.25">
      <c r="A341" s="48">
        <v>328</v>
      </c>
      <c r="B341" s="48"/>
      <c r="C341" s="48"/>
      <c r="D341" s="49"/>
      <c r="E341" s="48"/>
      <c r="F341" s="48"/>
      <c r="G341" s="48"/>
      <c r="H341" s="48"/>
      <c r="I341" s="50"/>
      <c r="J341" s="48"/>
      <c r="K341" s="48"/>
      <c r="L341" s="48"/>
      <c r="M341" s="48"/>
      <c r="N341" s="48"/>
      <c r="O341" s="48"/>
      <c r="P341" s="48"/>
      <c r="Q341" s="48"/>
      <c r="R341" s="48"/>
      <c r="S341" s="52"/>
      <c r="T341" s="48"/>
    </row>
    <row r="342" spans="1:20" ht="15.75" x14ac:dyDescent="0.25">
      <c r="A342" s="48">
        <v>329</v>
      </c>
      <c r="B342" s="48"/>
      <c r="C342" s="48"/>
      <c r="D342" s="49"/>
      <c r="E342" s="48"/>
      <c r="F342" s="48"/>
      <c r="G342" s="48"/>
      <c r="H342" s="48"/>
      <c r="I342" s="50"/>
      <c r="J342" s="48"/>
      <c r="K342" s="48"/>
      <c r="L342" s="48"/>
      <c r="M342" s="48"/>
      <c r="N342" s="48"/>
      <c r="O342" s="48"/>
      <c r="P342" s="48"/>
      <c r="Q342" s="48"/>
      <c r="R342" s="48"/>
      <c r="S342" s="52"/>
      <c r="T342" s="48"/>
    </row>
    <row r="343" spans="1:20" ht="15.75" x14ac:dyDescent="0.25">
      <c r="A343" s="48">
        <v>330</v>
      </c>
      <c r="B343" s="48"/>
      <c r="C343" s="48"/>
      <c r="D343" s="49"/>
      <c r="E343" s="48"/>
      <c r="F343" s="48"/>
      <c r="G343" s="48"/>
      <c r="H343" s="48"/>
      <c r="I343" s="50"/>
      <c r="J343" s="48"/>
      <c r="K343" s="48"/>
      <c r="L343" s="48"/>
      <c r="M343" s="48"/>
      <c r="N343" s="48"/>
      <c r="O343" s="48"/>
      <c r="P343" s="48"/>
      <c r="Q343" s="48"/>
      <c r="R343" s="48"/>
      <c r="S343" s="52"/>
      <c r="T343" s="48"/>
    </row>
    <row r="344" spans="1:20" ht="15.75" x14ac:dyDescent="0.25">
      <c r="A344" s="48">
        <v>331</v>
      </c>
      <c r="B344" s="48"/>
      <c r="C344" s="48"/>
      <c r="D344" s="49"/>
      <c r="E344" s="48"/>
      <c r="F344" s="48"/>
      <c r="G344" s="48"/>
      <c r="H344" s="48"/>
      <c r="I344" s="50"/>
      <c r="J344" s="48"/>
      <c r="K344" s="48"/>
      <c r="L344" s="48"/>
      <c r="M344" s="48"/>
      <c r="N344" s="48"/>
      <c r="O344" s="48"/>
      <c r="P344" s="48"/>
      <c r="Q344" s="48"/>
      <c r="R344" s="48"/>
      <c r="S344" s="52"/>
      <c r="T344" s="48"/>
    </row>
    <row r="345" spans="1:20" ht="15.75" x14ac:dyDescent="0.25">
      <c r="A345" s="48">
        <v>332</v>
      </c>
      <c r="B345" s="48"/>
      <c r="C345" s="48"/>
      <c r="D345" s="49"/>
      <c r="E345" s="48"/>
      <c r="F345" s="48"/>
      <c r="G345" s="48"/>
      <c r="H345" s="48"/>
      <c r="I345" s="50"/>
      <c r="J345" s="48"/>
      <c r="K345" s="48"/>
      <c r="L345" s="48"/>
      <c r="M345" s="48"/>
      <c r="N345" s="48"/>
      <c r="O345" s="48"/>
      <c r="P345" s="48"/>
      <c r="Q345" s="48"/>
      <c r="R345" s="48"/>
      <c r="S345" s="52"/>
      <c r="T345" s="48"/>
    </row>
    <row r="346" spans="1:20" ht="15.75" x14ac:dyDescent="0.25">
      <c r="A346" s="48">
        <v>333</v>
      </c>
      <c r="B346" s="48"/>
      <c r="C346" s="48"/>
      <c r="D346" s="49"/>
      <c r="E346" s="48"/>
      <c r="F346" s="48"/>
      <c r="G346" s="48"/>
      <c r="H346" s="48"/>
      <c r="I346" s="50"/>
      <c r="J346" s="48"/>
      <c r="K346" s="48"/>
      <c r="L346" s="48"/>
      <c r="M346" s="48"/>
      <c r="N346" s="48"/>
      <c r="O346" s="48"/>
      <c r="P346" s="48"/>
      <c r="Q346" s="48"/>
      <c r="R346" s="48"/>
      <c r="S346" s="52"/>
      <c r="T346" s="48"/>
    </row>
    <row r="347" spans="1:20" ht="15.75" x14ac:dyDescent="0.25">
      <c r="A347" s="48">
        <v>334</v>
      </c>
      <c r="B347" s="48"/>
      <c r="C347" s="48"/>
      <c r="D347" s="49"/>
      <c r="E347" s="48"/>
      <c r="F347" s="48"/>
      <c r="G347" s="48"/>
      <c r="H347" s="48"/>
      <c r="I347" s="50"/>
      <c r="J347" s="48"/>
      <c r="K347" s="48"/>
      <c r="L347" s="48"/>
      <c r="M347" s="48"/>
      <c r="N347" s="48"/>
      <c r="O347" s="48"/>
      <c r="P347" s="48"/>
      <c r="Q347" s="48"/>
      <c r="R347" s="48"/>
      <c r="S347" s="52"/>
      <c r="T347" s="48"/>
    </row>
    <row r="348" spans="1:20" ht="15.75" x14ac:dyDescent="0.25">
      <c r="A348" s="48">
        <v>335</v>
      </c>
      <c r="B348" s="48"/>
      <c r="C348" s="48"/>
      <c r="D348" s="49"/>
      <c r="E348" s="48"/>
      <c r="F348" s="48"/>
      <c r="G348" s="48"/>
      <c r="H348" s="48"/>
      <c r="I348" s="50"/>
      <c r="J348" s="48"/>
      <c r="K348" s="48"/>
      <c r="L348" s="48"/>
      <c r="M348" s="48"/>
      <c r="N348" s="48"/>
      <c r="O348" s="48"/>
      <c r="P348" s="48"/>
      <c r="Q348" s="48"/>
      <c r="R348" s="48"/>
      <c r="S348" s="52"/>
      <c r="T348" s="48"/>
    </row>
    <row r="349" spans="1:20" ht="15.75" x14ac:dyDescent="0.25">
      <c r="A349" s="48">
        <v>336</v>
      </c>
      <c r="B349" s="48"/>
      <c r="C349" s="48"/>
      <c r="D349" s="49"/>
      <c r="E349" s="48"/>
      <c r="F349" s="48"/>
      <c r="G349" s="48"/>
      <c r="H349" s="48"/>
      <c r="I349" s="50"/>
      <c r="J349" s="48"/>
      <c r="K349" s="48"/>
      <c r="L349" s="48"/>
      <c r="M349" s="48"/>
      <c r="N349" s="48"/>
      <c r="O349" s="48"/>
      <c r="P349" s="48"/>
      <c r="Q349" s="48"/>
      <c r="R349" s="48"/>
      <c r="S349" s="52"/>
      <c r="T349" s="48"/>
    </row>
    <row r="350" spans="1:20" ht="15.75" x14ac:dyDescent="0.25">
      <c r="A350" s="48">
        <v>337</v>
      </c>
      <c r="B350" s="48"/>
      <c r="C350" s="48"/>
      <c r="D350" s="49"/>
      <c r="E350" s="48"/>
      <c r="F350" s="48"/>
      <c r="G350" s="48"/>
      <c r="H350" s="48"/>
      <c r="I350" s="50"/>
      <c r="J350" s="48"/>
      <c r="K350" s="48"/>
      <c r="L350" s="48"/>
      <c r="M350" s="48"/>
      <c r="N350" s="48"/>
      <c r="O350" s="48"/>
      <c r="P350" s="48"/>
      <c r="Q350" s="48"/>
      <c r="R350" s="48"/>
      <c r="S350" s="52"/>
      <c r="T350" s="48"/>
    </row>
    <row r="351" spans="1:20" ht="15.75" x14ac:dyDescent="0.25">
      <c r="A351" s="48">
        <v>338</v>
      </c>
      <c r="B351" s="48"/>
      <c r="C351" s="48"/>
      <c r="D351" s="49"/>
      <c r="E351" s="48"/>
      <c r="F351" s="48"/>
      <c r="G351" s="48"/>
      <c r="H351" s="48"/>
      <c r="I351" s="50"/>
      <c r="J351" s="48"/>
      <c r="K351" s="48"/>
      <c r="L351" s="48"/>
      <c r="M351" s="48"/>
      <c r="N351" s="48"/>
      <c r="O351" s="48"/>
      <c r="P351" s="48"/>
      <c r="Q351" s="48"/>
      <c r="R351" s="48"/>
      <c r="S351" s="52"/>
      <c r="T351" s="48"/>
    </row>
    <row r="352" spans="1:20" ht="15.75" x14ac:dyDescent="0.25">
      <c r="A352" s="48">
        <v>339</v>
      </c>
      <c r="B352" s="48"/>
      <c r="C352" s="48"/>
      <c r="D352" s="49"/>
      <c r="E352" s="48"/>
      <c r="F352" s="48"/>
      <c r="G352" s="48"/>
      <c r="H352" s="48"/>
      <c r="I352" s="50"/>
      <c r="J352" s="48"/>
      <c r="K352" s="48"/>
      <c r="L352" s="48"/>
      <c r="M352" s="48"/>
      <c r="N352" s="48"/>
      <c r="O352" s="48"/>
      <c r="P352" s="48"/>
      <c r="Q352" s="48"/>
      <c r="R352" s="48"/>
      <c r="S352" s="52"/>
      <c r="T352" s="48"/>
    </row>
    <row r="353" spans="1:20" ht="15.75" x14ac:dyDescent="0.25">
      <c r="A353" s="48">
        <v>340</v>
      </c>
      <c r="B353" s="48"/>
      <c r="C353" s="48"/>
      <c r="D353" s="49"/>
      <c r="E353" s="48"/>
      <c r="F353" s="48"/>
      <c r="G353" s="48"/>
      <c r="H353" s="48"/>
      <c r="I353" s="50"/>
      <c r="J353" s="48"/>
      <c r="K353" s="48"/>
      <c r="L353" s="48"/>
      <c r="M353" s="48"/>
      <c r="N353" s="48"/>
      <c r="O353" s="48"/>
      <c r="P353" s="48"/>
      <c r="Q353" s="48"/>
      <c r="R353" s="48"/>
      <c r="S353" s="52"/>
      <c r="T353" s="48"/>
    </row>
    <row r="354" spans="1:20" ht="15.75" x14ac:dyDescent="0.25">
      <c r="A354" s="48">
        <v>341</v>
      </c>
      <c r="B354" s="48"/>
      <c r="C354" s="48"/>
      <c r="D354" s="49"/>
      <c r="E354" s="48"/>
      <c r="F354" s="48"/>
      <c r="G354" s="48"/>
      <c r="H354" s="48"/>
      <c r="I354" s="50"/>
      <c r="J354" s="48"/>
      <c r="K354" s="48"/>
      <c r="L354" s="48"/>
      <c r="M354" s="48"/>
      <c r="N354" s="48"/>
      <c r="O354" s="48"/>
      <c r="P354" s="48"/>
      <c r="Q354" s="48"/>
      <c r="R354" s="48"/>
      <c r="S354" s="52"/>
      <c r="T354" s="48"/>
    </row>
    <row r="355" spans="1:20" ht="15.75" x14ac:dyDescent="0.25">
      <c r="A355" s="48">
        <v>342</v>
      </c>
      <c r="B355" s="48"/>
      <c r="C355" s="48"/>
      <c r="D355" s="49"/>
      <c r="E355" s="48"/>
      <c r="F355" s="48"/>
      <c r="G355" s="48"/>
      <c r="H355" s="48"/>
      <c r="I355" s="50"/>
      <c r="J355" s="48"/>
      <c r="K355" s="48"/>
      <c r="L355" s="48"/>
      <c r="M355" s="48"/>
      <c r="N355" s="48"/>
      <c r="O355" s="48"/>
      <c r="P355" s="48"/>
      <c r="Q355" s="48"/>
      <c r="R355" s="48"/>
      <c r="S355" s="52"/>
      <c r="T355" s="48"/>
    </row>
    <row r="356" spans="1:20" ht="15.75" x14ac:dyDescent="0.25">
      <c r="A356" s="48">
        <v>343</v>
      </c>
      <c r="B356" s="48"/>
      <c r="C356" s="48"/>
      <c r="D356" s="49"/>
      <c r="E356" s="48"/>
      <c r="F356" s="48"/>
      <c r="G356" s="48"/>
      <c r="H356" s="48"/>
      <c r="I356" s="50"/>
      <c r="J356" s="48"/>
      <c r="K356" s="48"/>
      <c r="L356" s="48"/>
      <c r="M356" s="48"/>
      <c r="N356" s="48"/>
      <c r="O356" s="48"/>
      <c r="P356" s="48"/>
      <c r="Q356" s="48"/>
      <c r="R356" s="48"/>
      <c r="S356" s="52"/>
      <c r="T356" s="48"/>
    </row>
    <row r="357" spans="1:20" ht="15.75" x14ac:dyDescent="0.25">
      <c r="A357" s="48">
        <v>344</v>
      </c>
      <c r="B357" s="48"/>
      <c r="C357" s="48"/>
      <c r="D357" s="49"/>
      <c r="E357" s="48"/>
      <c r="F357" s="48"/>
      <c r="G357" s="48"/>
      <c r="H357" s="48"/>
      <c r="I357" s="50"/>
      <c r="J357" s="48"/>
      <c r="K357" s="48"/>
      <c r="L357" s="48"/>
      <c r="M357" s="48"/>
      <c r="N357" s="48"/>
      <c r="O357" s="48"/>
      <c r="P357" s="48"/>
      <c r="Q357" s="48"/>
      <c r="R357" s="48"/>
      <c r="S357" s="52"/>
      <c r="T357" s="48"/>
    </row>
    <row r="358" spans="1:20" ht="15.75" x14ac:dyDescent="0.25">
      <c r="A358" s="48">
        <v>345</v>
      </c>
      <c r="B358" s="48"/>
      <c r="C358" s="48"/>
      <c r="D358" s="49"/>
      <c r="E358" s="48"/>
      <c r="F358" s="48"/>
      <c r="G358" s="48"/>
      <c r="H358" s="48"/>
      <c r="I358" s="50"/>
      <c r="J358" s="48"/>
      <c r="K358" s="48"/>
      <c r="L358" s="48"/>
      <c r="M358" s="48"/>
      <c r="N358" s="48"/>
      <c r="O358" s="48"/>
      <c r="P358" s="48"/>
      <c r="Q358" s="48"/>
      <c r="R358" s="48"/>
      <c r="S358" s="52"/>
      <c r="T358" s="48"/>
    </row>
    <row r="359" spans="1:20" ht="15.75" x14ac:dyDescent="0.25">
      <c r="A359" s="48">
        <v>346</v>
      </c>
      <c r="B359" s="48"/>
      <c r="C359" s="48"/>
      <c r="D359" s="49"/>
      <c r="E359" s="48"/>
      <c r="F359" s="48"/>
      <c r="G359" s="48"/>
      <c r="H359" s="48"/>
      <c r="I359" s="50"/>
      <c r="J359" s="48"/>
      <c r="K359" s="48"/>
      <c r="L359" s="48"/>
      <c r="M359" s="48"/>
      <c r="N359" s="48"/>
      <c r="O359" s="48"/>
      <c r="P359" s="48"/>
      <c r="Q359" s="48"/>
      <c r="R359" s="48"/>
      <c r="S359" s="52"/>
      <c r="T359" s="48"/>
    </row>
    <row r="360" spans="1:20" ht="15.75" x14ac:dyDescent="0.25">
      <c r="A360" s="48">
        <v>347</v>
      </c>
      <c r="B360" s="48"/>
      <c r="C360" s="48"/>
      <c r="D360" s="49"/>
      <c r="E360" s="48"/>
      <c r="F360" s="48"/>
      <c r="G360" s="48"/>
      <c r="H360" s="48"/>
      <c r="I360" s="50"/>
      <c r="J360" s="48"/>
      <c r="K360" s="48"/>
      <c r="L360" s="48"/>
      <c r="M360" s="48"/>
      <c r="N360" s="48"/>
      <c r="O360" s="48"/>
      <c r="P360" s="48"/>
      <c r="Q360" s="48"/>
      <c r="R360" s="48"/>
      <c r="S360" s="52"/>
      <c r="T360" s="48"/>
    </row>
    <row r="361" spans="1:20" ht="15.75" x14ac:dyDescent="0.25">
      <c r="A361" s="48">
        <v>348</v>
      </c>
      <c r="B361" s="48"/>
      <c r="C361" s="48"/>
      <c r="D361" s="49"/>
      <c r="E361" s="48"/>
      <c r="F361" s="48"/>
      <c r="G361" s="48"/>
      <c r="H361" s="48"/>
      <c r="I361" s="50"/>
      <c r="J361" s="48"/>
      <c r="K361" s="48"/>
      <c r="L361" s="48"/>
      <c r="M361" s="48"/>
      <c r="N361" s="48"/>
      <c r="O361" s="48"/>
      <c r="P361" s="48"/>
      <c r="Q361" s="48"/>
      <c r="R361" s="48"/>
      <c r="S361" s="52"/>
      <c r="T361" s="48"/>
    </row>
    <row r="362" spans="1:20" ht="15.75" x14ac:dyDescent="0.25">
      <c r="A362" s="48">
        <v>349</v>
      </c>
      <c r="B362" s="48"/>
      <c r="C362" s="48"/>
      <c r="D362" s="49"/>
      <c r="E362" s="48"/>
      <c r="F362" s="48"/>
      <c r="G362" s="48"/>
      <c r="H362" s="48"/>
      <c r="I362" s="50"/>
      <c r="J362" s="48"/>
      <c r="K362" s="48"/>
      <c r="L362" s="48"/>
      <c r="M362" s="48"/>
      <c r="N362" s="48"/>
      <c r="O362" s="48"/>
      <c r="P362" s="48"/>
      <c r="Q362" s="48"/>
      <c r="R362" s="48"/>
      <c r="S362" s="52"/>
      <c r="T362" s="48"/>
    </row>
    <row r="363" spans="1:20" ht="15.75" x14ac:dyDescent="0.25">
      <c r="A363" s="48">
        <v>350</v>
      </c>
      <c r="B363" s="48"/>
      <c r="C363" s="48"/>
      <c r="D363" s="49"/>
      <c r="E363" s="48"/>
      <c r="F363" s="48"/>
      <c r="G363" s="48"/>
      <c r="H363" s="48"/>
      <c r="I363" s="50"/>
      <c r="J363" s="48"/>
      <c r="K363" s="48"/>
      <c r="L363" s="48"/>
      <c r="M363" s="48"/>
      <c r="N363" s="48"/>
      <c r="O363" s="48"/>
      <c r="P363" s="48"/>
      <c r="Q363" s="48"/>
      <c r="R363" s="48"/>
      <c r="S363" s="52"/>
      <c r="T363" s="48"/>
    </row>
    <row r="364" spans="1:20" ht="15.75" x14ac:dyDescent="0.25">
      <c r="A364" s="48">
        <v>351</v>
      </c>
      <c r="B364" s="48"/>
      <c r="C364" s="48"/>
      <c r="D364" s="49"/>
      <c r="E364" s="48"/>
      <c r="F364" s="48"/>
      <c r="G364" s="48"/>
      <c r="H364" s="48"/>
      <c r="I364" s="50"/>
      <c r="J364" s="48"/>
      <c r="K364" s="48"/>
      <c r="L364" s="48"/>
      <c r="M364" s="48"/>
      <c r="N364" s="48"/>
      <c r="O364" s="48"/>
      <c r="P364" s="48"/>
      <c r="Q364" s="48"/>
      <c r="R364" s="48"/>
      <c r="S364" s="52"/>
      <c r="T364" s="48"/>
    </row>
    <row r="365" spans="1:20" ht="15.75" x14ac:dyDescent="0.25">
      <c r="A365" s="48">
        <v>352</v>
      </c>
      <c r="B365" s="48"/>
      <c r="C365" s="48"/>
      <c r="D365" s="49"/>
      <c r="E365" s="48"/>
      <c r="F365" s="48"/>
      <c r="G365" s="48"/>
      <c r="H365" s="48"/>
      <c r="I365" s="50"/>
      <c r="J365" s="48"/>
      <c r="K365" s="48"/>
      <c r="L365" s="48"/>
      <c r="M365" s="48"/>
      <c r="N365" s="48"/>
      <c r="O365" s="48"/>
      <c r="P365" s="48"/>
      <c r="Q365" s="48"/>
      <c r="R365" s="48"/>
      <c r="S365" s="52"/>
      <c r="T365" s="48"/>
    </row>
    <row r="366" spans="1:20" ht="15.75" x14ac:dyDescent="0.25">
      <c r="A366" s="48">
        <v>353</v>
      </c>
      <c r="B366" s="48"/>
      <c r="C366" s="48"/>
      <c r="D366" s="49"/>
      <c r="E366" s="48"/>
      <c r="F366" s="48"/>
      <c r="G366" s="48"/>
      <c r="H366" s="48"/>
      <c r="I366" s="50"/>
      <c r="J366" s="48"/>
      <c r="K366" s="48"/>
      <c r="L366" s="48"/>
      <c r="M366" s="48"/>
      <c r="N366" s="48"/>
      <c r="O366" s="48"/>
      <c r="P366" s="48"/>
      <c r="Q366" s="48"/>
      <c r="R366" s="48"/>
      <c r="S366" s="52"/>
      <c r="T366" s="48"/>
    </row>
    <row r="367" spans="1:20" ht="15.75" x14ac:dyDescent="0.25">
      <c r="A367" s="48">
        <v>354</v>
      </c>
      <c r="B367" s="48"/>
      <c r="C367" s="48"/>
      <c r="D367" s="49"/>
      <c r="E367" s="48"/>
      <c r="F367" s="48"/>
      <c r="G367" s="48"/>
      <c r="H367" s="48"/>
      <c r="I367" s="50"/>
      <c r="J367" s="48"/>
      <c r="K367" s="48"/>
      <c r="L367" s="48"/>
      <c r="M367" s="48"/>
      <c r="N367" s="48"/>
      <c r="O367" s="48"/>
      <c r="P367" s="48"/>
      <c r="Q367" s="48"/>
      <c r="R367" s="48"/>
      <c r="S367" s="52"/>
      <c r="T367" s="48"/>
    </row>
    <row r="368" spans="1:20" ht="15.75" x14ac:dyDescent="0.25">
      <c r="A368" s="48">
        <v>355</v>
      </c>
      <c r="B368" s="48"/>
      <c r="C368" s="48"/>
      <c r="D368" s="49"/>
      <c r="E368" s="48"/>
      <c r="F368" s="48"/>
      <c r="G368" s="48"/>
      <c r="H368" s="48"/>
      <c r="I368" s="50"/>
      <c r="J368" s="48"/>
      <c r="K368" s="48"/>
      <c r="L368" s="48"/>
      <c r="M368" s="48"/>
      <c r="N368" s="48"/>
      <c r="O368" s="48"/>
      <c r="P368" s="48"/>
      <c r="Q368" s="48"/>
      <c r="R368" s="48"/>
      <c r="S368" s="52"/>
      <c r="T368" s="48"/>
    </row>
    <row r="369" spans="1:20" ht="15.75" x14ac:dyDescent="0.25">
      <c r="A369" s="48">
        <v>356</v>
      </c>
      <c r="B369" s="48"/>
      <c r="C369" s="48"/>
      <c r="D369" s="49"/>
      <c r="E369" s="48"/>
      <c r="F369" s="48"/>
      <c r="G369" s="48"/>
      <c r="H369" s="48"/>
      <c r="I369" s="50"/>
      <c r="J369" s="48"/>
      <c r="K369" s="48"/>
      <c r="L369" s="48"/>
      <c r="M369" s="48"/>
      <c r="N369" s="48"/>
      <c r="O369" s="48"/>
      <c r="P369" s="48"/>
      <c r="Q369" s="48"/>
      <c r="R369" s="48"/>
      <c r="S369" s="52"/>
      <c r="T369" s="48"/>
    </row>
    <row r="370" spans="1:20" ht="15.75" x14ac:dyDescent="0.25">
      <c r="A370" s="48">
        <v>357</v>
      </c>
      <c r="B370" s="48"/>
      <c r="C370" s="48"/>
      <c r="D370" s="49"/>
      <c r="E370" s="48"/>
      <c r="F370" s="48"/>
      <c r="G370" s="48"/>
      <c r="H370" s="48"/>
      <c r="I370" s="50"/>
      <c r="J370" s="48"/>
      <c r="K370" s="48"/>
      <c r="L370" s="48"/>
      <c r="M370" s="48"/>
      <c r="N370" s="48"/>
      <c r="O370" s="48"/>
      <c r="P370" s="48"/>
      <c r="Q370" s="48"/>
      <c r="R370" s="48"/>
      <c r="S370" s="52"/>
      <c r="T370" s="48"/>
    </row>
    <row r="371" spans="1:20" ht="15.75" x14ac:dyDescent="0.25">
      <c r="A371" s="48">
        <v>358</v>
      </c>
      <c r="B371" s="48"/>
      <c r="C371" s="48"/>
      <c r="D371" s="49"/>
      <c r="E371" s="48"/>
      <c r="F371" s="48"/>
      <c r="G371" s="48"/>
      <c r="H371" s="48"/>
      <c r="I371" s="50"/>
      <c r="J371" s="48"/>
      <c r="K371" s="48"/>
      <c r="L371" s="48"/>
      <c r="M371" s="48"/>
      <c r="N371" s="48"/>
      <c r="O371" s="48"/>
      <c r="P371" s="48"/>
      <c r="Q371" s="48"/>
      <c r="R371" s="48"/>
      <c r="S371" s="52"/>
      <c r="T371" s="48"/>
    </row>
    <row r="372" spans="1:20" ht="15.75" x14ac:dyDescent="0.25">
      <c r="A372" s="48">
        <v>359</v>
      </c>
      <c r="B372" s="48"/>
      <c r="C372" s="48"/>
      <c r="D372" s="49"/>
      <c r="E372" s="48"/>
      <c r="F372" s="48"/>
      <c r="G372" s="48"/>
      <c r="H372" s="48"/>
      <c r="I372" s="50"/>
      <c r="J372" s="48"/>
      <c r="K372" s="48"/>
      <c r="L372" s="48"/>
      <c r="M372" s="48"/>
      <c r="N372" s="48"/>
      <c r="O372" s="48"/>
      <c r="P372" s="48"/>
      <c r="Q372" s="48"/>
      <c r="R372" s="48"/>
      <c r="S372" s="52"/>
      <c r="T372" s="48"/>
    </row>
    <row r="373" spans="1:20" ht="15.75" x14ac:dyDescent="0.25">
      <c r="A373" s="48">
        <v>360</v>
      </c>
      <c r="B373" s="48"/>
      <c r="C373" s="48"/>
      <c r="D373" s="49"/>
      <c r="E373" s="48"/>
      <c r="F373" s="48"/>
      <c r="G373" s="48"/>
      <c r="H373" s="48"/>
      <c r="I373" s="50"/>
      <c r="J373" s="48"/>
      <c r="K373" s="48"/>
      <c r="L373" s="48"/>
      <c r="M373" s="48"/>
      <c r="N373" s="48"/>
      <c r="O373" s="48"/>
      <c r="P373" s="48"/>
      <c r="Q373" s="48"/>
      <c r="R373" s="48"/>
      <c r="S373" s="52"/>
      <c r="T373" s="48"/>
    </row>
    <row r="374" spans="1:20" ht="15.75" x14ac:dyDescent="0.25">
      <c r="A374" s="48">
        <v>361</v>
      </c>
      <c r="B374" s="48"/>
      <c r="C374" s="48"/>
      <c r="D374" s="49"/>
      <c r="E374" s="48"/>
      <c r="F374" s="48"/>
      <c r="G374" s="48"/>
      <c r="H374" s="48"/>
      <c r="I374" s="50"/>
      <c r="J374" s="48"/>
      <c r="K374" s="48"/>
      <c r="L374" s="48"/>
      <c r="M374" s="48"/>
      <c r="N374" s="48"/>
      <c r="O374" s="48"/>
      <c r="P374" s="48"/>
      <c r="Q374" s="48"/>
      <c r="R374" s="48"/>
      <c r="S374" s="52"/>
      <c r="T374" s="48"/>
    </row>
    <row r="375" spans="1:20" ht="15.75" x14ac:dyDescent="0.25">
      <c r="A375" s="48">
        <v>362</v>
      </c>
      <c r="B375" s="48"/>
      <c r="C375" s="48"/>
      <c r="D375" s="49"/>
      <c r="E375" s="48"/>
      <c r="F375" s="48"/>
      <c r="G375" s="48"/>
      <c r="H375" s="48"/>
      <c r="I375" s="50"/>
      <c r="J375" s="48"/>
      <c r="K375" s="48"/>
      <c r="L375" s="48"/>
      <c r="M375" s="48"/>
      <c r="N375" s="48"/>
      <c r="O375" s="48"/>
      <c r="P375" s="48"/>
      <c r="Q375" s="48"/>
      <c r="R375" s="48"/>
      <c r="S375" s="52"/>
      <c r="T375" s="48"/>
    </row>
    <row r="376" spans="1:20" ht="15.75" x14ac:dyDescent="0.25">
      <c r="A376" s="48">
        <v>363</v>
      </c>
      <c r="B376" s="48"/>
      <c r="C376" s="48"/>
      <c r="D376" s="49"/>
      <c r="E376" s="48"/>
      <c r="F376" s="48"/>
      <c r="G376" s="48"/>
      <c r="H376" s="48"/>
      <c r="I376" s="50"/>
      <c r="J376" s="48"/>
      <c r="K376" s="48"/>
      <c r="L376" s="48"/>
      <c r="M376" s="48"/>
      <c r="N376" s="48"/>
      <c r="O376" s="48"/>
      <c r="P376" s="48"/>
      <c r="Q376" s="48"/>
      <c r="R376" s="48"/>
      <c r="S376" s="52"/>
      <c r="T376" s="48"/>
    </row>
    <row r="377" spans="1:20" ht="15.75" x14ac:dyDescent="0.25">
      <c r="A377" s="48">
        <v>364</v>
      </c>
      <c r="B377" s="48"/>
      <c r="C377" s="48"/>
      <c r="D377" s="49"/>
      <c r="E377" s="48"/>
      <c r="F377" s="48"/>
      <c r="G377" s="48"/>
      <c r="H377" s="48"/>
      <c r="I377" s="50"/>
      <c r="J377" s="48"/>
      <c r="K377" s="48"/>
      <c r="L377" s="48"/>
      <c r="M377" s="48"/>
      <c r="N377" s="48"/>
      <c r="O377" s="48"/>
      <c r="P377" s="48"/>
      <c r="Q377" s="48"/>
      <c r="R377" s="48"/>
      <c r="S377" s="52"/>
      <c r="T377" s="48"/>
    </row>
    <row r="378" spans="1:20" ht="15.75" x14ac:dyDescent="0.25">
      <c r="A378" s="48">
        <v>365</v>
      </c>
      <c r="B378" s="48"/>
      <c r="C378" s="48"/>
      <c r="D378" s="49"/>
      <c r="E378" s="48"/>
      <c r="F378" s="48"/>
      <c r="G378" s="48"/>
      <c r="H378" s="48"/>
      <c r="I378" s="50"/>
      <c r="J378" s="48"/>
      <c r="K378" s="48"/>
      <c r="L378" s="48"/>
      <c r="M378" s="48"/>
      <c r="N378" s="48"/>
      <c r="O378" s="48"/>
      <c r="P378" s="48"/>
      <c r="Q378" s="48"/>
      <c r="R378" s="48"/>
      <c r="S378" s="52"/>
      <c r="T378" s="48"/>
    </row>
    <row r="379" spans="1:20" ht="15.75" x14ac:dyDescent="0.25">
      <c r="A379" s="48">
        <v>366</v>
      </c>
      <c r="B379" s="48"/>
      <c r="C379" s="48"/>
      <c r="D379" s="49"/>
      <c r="E379" s="48"/>
      <c r="F379" s="48"/>
      <c r="G379" s="48"/>
      <c r="H379" s="48"/>
      <c r="I379" s="50"/>
      <c r="J379" s="48"/>
      <c r="K379" s="48"/>
      <c r="L379" s="48"/>
      <c r="M379" s="48"/>
      <c r="N379" s="48"/>
      <c r="O379" s="48"/>
      <c r="P379" s="48"/>
      <c r="Q379" s="48"/>
      <c r="R379" s="48"/>
      <c r="S379" s="52"/>
      <c r="T379" s="48"/>
    </row>
    <row r="380" spans="1:20" ht="15.75" x14ac:dyDescent="0.25">
      <c r="A380" s="48">
        <v>367</v>
      </c>
      <c r="B380" s="48"/>
      <c r="C380" s="48"/>
      <c r="D380" s="49"/>
      <c r="E380" s="48"/>
      <c r="F380" s="48"/>
      <c r="G380" s="48"/>
      <c r="H380" s="48"/>
      <c r="I380" s="50"/>
      <c r="J380" s="48"/>
      <c r="K380" s="48"/>
      <c r="L380" s="48"/>
      <c r="M380" s="48"/>
      <c r="N380" s="48"/>
      <c r="O380" s="48"/>
      <c r="P380" s="48"/>
      <c r="Q380" s="48"/>
      <c r="R380" s="48"/>
      <c r="S380" s="52"/>
      <c r="T380" s="48"/>
    </row>
    <row r="381" spans="1:20" ht="15.75" x14ac:dyDescent="0.25">
      <c r="A381" s="48">
        <v>368</v>
      </c>
      <c r="B381" s="48"/>
      <c r="C381" s="48"/>
      <c r="D381" s="49"/>
      <c r="E381" s="48"/>
      <c r="F381" s="48"/>
      <c r="G381" s="48"/>
      <c r="H381" s="48"/>
      <c r="I381" s="50"/>
      <c r="J381" s="48"/>
      <c r="K381" s="48"/>
      <c r="L381" s="48"/>
      <c r="M381" s="48"/>
      <c r="N381" s="48"/>
      <c r="O381" s="48"/>
      <c r="P381" s="48"/>
      <c r="Q381" s="48"/>
      <c r="R381" s="48"/>
      <c r="S381" s="52"/>
      <c r="T381" s="48"/>
    </row>
    <row r="382" spans="1:20" ht="15.75" x14ac:dyDescent="0.25">
      <c r="A382" s="48">
        <v>369</v>
      </c>
      <c r="B382" s="48"/>
      <c r="C382" s="48"/>
      <c r="D382" s="49"/>
      <c r="E382" s="48"/>
      <c r="F382" s="48"/>
      <c r="G382" s="48"/>
      <c r="H382" s="48"/>
      <c r="I382" s="50"/>
      <c r="J382" s="48"/>
      <c r="K382" s="48"/>
      <c r="L382" s="48"/>
      <c r="M382" s="48"/>
      <c r="N382" s="48"/>
      <c r="O382" s="48"/>
      <c r="P382" s="48"/>
      <c r="Q382" s="48"/>
      <c r="R382" s="48"/>
      <c r="S382" s="52"/>
      <c r="T382" s="48"/>
    </row>
    <row r="383" spans="1:20" ht="15.75" x14ac:dyDescent="0.25">
      <c r="A383" s="48">
        <v>370</v>
      </c>
      <c r="B383" s="48"/>
      <c r="C383" s="48"/>
      <c r="D383" s="49"/>
      <c r="E383" s="48"/>
      <c r="F383" s="48"/>
      <c r="G383" s="48"/>
      <c r="H383" s="48"/>
      <c r="I383" s="50"/>
      <c r="J383" s="48"/>
      <c r="K383" s="48"/>
      <c r="L383" s="48"/>
      <c r="M383" s="48"/>
      <c r="N383" s="48"/>
      <c r="O383" s="48"/>
      <c r="P383" s="48"/>
      <c r="Q383" s="48"/>
      <c r="R383" s="48"/>
      <c r="S383" s="52"/>
      <c r="T383" s="48"/>
    </row>
    <row r="384" spans="1:20" ht="15.75" x14ac:dyDescent="0.25">
      <c r="A384" s="48">
        <v>371</v>
      </c>
      <c r="B384" s="48"/>
      <c r="C384" s="48"/>
      <c r="D384" s="49"/>
      <c r="E384" s="48"/>
      <c r="F384" s="48"/>
      <c r="G384" s="48"/>
      <c r="H384" s="48"/>
      <c r="I384" s="50"/>
      <c r="J384" s="48"/>
      <c r="K384" s="48"/>
      <c r="L384" s="48"/>
      <c r="M384" s="48"/>
      <c r="N384" s="48"/>
      <c r="O384" s="48"/>
      <c r="P384" s="48"/>
      <c r="Q384" s="48"/>
      <c r="R384" s="48"/>
      <c r="S384" s="52"/>
      <c r="T384" s="48"/>
    </row>
    <row r="385" spans="1:20" ht="15.75" x14ac:dyDescent="0.25">
      <c r="A385" s="48">
        <v>372</v>
      </c>
      <c r="B385" s="48"/>
      <c r="C385" s="48"/>
      <c r="D385" s="49"/>
      <c r="E385" s="48"/>
      <c r="F385" s="48"/>
      <c r="G385" s="48"/>
      <c r="H385" s="48"/>
      <c r="I385" s="50"/>
      <c r="J385" s="48"/>
      <c r="K385" s="48"/>
      <c r="L385" s="48"/>
      <c r="M385" s="48"/>
      <c r="N385" s="48"/>
      <c r="O385" s="48"/>
      <c r="P385" s="48"/>
      <c r="Q385" s="48"/>
      <c r="R385" s="48"/>
      <c r="S385" s="52"/>
      <c r="T385" s="48"/>
    </row>
    <row r="386" spans="1:20" ht="15.75" x14ac:dyDescent="0.25">
      <c r="A386" s="48">
        <v>373</v>
      </c>
      <c r="B386" s="48"/>
      <c r="C386" s="48"/>
      <c r="D386" s="49"/>
      <c r="E386" s="48"/>
      <c r="F386" s="48"/>
      <c r="G386" s="48"/>
      <c r="H386" s="48"/>
      <c r="I386" s="50"/>
      <c r="J386" s="48"/>
      <c r="K386" s="48"/>
      <c r="L386" s="48"/>
      <c r="M386" s="48"/>
      <c r="N386" s="48"/>
      <c r="O386" s="48"/>
      <c r="P386" s="48"/>
      <c r="Q386" s="48"/>
      <c r="R386" s="48"/>
      <c r="S386" s="52"/>
      <c r="T386" s="48"/>
    </row>
    <row r="387" spans="1:20" ht="15.75" x14ac:dyDescent="0.25">
      <c r="A387" s="48">
        <v>374</v>
      </c>
      <c r="B387" s="48"/>
      <c r="C387" s="48"/>
      <c r="D387" s="49"/>
      <c r="E387" s="48"/>
      <c r="F387" s="48"/>
      <c r="G387" s="48"/>
      <c r="H387" s="48"/>
      <c r="I387" s="50"/>
      <c r="J387" s="48"/>
      <c r="K387" s="48"/>
      <c r="L387" s="48"/>
      <c r="M387" s="48"/>
      <c r="N387" s="48"/>
      <c r="O387" s="48"/>
      <c r="P387" s="48"/>
      <c r="Q387" s="48"/>
      <c r="R387" s="48"/>
      <c r="S387" s="52"/>
      <c r="T387" s="48"/>
    </row>
    <row r="388" spans="1:20" ht="15.75" x14ac:dyDescent="0.25">
      <c r="A388" s="48">
        <v>375</v>
      </c>
      <c r="B388" s="48"/>
      <c r="C388" s="48"/>
      <c r="D388" s="49"/>
      <c r="E388" s="48"/>
      <c r="F388" s="48"/>
      <c r="G388" s="48"/>
      <c r="H388" s="48"/>
      <c r="I388" s="50"/>
      <c r="J388" s="48"/>
      <c r="K388" s="48"/>
      <c r="L388" s="48"/>
      <c r="M388" s="48"/>
      <c r="N388" s="48"/>
      <c r="O388" s="48"/>
      <c r="P388" s="48"/>
      <c r="Q388" s="48"/>
      <c r="R388" s="48"/>
      <c r="S388" s="52"/>
      <c r="T388" s="48"/>
    </row>
    <row r="389" spans="1:20" ht="15.75" x14ac:dyDescent="0.25">
      <c r="A389" s="48">
        <v>376</v>
      </c>
      <c r="B389" s="48"/>
      <c r="C389" s="48"/>
      <c r="D389" s="49"/>
      <c r="E389" s="48"/>
      <c r="F389" s="48"/>
      <c r="G389" s="48"/>
      <c r="H389" s="48"/>
      <c r="I389" s="50"/>
      <c r="J389" s="48"/>
      <c r="K389" s="48"/>
      <c r="L389" s="48"/>
      <c r="M389" s="48"/>
      <c r="N389" s="48"/>
      <c r="O389" s="48"/>
      <c r="P389" s="48"/>
      <c r="Q389" s="48"/>
      <c r="R389" s="48"/>
      <c r="S389" s="52"/>
      <c r="T389" s="48"/>
    </row>
    <row r="390" spans="1:20" ht="15.75" x14ac:dyDescent="0.25">
      <c r="A390" s="48">
        <v>377</v>
      </c>
      <c r="B390" s="48"/>
      <c r="C390" s="48"/>
      <c r="D390" s="49"/>
      <c r="E390" s="48"/>
      <c r="F390" s="48"/>
      <c r="G390" s="48"/>
      <c r="H390" s="48"/>
      <c r="I390" s="50"/>
      <c r="J390" s="48"/>
      <c r="K390" s="48"/>
      <c r="L390" s="48"/>
      <c r="M390" s="48"/>
      <c r="N390" s="48"/>
      <c r="O390" s="48"/>
      <c r="P390" s="48"/>
      <c r="Q390" s="48"/>
      <c r="R390" s="48"/>
      <c r="S390" s="52"/>
      <c r="T390" s="48"/>
    </row>
    <row r="391" spans="1:20" ht="15.75" x14ac:dyDescent="0.25">
      <c r="A391" s="48">
        <v>378</v>
      </c>
      <c r="B391" s="48"/>
      <c r="C391" s="48"/>
      <c r="D391" s="49"/>
      <c r="E391" s="48"/>
      <c r="F391" s="48"/>
      <c r="G391" s="48"/>
      <c r="H391" s="48"/>
      <c r="I391" s="50"/>
      <c r="J391" s="48"/>
      <c r="K391" s="48"/>
      <c r="L391" s="48"/>
      <c r="M391" s="48"/>
      <c r="N391" s="48"/>
      <c r="O391" s="48"/>
      <c r="P391" s="48"/>
      <c r="Q391" s="48"/>
      <c r="R391" s="48"/>
      <c r="S391" s="52"/>
      <c r="T391" s="48"/>
    </row>
    <row r="392" spans="1:20" ht="15.75" x14ac:dyDescent="0.25">
      <c r="A392" s="48">
        <v>379</v>
      </c>
      <c r="B392" s="48"/>
      <c r="C392" s="48"/>
      <c r="D392" s="49"/>
      <c r="E392" s="48"/>
      <c r="F392" s="48"/>
      <c r="G392" s="48"/>
      <c r="H392" s="48"/>
      <c r="I392" s="50"/>
      <c r="J392" s="48"/>
      <c r="K392" s="48"/>
      <c r="L392" s="48"/>
      <c r="M392" s="48"/>
      <c r="N392" s="48"/>
      <c r="O392" s="48"/>
      <c r="P392" s="48"/>
      <c r="Q392" s="48"/>
      <c r="R392" s="48"/>
      <c r="S392" s="52"/>
      <c r="T392" s="48"/>
    </row>
    <row r="393" spans="1:20" ht="15.75" x14ac:dyDescent="0.25">
      <c r="A393" s="48">
        <v>380</v>
      </c>
      <c r="B393" s="48"/>
      <c r="C393" s="48"/>
      <c r="D393" s="49"/>
      <c r="E393" s="48"/>
      <c r="F393" s="48"/>
      <c r="G393" s="48"/>
      <c r="H393" s="48"/>
      <c r="I393" s="50"/>
      <c r="J393" s="48"/>
      <c r="K393" s="48"/>
      <c r="L393" s="48"/>
      <c r="M393" s="48"/>
      <c r="N393" s="48"/>
      <c r="O393" s="48"/>
      <c r="P393" s="48"/>
      <c r="Q393" s="48"/>
      <c r="R393" s="48"/>
      <c r="S393" s="52"/>
      <c r="T393" s="48"/>
    </row>
    <row r="394" spans="1:20" ht="15.75" x14ac:dyDescent="0.25">
      <c r="A394" s="48">
        <v>381</v>
      </c>
      <c r="B394" s="48"/>
      <c r="C394" s="48"/>
      <c r="D394" s="49"/>
      <c r="E394" s="48"/>
      <c r="F394" s="48"/>
      <c r="G394" s="48"/>
      <c r="H394" s="48"/>
      <c r="I394" s="50"/>
      <c r="J394" s="48"/>
      <c r="K394" s="48"/>
      <c r="L394" s="48"/>
      <c r="M394" s="48"/>
      <c r="N394" s="48"/>
      <c r="O394" s="48"/>
      <c r="P394" s="48"/>
      <c r="Q394" s="48"/>
      <c r="R394" s="48"/>
      <c r="S394" s="52"/>
      <c r="T394" s="48"/>
    </row>
    <row r="395" spans="1:20" ht="15.75" x14ac:dyDescent="0.25">
      <c r="A395" s="48">
        <v>382</v>
      </c>
      <c r="B395" s="48"/>
      <c r="C395" s="48"/>
      <c r="D395" s="49"/>
      <c r="E395" s="48"/>
      <c r="F395" s="48"/>
      <c r="G395" s="48"/>
      <c r="H395" s="48"/>
      <c r="I395" s="50"/>
      <c r="J395" s="48"/>
      <c r="K395" s="48"/>
      <c r="L395" s="48"/>
      <c r="M395" s="48"/>
      <c r="N395" s="48"/>
      <c r="O395" s="48"/>
      <c r="P395" s="48"/>
      <c r="Q395" s="48"/>
      <c r="R395" s="48"/>
      <c r="S395" s="52"/>
      <c r="T395" s="48"/>
    </row>
    <row r="396" spans="1:20" ht="15.75" x14ac:dyDescent="0.25">
      <c r="A396" s="48">
        <v>383</v>
      </c>
      <c r="B396" s="48"/>
      <c r="C396" s="48"/>
      <c r="D396" s="49"/>
      <c r="E396" s="48"/>
      <c r="F396" s="48"/>
      <c r="G396" s="48"/>
      <c r="H396" s="48"/>
      <c r="I396" s="50"/>
      <c r="J396" s="48"/>
      <c r="K396" s="48"/>
      <c r="L396" s="48"/>
      <c r="M396" s="48"/>
      <c r="N396" s="48"/>
      <c r="O396" s="48"/>
      <c r="P396" s="48"/>
      <c r="Q396" s="48"/>
      <c r="R396" s="48"/>
      <c r="S396" s="52"/>
      <c r="T396" s="48"/>
    </row>
    <row r="397" spans="1:20" ht="15.75" x14ac:dyDescent="0.25">
      <c r="A397" s="48">
        <v>384</v>
      </c>
      <c r="B397" s="48"/>
      <c r="C397" s="48"/>
      <c r="D397" s="49"/>
      <c r="E397" s="48"/>
      <c r="F397" s="48"/>
      <c r="G397" s="48"/>
      <c r="H397" s="48"/>
      <c r="I397" s="50"/>
      <c r="J397" s="48"/>
      <c r="K397" s="48"/>
      <c r="L397" s="48"/>
      <c r="M397" s="48"/>
      <c r="N397" s="48"/>
      <c r="O397" s="48"/>
      <c r="P397" s="48"/>
      <c r="Q397" s="48"/>
      <c r="R397" s="48"/>
      <c r="S397" s="52"/>
      <c r="T397" s="48"/>
    </row>
    <row r="398" spans="1:20" ht="15.75" x14ac:dyDescent="0.25">
      <c r="A398" s="48">
        <v>385</v>
      </c>
      <c r="B398" s="48"/>
      <c r="C398" s="48"/>
      <c r="D398" s="49"/>
      <c r="E398" s="48"/>
      <c r="F398" s="48"/>
      <c r="G398" s="48"/>
      <c r="H398" s="48"/>
      <c r="I398" s="50"/>
      <c r="J398" s="48"/>
      <c r="K398" s="48"/>
      <c r="L398" s="48"/>
      <c r="M398" s="48"/>
      <c r="N398" s="48"/>
      <c r="O398" s="48"/>
      <c r="P398" s="48"/>
      <c r="Q398" s="48"/>
      <c r="R398" s="48"/>
      <c r="S398" s="52"/>
      <c r="T398" s="48"/>
    </row>
    <row r="399" spans="1:20" ht="15.75" x14ac:dyDescent="0.25">
      <c r="A399" s="48">
        <v>386</v>
      </c>
      <c r="B399" s="48"/>
      <c r="C399" s="48"/>
      <c r="D399" s="49"/>
      <c r="E399" s="48"/>
      <c r="F399" s="48"/>
      <c r="G399" s="48"/>
      <c r="H399" s="48"/>
      <c r="I399" s="50"/>
      <c r="J399" s="48"/>
      <c r="K399" s="48"/>
      <c r="L399" s="48"/>
      <c r="M399" s="48"/>
      <c r="N399" s="48"/>
      <c r="O399" s="48"/>
      <c r="P399" s="48"/>
      <c r="Q399" s="48"/>
      <c r="R399" s="48"/>
      <c r="S399" s="52"/>
      <c r="T399" s="48"/>
    </row>
    <row r="400" spans="1:20" ht="15.75" x14ac:dyDescent="0.25">
      <c r="A400" s="48">
        <v>387</v>
      </c>
      <c r="B400" s="48"/>
      <c r="C400" s="48"/>
      <c r="D400" s="49"/>
      <c r="E400" s="48"/>
      <c r="F400" s="48"/>
      <c r="G400" s="48"/>
      <c r="H400" s="48"/>
      <c r="I400" s="50"/>
      <c r="J400" s="48"/>
      <c r="K400" s="48"/>
      <c r="L400" s="48"/>
      <c r="M400" s="48"/>
      <c r="N400" s="48"/>
      <c r="O400" s="48"/>
      <c r="P400" s="48"/>
      <c r="Q400" s="48"/>
      <c r="R400" s="48"/>
      <c r="S400" s="52"/>
      <c r="T400" s="48"/>
    </row>
    <row r="401" spans="1:20" ht="15.75" x14ac:dyDescent="0.25">
      <c r="A401" s="48">
        <v>388</v>
      </c>
      <c r="B401" s="48"/>
      <c r="C401" s="48"/>
      <c r="D401" s="49"/>
      <c r="E401" s="48"/>
      <c r="F401" s="48"/>
      <c r="G401" s="48"/>
      <c r="H401" s="48"/>
      <c r="I401" s="50"/>
      <c r="J401" s="48"/>
      <c r="K401" s="48"/>
      <c r="L401" s="48"/>
      <c r="M401" s="48"/>
      <c r="N401" s="48"/>
      <c r="O401" s="48"/>
      <c r="P401" s="48"/>
      <c r="Q401" s="48"/>
      <c r="R401" s="48"/>
      <c r="S401" s="52"/>
      <c r="T401" s="48"/>
    </row>
    <row r="402" spans="1:20" ht="15.75" x14ac:dyDescent="0.25">
      <c r="A402" s="48">
        <v>389</v>
      </c>
      <c r="B402" s="48"/>
      <c r="C402" s="48"/>
      <c r="D402" s="49"/>
      <c r="E402" s="48"/>
      <c r="F402" s="48"/>
      <c r="G402" s="48"/>
      <c r="H402" s="48"/>
      <c r="I402" s="50"/>
      <c r="J402" s="48"/>
      <c r="K402" s="48"/>
      <c r="L402" s="48"/>
      <c r="M402" s="48"/>
      <c r="N402" s="48"/>
      <c r="O402" s="48"/>
      <c r="P402" s="48"/>
      <c r="Q402" s="48"/>
      <c r="R402" s="48"/>
      <c r="S402" s="52"/>
      <c r="T402" s="48"/>
    </row>
    <row r="403" spans="1:20" ht="15.75" x14ac:dyDescent="0.25">
      <c r="A403" s="48">
        <v>390</v>
      </c>
      <c r="B403" s="48"/>
      <c r="C403" s="48"/>
      <c r="D403" s="49"/>
      <c r="E403" s="48"/>
      <c r="F403" s="48"/>
      <c r="G403" s="48"/>
      <c r="H403" s="48"/>
      <c r="I403" s="50"/>
      <c r="J403" s="48"/>
      <c r="K403" s="48"/>
      <c r="L403" s="48"/>
      <c r="M403" s="48"/>
      <c r="N403" s="48"/>
      <c r="O403" s="48"/>
      <c r="P403" s="48"/>
      <c r="Q403" s="48"/>
      <c r="R403" s="48"/>
      <c r="S403" s="52"/>
      <c r="T403" s="48"/>
    </row>
    <row r="404" spans="1:20" ht="15.75" x14ac:dyDescent="0.25">
      <c r="A404" s="48">
        <v>391</v>
      </c>
      <c r="B404" s="48"/>
      <c r="C404" s="48"/>
      <c r="D404" s="49"/>
      <c r="E404" s="48"/>
      <c r="F404" s="48"/>
      <c r="G404" s="48"/>
      <c r="H404" s="48"/>
      <c r="I404" s="50"/>
      <c r="J404" s="48"/>
      <c r="K404" s="48"/>
      <c r="L404" s="48"/>
      <c r="M404" s="48"/>
      <c r="N404" s="48"/>
      <c r="O404" s="48"/>
      <c r="P404" s="48"/>
      <c r="Q404" s="48"/>
      <c r="R404" s="48"/>
      <c r="S404" s="52"/>
      <c r="T404" s="48"/>
    </row>
    <row r="405" spans="1:20" ht="15.75" x14ac:dyDescent="0.25">
      <c r="A405" s="48">
        <v>392</v>
      </c>
      <c r="B405" s="48"/>
      <c r="C405" s="48"/>
      <c r="D405" s="49"/>
      <c r="E405" s="48"/>
      <c r="F405" s="48"/>
      <c r="G405" s="48"/>
      <c r="H405" s="48"/>
      <c r="I405" s="50"/>
      <c r="J405" s="48"/>
      <c r="K405" s="48"/>
      <c r="L405" s="48"/>
      <c r="M405" s="48"/>
      <c r="N405" s="48"/>
      <c r="O405" s="48"/>
      <c r="P405" s="48"/>
      <c r="Q405" s="48"/>
      <c r="R405" s="48"/>
      <c r="S405" s="52"/>
      <c r="T405" s="48"/>
    </row>
    <row r="406" spans="1:20" ht="15.75" x14ac:dyDescent="0.25">
      <c r="A406" s="48">
        <v>393</v>
      </c>
      <c r="B406" s="48"/>
      <c r="C406" s="48"/>
      <c r="D406" s="49"/>
      <c r="E406" s="48"/>
      <c r="F406" s="48"/>
      <c r="G406" s="48"/>
      <c r="H406" s="48"/>
      <c r="I406" s="50"/>
      <c r="J406" s="48"/>
      <c r="K406" s="48"/>
      <c r="L406" s="48"/>
      <c r="M406" s="48"/>
      <c r="N406" s="48"/>
      <c r="O406" s="48"/>
      <c r="P406" s="48"/>
      <c r="Q406" s="48"/>
      <c r="R406" s="48"/>
      <c r="S406" s="52"/>
      <c r="T406" s="48"/>
    </row>
    <row r="407" spans="1:20" ht="15.75" x14ac:dyDescent="0.25">
      <c r="A407" s="48">
        <v>394</v>
      </c>
      <c r="B407" s="10"/>
      <c r="C407" s="48"/>
      <c r="D407" s="49"/>
      <c r="E407" s="48"/>
      <c r="F407" s="48"/>
      <c r="G407" s="48"/>
      <c r="H407" s="48"/>
      <c r="I407" s="50"/>
      <c r="J407" s="48"/>
      <c r="K407" s="48"/>
      <c r="L407" s="48"/>
      <c r="M407" s="48"/>
      <c r="N407" s="48"/>
      <c r="O407" s="48"/>
      <c r="P407" s="48"/>
      <c r="Q407" s="48"/>
      <c r="R407" s="48"/>
      <c r="S407" s="52"/>
      <c r="T407" s="48"/>
    </row>
    <row r="408" spans="1:20" ht="15.75" x14ac:dyDescent="0.25">
      <c r="A408" s="48">
        <v>395</v>
      </c>
      <c r="B408" s="10"/>
      <c r="C408" s="48"/>
      <c r="D408" s="49"/>
      <c r="E408" s="48"/>
      <c r="F408" s="48"/>
      <c r="G408" s="48"/>
      <c r="H408" s="48"/>
      <c r="I408" s="50"/>
      <c r="J408" s="48"/>
      <c r="K408" s="48"/>
      <c r="L408" s="48"/>
      <c r="M408" s="48"/>
      <c r="N408" s="48"/>
      <c r="O408" s="48"/>
      <c r="P408" s="48"/>
      <c r="Q408" s="48"/>
      <c r="R408" s="48"/>
      <c r="S408" s="52"/>
      <c r="T408" s="48"/>
    </row>
    <row r="409" spans="1:20" ht="15.75" x14ac:dyDescent="0.25">
      <c r="A409" s="48">
        <v>396</v>
      </c>
      <c r="B409" s="10"/>
      <c r="C409" s="48"/>
      <c r="D409" s="49"/>
      <c r="E409" s="48"/>
      <c r="F409" s="48"/>
      <c r="G409" s="48"/>
      <c r="H409" s="48"/>
      <c r="I409" s="50"/>
      <c r="J409" s="48"/>
      <c r="K409" s="48"/>
      <c r="L409" s="48"/>
      <c r="M409" s="48"/>
      <c r="N409" s="48"/>
      <c r="O409" s="48"/>
      <c r="P409" s="48"/>
      <c r="Q409" s="48"/>
      <c r="R409" s="48"/>
      <c r="S409" s="52"/>
      <c r="T409" s="48"/>
    </row>
    <row r="410" spans="1:20" ht="15.75" x14ac:dyDescent="0.25">
      <c r="A410" s="48">
        <v>397</v>
      </c>
      <c r="B410" s="10"/>
      <c r="C410" s="48"/>
      <c r="D410" s="49"/>
      <c r="E410" s="48"/>
      <c r="F410" s="48"/>
      <c r="G410" s="48"/>
      <c r="H410" s="48"/>
      <c r="I410" s="50"/>
      <c r="J410" s="48"/>
      <c r="K410" s="48"/>
      <c r="L410" s="48"/>
      <c r="M410" s="48"/>
      <c r="N410" s="48"/>
      <c r="O410" s="48"/>
      <c r="P410" s="48"/>
      <c r="Q410" s="48"/>
      <c r="R410" s="48"/>
      <c r="S410" s="52"/>
      <c r="T410" s="48"/>
    </row>
    <row r="411" spans="1:20" ht="15.75" x14ac:dyDescent="0.25">
      <c r="A411" s="48">
        <v>398</v>
      </c>
      <c r="B411" s="10"/>
      <c r="C411" s="48"/>
      <c r="D411" s="49"/>
      <c r="E411" s="48"/>
      <c r="F411" s="48"/>
      <c r="G411" s="48"/>
      <c r="H411" s="48"/>
      <c r="I411" s="50"/>
      <c r="J411" s="48"/>
      <c r="K411" s="48"/>
      <c r="L411" s="48"/>
      <c r="M411" s="48"/>
      <c r="N411" s="48"/>
      <c r="O411" s="48"/>
      <c r="P411" s="48"/>
      <c r="Q411" s="48"/>
      <c r="R411" s="48"/>
      <c r="S411" s="52"/>
      <c r="T411" s="48"/>
    </row>
    <row r="412" spans="1:20" ht="15.75" x14ac:dyDescent="0.25">
      <c r="A412" s="48">
        <v>399</v>
      </c>
      <c r="B412" s="10"/>
      <c r="C412" s="48"/>
      <c r="D412" s="49"/>
      <c r="E412" s="48"/>
      <c r="F412" s="48"/>
      <c r="G412" s="48"/>
      <c r="H412" s="48"/>
      <c r="I412" s="50"/>
      <c r="J412" s="48"/>
      <c r="K412" s="48"/>
      <c r="L412" s="48"/>
      <c r="M412" s="48"/>
      <c r="N412" s="48"/>
      <c r="O412" s="48"/>
      <c r="P412" s="48"/>
      <c r="Q412" s="48"/>
      <c r="R412" s="48"/>
      <c r="S412" s="52"/>
      <c r="T412" s="48"/>
    </row>
    <row r="413" spans="1:20" ht="15.75" x14ac:dyDescent="0.25">
      <c r="A413" s="48">
        <v>400</v>
      </c>
      <c r="B413" s="10"/>
      <c r="C413" s="48"/>
      <c r="D413" s="49"/>
      <c r="E413" s="48"/>
      <c r="F413" s="48"/>
      <c r="G413" s="48"/>
      <c r="H413" s="48"/>
      <c r="I413" s="50"/>
      <c r="J413" s="48"/>
      <c r="K413" s="48"/>
      <c r="L413" s="48"/>
      <c r="M413" s="48"/>
      <c r="N413" s="48"/>
      <c r="O413" s="48"/>
      <c r="P413" s="48"/>
      <c r="Q413" s="48"/>
      <c r="R413" s="48"/>
      <c r="S413" s="52"/>
      <c r="T413" s="48"/>
    </row>
    <row r="414" spans="1:20" ht="15.75" x14ac:dyDescent="0.25">
      <c r="A414" s="48">
        <v>401</v>
      </c>
      <c r="B414" s="10"/>
      <c r="C414" s="48"/>
      <c r="D414" s="49"/>
      <c r="E414" s="48"/>
      <c r="F414" s="48"/>
      <c r="G414" s="48"/>
      <c r="H414" s="48"/>
      <c r="I414" s="50"/>
      <c r="J414" s="48"/>
      <c r="K414" s="48"/>
      <c r="L414" s="48"/>
      <c r="M414" s="48"/>
      <c r="N414" s="48"/>
      <c r="O414" s="48"/>
      <c r="P414" s="48"/>
      <c r="Q414" s="48"/>
      <c r="R414" s="48"/>
      <c r="S414" s="52"/>
      <c r="T414" s="48"/>
    </row>
    <row r="415" spans="1:20" ht="15.75" x14ac:dyDescent="0.25">
      <c r="A415" s="48">
        <v>402</v>
      </c>
      <c r="B415" s="10"/>
      <c r="C415" s="48"/>
      <c r="D415" s="49"/>
      <c r="E415" s="48"/>
      <c r="F415" s="48"/>
      <c r="G415" s="48"/>
      <c r="H415" s="48"/>
      <c r="I415" s="50"/>
      <c r="J415" s="48"/>
      <c r="K415" s="48"/>
      <c r="L415" s="48"/>
      <c r="M415" s="48"/>
      <c r="N415" s="48"/>
      <c r="O415" s="48"/>
      <c r="P415" s="48"/>
      <c r="Q415" s="48"/>
      <c r="R415" s="48"/>
      <c r="S415" s="52"/>
      <c r="T415" s="48"/>
    </row>
    <row r="416" spans="1:20" ht="15.75" x14ac:dyDescent="0.25">
      <c r="A416" s="48">
        <v>403</v>
      </c>
      <c r="B416" s="10"/>
      <c r="C416" s="48"/>
      <c r="D416" s="49"/>
      <c r="E416" s="48"/>
      <c r="F416" s="48"/>
      <c r="G416" s="48"/>
      <c r="H416" s="48"/>
      <c r="I416" s="50"/>
      <c r="J416" s="48"/>
      <c r="K416" s="48"/>
      <c r="L416" s="48"/>
      <c r="M416" s="48"/>
      <c r="N416" s="48"/>
      <c r="O416" s="48"/>
      <c r="P416" s="48"/>
      <c r="Q416" s="48"/>
      <c r="R416" s="48"/>
      <c r="S416" s="52"/>
      <c r="T416" s="48"/>
    </row>
    <row r="417" spans="1:20" ht="15.75" x14ac:dyDescent="0.25">
      <c r="A417" s="48">
        <v>404</v>
      </c>
      <c r="B417" s="10"/>
      <c r="C417" s="48"/>
      <c r="D417" s="49"/>
      <c r="E417" s="48"/>
      <c r="F417" s="48"/>
      <c r="G417" s="48"/>
      <c r="H417" s="48"/>
      <c r="I417" s="50"/>
      <c r="J417" s="48"/>
      <c r="K417" s="48"/>
      <c r="L417" s="48"/>
      <c r="M417" s="48"/>
      <c r="N417" s="48"/>
      <c r="O417" s="48"/>
      <c r="P417" s="48"/>
      <c r="Q417" s="48"/>
      <c r="R417" s="48"/>
      <c r="S417" s="52"/>
      <c r="T417" s="48"/>
    </row>
    <row r="418" spans="1:20" ht="15.75" x14ac:dyDescent="0.25">
      <c r="A418" s="48">
        <v>405</v>
      </c>
      <c r="B418" s="10"/>
      <c r="C418" s="48"/>
      <c r="D418" s="49"/>
      <c r="E418" s="48"/>
      <c r="F418" s="48"/>
      <c r="G418" s="48"/>
      <c r="H418" s="48"/>
      <c r="I418" s="50"/>
      <c r="J418" s="48"/>
      <c r="K418" s="48"/>
      <c r="L418" s="48"/>
      <c r="M418" s="48"/>
      <c r="N418" s="48"/>
      <c r="O418" s="48"/>
      <c r="P418" s="48"/>
      <c r="Q418" s="48"/>
      <c r="R418" s="48"/>
      <c r="S418" s="52"/>
      <c r="T418" s="48"/>
    </row>
    <row r="419" spans="1:20" ht="15.75" x14ac:dyDescent="0.25">
      <c r="A419" s="48">
        <v>406</v>
      </c>
      <c r="B419" s="10"/>
      <c r="C419" s="48"/>
      <c r="D419" s="49"/>
      <c r="E419" s="48"/>
      <c r="F419" s="48"/>
      <c r="G419" s="48"/>
      <c r="H419" s="48"/>
      <c r="I419" s="50"/>
      <c r="J419" s="48"/>
      <c r="K419" s="48"/>
      <c r="L419" s="48"/>
      <c r="M419" s="48"/>
      <c r="N419" s="48"/>
      <c r="O419" s="48"/>
      <c r="P419" s="48"/>
      <c r="Q419" s="48"/>
      <c r="R419" s="48"/>
      <c r="S419" s="52"/>
      <c r="T419" s="48"/>
    </row>
    <row r="420" spans="1:20" ht="15.75" x14ac:dyDescent="0.25">
      <c r="A420" s="48">
        <v>407</v>
      </c>
      <c r="B420" s="10"/>
      <c r="C420" s="48"/>
      <c r="D420" s="49"/>
      <c r="E420" s="48"/>
      <c r="F420" s="48"/>
      <c r="G420" s="48"/>
      <c r="H420" s="48"/>
      <c r="I420" s="50"/>
      <c r="J420" s="48"/>
      <c r="K420" s="48"/>
      <c r="L420" s="48"/>
      <c r="M420" s="48"/>
      <c r="N420" s="48"/>
      <c r="O420" s="48"/>
      <c r="P420" s="48"/>
      <c r="Q420" s="48"/>
      <c r="R420" s="48"/>
      <c r="S420" s="52"/>
      <c r="T420" s="48"/>
    </row>
    <row r="421" spans="1:20" ht="15.75" x14ac:dyDescent="0.25">
      <c r="A421" s="48">
        <v>408</v>
      </c>
      <c r="B421" s="10"/>
      <c r="C421" s="48"/>
      <c r="D421" s="49"/>
      <c r="E421" s="48"/>
      <c r="F421" s="48"/>
      <c r="G421" s="48"/>
      <c r="H421" s="48"/>
      <c r="I421" s="50"/>
      <c r="J421" s="48"/>
      <c r="K421" s="48"/>
      <c r="L421" s="48"/>
      <c r="M421" s="48"/>
      <c r="N421" s="48"/>
      <c r="O421" s="48"/>
      <c r="P421" s="48"/>
      <c r="Q421" s="48"/>
      <c r="R421" s="48"/>
      <c r="S421" s="52"/>
      <c r="T421" s="48"/>
    </row>
    <row r="422" spans="1:20" ht="15.75" x14ac:dyDescent="0.25">
      <c r="A422" s="48">
        <v>409</v>
      </c>
      <c r="B422" s="10"/>
      <c r="C422" s="48"/>
      <c r="D422" s="49"/>
      <c r="E422" s="48"/>
      <c r="F422" s="48"/>
      <c r="G422" s="48"/>
      <c r="H422" s="48"/>
      <c r="I422" s="50"/>
      <c r="J422" s="48"/>
      <c r="K422" s="48"/>
      <c r="L422" s="48"/>
      <c r="M422" s="48"/>
      <c r="N422" s="48"/>
      <c r="O422" s="48"/>
      <c r="P422" s="48"/>
      <c r="Q422" s="48"/>
      <c r="R422" s="48"/>
      <c r="S422" s="52"/>
      <c r="T422" s="48"/>
    </row>
    <row r="423" spans="1:20" ht="15.75" x14ac:dyDescent="0.25">
      <c r="A423" s="48">
        <v>410</v>
      </c>
      <c r="B423" s="10"/>
      <c r="C423" s="48"/>
      <c r="D423" s="49"/>
      <c r="E423" s="48"/>
      <c r="F423" s="48"/>
      <c r="G423" s="48"/>
      <c r="H423" s="48"/>
      <c r="I423" s="50"/>
      <c r="J423" s="48"/>
      <c r="K423" s="48"/>
      <c r="L423" s="48"/>
      <c r="M423" s="48"/>
      <c r="N423" s="48"/>
      <c r="O423" s="48"/>
      <c r="P423" s="48"/>
      <c r="Q423" s="48"/>
      <c r="R423" s="48"/>
      <c r="S423" s="52"/>
      <c r="T423" s="48"/>
    </row>
    <row r="424" spans="1:20" ht="15.75" x14ac:dyDescent="0.25">
      <c r="A424" s="10"/>
      <c r="B424" s="10"/>
      <c r="C424" s="48"/>
      <c r="D424" s="49"/>
      <c r="E424" s="48"/>
      <c r="F424" s="48"/>
      <c r="G424" s="48"/>
      <c r="H424" s="48"/>
      <c r="I424" s="50"/>
      <c r="J424" s="48"/>
      <c r="K424" s="48"/>
      <c r="L424" s="48"/>
      <c r="M424" s="48"/>
      <c r="N424" s="48"/>
      <c r="O424" s="48"/>
      <c r="P424" s="48"/>
      <c r="Q424" s="48"/>
      <c r="R424" s="48"/>
      <c r="S424" s="52"/>
      <c r="T424" s="48"/>
    </row>
    <row r="425" spans="1:20" ht="15.75" x14ac:dyDescent="0.25">
      <c r="A425" s="10"/>
      <c r="B425" s="10"/>
      <c r="C425" s="48"/>
      <c r="D425" s="49"/>
      <c r="E425" s="48"/>
      <c r="F425" s="48"/>
      <c r="G425" s="48"/>
      <c r="H425" s="48"/>
      <c r="I425" s="50"/>
      <c r="J425" s="48"/>
      <c r="K425" s="48"/>
      <c r="L425" s="48"/>
      <c r="M425" s="48"/>
      <c r="N425" s="48"/>
      <c r="O425" s="48"/>
      <c r="P425" s="48"/>
      <c r="Q425" s="48"/>
      <c r="R425" s="48"/>
      <c r="S425" s="52"/>
      <c r="T425" s="48"/>
    </row>
    <row r="426" spans="1:20" ht="15.75" x14ac:dyDescent="0.25">
      <c r="A426" s="10"/>
      <c r="B426" s="10"/>
      <c r="C426" s="48"/>
      <c r="D426" s="49"/>
      <c r="E426" s="48"/>
      <c r="F426" s="48"/>
      <c r="G426" s="48"/>
      <c r="H426" s="48"/>
      <c r="I426" s="50"/>
      <c r="J426" s="48"/>
      <c r="K426" s="48"/>
      <c r="L426" s="48"/>
      <c r="M426" s="48"/>
      <c r="N426" s="48"/>
      <c r="O426" s="48"/>
      <c r="P426" s="48"/>
      <c r="Q426" s="48"/>
      <c r="R426" s="48"/>
      <c r="S426" s="52"/>
      <c r="T426" s="48"/>
    </row>
    <row r="427" spans="1:20" ht="15.75" x14ac:dyDescent="0.25">
      <c r="A427" s="10"/>
      <c r="B427" s="10"/>
      <c r="C427" s="48"/>
      <c r="D427" s="49"/>
      <c r="E427" s="48"/>
      <c r="F427" s="48"/>
      <c r="G427" s="48"/>
      <c r="H427" s="48"/>
      <c r="I427" s="50"/>
      <c r="J427" s="48"/>
      <c r="K427" s="48"/>
      <c r="L427" s="48"/>
      <c r="M427" s="48"/>
      <c r="N427" s="48"/>
      <c r="O427" s="48"/>
      <c r="P427" s="48"/>
      <c r="Q427" s="48"/>
      <c r="R427" s="48"/>
      <c r="S427" s="52"/>
      <c r="T427" s="48"/>
    </row>
    <row r="428" spans="1:20" ht="15.75" x14ac:dyDescent="0.25">
      <c r="A428" s="10"/>
      <c r="B428" s="10"/>
      <c r="C428" s="48"/>
      <c r="D428" s="49"/>
      <c r="E428" s="48"/>
      <c r="F428" s="48"/>
      <c r="G428" s="48"/>
      <c r="H428" s="48"/>
      <c r="I428" s="50"/>
      <c r="J428" s="48"/>
      <c r="K428" s="48"/>
      <c r="L428" s="48"/>
      <c r="M428" s="48"/>
      <c r="N428" s="48"/>
      <c r="O428" s="48"/>
      <c r="P428" s="48"/>
      <c r="Q428" s="48"/>
      <c r="R428" s="48"/>
      <c r="S428" s="52"/>
      <c r="T428" s="48"/>
    </row>
    <row r="429" spans="1:20" ht="15.75" x14ac:dyDescent="0.25">
      <c r="A429" s="10"/>
      <c r="B429" s="10"/>
      <c r="C429" s="48"/>
      <c r="D429" s="49"/>
      <c r="E429" s="48"/>
      <c r="F429" s="48"/>
      <c r="G429" s="48"/>
      <c r="H429" s="48"/>
      <c r="I429" s="50"/>
      <c r="J429" s="48"/>
      <c r="K429" s="48"/>
      <c r="L429" s="48"/>
      <c r="M429" s="48"/>
      <c r="N429" s="48"/>
      <c r="O429" s="48"/>
      <c r="P429" s="48"/>
      <c r="Q429" s="48"/>
      <c r="R429" s="48"/>
      <c r="S429" s="52"/>
      <c r="T429" s="48"/>
    </row>
    <row r="430" spans="1:20" ht="15.75" x14ac:dyDescent="0.25">
      <c r="A430" s="10"/>
      <c r="B430" s="10"/>
      <c r="C430" s="48"/>
      <c r="D430" s="49"/>
      <c r="E430" s="48"/>
      <c r="F430" s="48"/>
      <c r="G430" s="48"/>
      <c r="H430" s="48"/>
      <c r="I430" s="50"/>
      <c r="J430" s="48"/>
      <c r="K430" s="48"/>
      <c r="L430" s="48"/>
      <c r="M430" s="48"/>
      <c r="N430" s="48"/>
      <c r="O430" s="48"/>
      <c r="P430" s="48"/>
      <c r="Q430" s="48"/>
      <c r="R430" s="48"/>
      <c r="S430" s="52"/>
      <c r="T430" s="48"/>
    </row>
    <row r="431" spans="1:20" ht="15.75" x14ac:dyDescent="0.25">
      <c r="A431" s="10"/>
      <c r="B431" s="10"/>
      <c r="C431" s="48"/>
      <c r="D431" s="49"/>
      <c r="E431" s="48"/>
      <c r="F431" s="48"/>
      <c r="G431" s="48"/>
      <c r="H431" s="48"/>
      <c r="I431" s="50"/>
      <c r="J431" s="48"/>
      <c r="K431" s="48"/>
      <c r="L431" s="48"/>
      <c r="M431" s="48"/>
      <c r="N431" s="48"/>
      <c r="O431" s="48"/>
      <c r="P431" s="48"/>
      <c r="Q431" s="48"/>
      <c r="R431" s="48"/>
      <c r="S431" s="52"/>
      <c r="T431" s="48"/>
    </row>
    <row r="432" spans="1:20" ht="15.75" x14ac:dyDescent="0.25">
      <c r="A432" s="10"/>
      <c r="B432" s="10"/>
      <c r="C432" s="48"/>
      <c r="D432" s="49"/>
      <c r="E432" s="48"/>
      <c r="F432" s="48"/>
      <c r="G432" s="48"/>
      <c r="H432" s="48"/>
      <c r="I432" s="50"/>
      <c r="J432" s="48"/>
      <c r="K432" s="48"/>
      <c r="L432" s="48"/>
      <c r="M432" s="48"/>
      <c r="N432" s="48"/>
      <c r="O432" s="48"/>
      <c r="P432" s="48"/>
      <c r="Q432" s="48"/>
      <c r="R432" s="48"/>
      <c r="S432" s="52"/>
      <c r="T432" s="48"/>
    </row>
    <row r="433" spans="1:20" ht="15.75" x14ac:dyDescent="0.25">
      <c r="A433" s="10"/>
      <c r="B433" s="10"/>
      <c r="C433" s="48"/>
      <c r="D433" s="49"/>
      <c r="E433" s="48"/>
      <c r="F433" s="48"/>
      <c r="G433" s="48"/>
      <c r="H433" s="48"/>
      <c r="I433" s="50"/>
      <c r="J433" s="48"/>
      <c r="K433" s="48"/>
      <c r="L433" s="48"/>
      <c r="M433" s="48"/>
      <c r="N433" s="48"/>
      <c r="O433" s="48"/>
      <c r="P433" s="48"/>
      <c r="Q433" s="48"/>
      <c r="R433" s="48"/>
      <c r="S433" s="52"/>
      <c r="T433" s="48"/>
    </row>
    <row r="434" spans="1:20" ht="15.75" x14ac:dyDescent="0.25">
      <c r="A434" s="10"/>
      <c r="B434" s="10"/>
      <c r="C434" s="48"/>
      <c r="D434" s="49"/>
      <c r="E434" s="48"/>
      <c r="F434" s="48"/>
      <c r="G434" s="48"/>
      <c r="H434" s="48"/>
      <c r="I434" s="50"/>
      <c r="J434" s="48"/>
      <c r="K434" s="48"/>
      <c r="L434" s="48"/>
      <c r="M434" s="48"/>
      <c r="N434" s="48"/>
      <c r="O434" s="48"/>
      <c r="P434" s="48"/>
      <c r="Q434" s="48"/>
      <c r="R434" s="48"/>
      <c r="S434" s="52"/>
      <c r="T434" s="48"/>
    </row>
    <row r="435" spans="1:20" ht="15.75" x14ac:dyDescent="0.25">
      <c r="A435" s="10"/>
      <c r="B435" s="10"/>
      <c r="C435" s="48"/>
      <c r="D435" s="49"/>
      <c r="E435" s="48"/>
      <c r="F435" s="48"/>
      <c r="G435" s="48"/>
      <c r="H435" s="48"/>
      <c r="I435" s="50"/>
      <c r="J435" s="48"/>
      <c r="K435" s="48"/>
      <c r="L435" s="48"/>
      <c r="M435" s="48"/>
      <c r="N435" s="48"/>
      <c r="O435" s="48"/>
      <c r="P435" s="48"/>
      <c r="Q435" s="48"/>
      <c r="R435" s="48"/>
      <c r="S435" s="52"/>
      <c r="T435" s="48"/>
    </row>
    <row r="436" spans="1:20" ht="15.75" x14ac:dyDescent="0.25">
      <c r="A436" s="10"/>
      <c r="B436" s="10"/>
      <c r="C436" s="48"/>
      <c r="D436" s="49"/>
      <c r="E436" s="48"/>
      <c r="F436" s="48"/>
      <c r="G436" s="48"/>
      <c r="H436" s="48"/>
      <c r="I436" s="50"/>
      <c r="J436" s="48"/>
      <c r="K436" s="48"/>
      <c r="L436" s="48"/>
      <c r="M436" s="48"/>
      <c r="N436" s="48"/>
      <c r="O436" s="48"/>
      <c r="P436" s="48"/>
      <c r="Q436" s="48"/>
      <c r="R436" s="48"/>
      <c r="S436" s="52"/>
      <c r="T436" s="48"/>
    </row>
    <row r="437" spans="1:20" ht="15.75" x14ac:dyDescent="0.25">
      <c r="A437" s="10"/>
      <c r="B437" s="10"/>
      <c r="C437" s="48"/>
      <c r="D437" s="49"/>
      <c r="E437" s="48"/>
      <c r="F437" s="48"/>
      <c r="G437" s="48"/>
      <c r="H437" s="48"/>
      <c r="I437" s="50"/>
      <c r="J437" s="48"/>
      <c r="K437" s="48"/>
      <c r="L437" s="48"/>
      <c r="M437" s="48"/>
      <c r="N437" s="48"/>
      <c r="O437" s="48"/>
      <c r="P437" s="48"/>
      <c r="Q437" s="48"/>
      <c r="R437" s="48"/>
      <c r="S437" s="52"/>
      <c r="T437" s="48"/>
    </row>
    <row r="438" spans="1:20" ht="15.75" x14ac:dyDescent="0.25">
      <c r="A438" s="10"/>
      <c r="B438" s="10"/>
      <c r="C438" s="48"/>
      <c r="D438" s="49"/>
      <c r="E438" s="48"/>
      <c r="F438" s="48"/>
      <c r="G438" s="48"/>
      <c r="H438" s="48"/>
      <c r="I438" s="50"/>
      <c r="J438" s="48"/>
      <c r="K438" s="48"/>
      <c r="L438" s="48"/>
      <c r="M438" s="48"/>
      <c r="N438" s="48"/>
      <c r="O438" s="48"/>
      <c r="P438" s="48"/>
      <c r="Q438" s="48"/>
      <c r="R438" s="48"/>
      <c r="S438" s="52"/>
      <c r="T438" s="48"/>
    </row>
    <row r="439" spans="1:20" ht="15.75" x14ac:dyDescent="0.25">
      <c r="A439" s="10"/>
      <c r="B439" s="10"/>
      <c r="C439" s="48"/>
      <c r="D439" s="49"/>
      <c r="E439" s="48"/>
      <c r="F439" s="48"/>
      <c r="G439" s="48"/>
      <c r="H439" s="48"/>
      <c r="I439" s="50"/>
      <c r="J439" s="48"/>
      <c r="K439" s="48"/>
      <c r="L439" s="48"/>
      <c r="M439" s="48"/>
      <c r="N439" s="48"/>
      <c r="O439" s="48"/>
      <c r="P439" s="48"/>
      <c r="Q439" s="48"/>
      <c r="R439" s="48"/>
      <c r="S439" s="52"/>
      <c r="T439" s="48"/>
    </row>
    <row r="440" spans="1:20" ht="15.75" x14ac:dyDescent="0.25">
      <c r="A440" s="10"/>
      <c r="B440" s="10"/>
      <c r="C440" s="48"/>
      <c r="D440" s="49"/>
      <c r="E440" s="48"/>
      <c r="F440" s="48"/>
      <c r="G440" s="48"/>
      <c r="H440" s="48"/>
      <c r="I440" s="50"/>
      <c r="J440" s="48"/>
      <c r="K440" s="48"/>
      <c r="L440" s="48"/>
      <c r="M440" s="48"/>
      <c r="N440" s="48"/>
      <c r="O440" s="48"/>
      <c r="P440" s="48"/>
      <c r="Q440" s="48"/>
      <c r="R440" s="48"/>
      <c r="S440" s="52"/>
      <c r="T440" s="48"/>
    </row>
    <row r="441" spans="1:20" ht="15.75" x14ac:dyDescent="0.25">
      <c r="A441" s="10"/>
      <c r="B441" s="10"/>
      <c r="C441" s="48"/>
      <c r="D441" s="49"/>
      <c r="E441" s="48"/>
      <c r="F441" s="48"/>
      <c r="G441" s="48"/>
      <c r="H441" s="48"/>
      <c r="I441" s="50"/>
      <c r="J441" s="48"/>
      <c r="K441" s="48"/>
      <c r="L441" s="48"/>
      <c r="M441" s="48"/>
      <c r="N441" s="48"/>
      <c r="O441" s="48"/>
      <c r="P441" s="48"/>
      <c r="Q441" s="48"/>
      <c r="R441" s="48"/>
      <c r="S441" s="52"/>
      <c r="T441" s="48"/>
    </row>
    <row r="442" spans="1:20" ht="15.75" x14ac:dyDescent="0.25">
      <c r="A442" s="10"/>
      <c r="B442" s="10"/>
      <c r="C442" s="48"/>
      <c r="D442" s="49"/>
      <c r="E442" s="48"/>
      <c r="F442" s="48"/>
      <c r="G442" s="48"/>
      <c r="H442" s="48"/>
      <c r="I442" s="50"/>
      <c r="J442" s="48"/>
      <c r="K442" s="48"/>
      <c r="L442" s="48"/>
      <c r="M442" s="48"/>
      <c r="N442" s="48"/>
      <c r="O442" s="48"/>
      <c r="P442" s="48"/>
      <c r="Q442" s="48"/>
      <c r="R442" s="48"/>
      <c r="S442" s="52"/>
      <c r="T442" s="48"/>
    </row>
    <row r="443" spans="1:20" ht="15.75" x14ac:dyDescent="0.25">
      <c r="A443" s="10"/>
      <c r="B443" s="10"/>
      <c r="C443" s="48"/>
      <c r="D443" s="49"/>
      <c r="E443" s="48"/>
      <c r="F443" s="48"/>
      <c r="G443" s="48"/>
      <c r="H443" s="48"/>
      <c r="I443" s="50"/>
      <c r="J443" s="48"/>
      <c r="K443" s="48"/>
      <c r="L443" s="48"/>
      <c r="M443" s="48"/>
      <c r="N443" s="48"/>
      <c r="O443" s="48"/>
      <c r="P443" s="48"/>
      <c r="Q443" s="48"/>
      <c r="R443" s="48"/>
      <c r="S443" s="52"/>
      <c r="T443" s="48"/>
    </row>
    <row r="444" spans="1:20" ht="15.75" x14ac:dyDescent="0.25">
      <c r="A444" s="10"/>
      <c r="B444" s="10"/>
      <c r="C444" s="48"/>
      <c r="D444" s="49"/>
      <c r="E444" s="48"/>
      <c r="F444" s="48"/>
      <c r="G444" s="48"/>
      <c r="H444" s="48"/>
      <c r="I444" s="50"/>
      <c r="J444" s="48"/>
      <c r="K444" s="48"/>
      <c r="L444" s="48"/>
      <c r="M444" s="48"/>
      <c r="N444" s="48"/>
      <c r="O444" s="48"/>
      <c r="P444" s="48"/>
      <c r="Q444" s="48"/>
      <c r="R444" s="48"/>
      <c r="S444" s="52"/>
      <c r="T444" s="48"/>
    </row>
    <row r="445" spans="1:20" ht="15.75" x14ac:dyDescent="0.25">
      <c r="A445" s="10"/>
      <c r="B445" s="10"/>
      <c r="C445" s="48"/>
      <c r="D445" s="49"/>
      <c r="E445" s="48"/>
      <c r="F445" s="48"/>
      <c r="G445" s="48"/>
      <c r="H445" s="48"/>
      <c r="I445" s="50"/>
      <c r="J445" s="48"/>
      <c r="K445" s="48"/>
      <c r="L445" s="48"/>
      <c r="M445" s="48"/>
      <c r="N445" s="48"/>
      <c r="O445" s="48"/>
      <c r="P445" s="48"/>
      <c r="Q445" s="48"/>
      <c r="R445" s="48"/>
      <c r="S445" s="52"/>
      <c r="T445" s="48"/>
    </row>
    <row r="446" spans="1:20" ht="15.75" x14ac:dyDescent="0.25">
      <c r="A446" s="10"/>
      <c r="B446" s="10"/>
      <c r="C446" s="48"/>
      <c r="D446" s="49"/>
      <c r="E446" s="48"/>
      <c r="F446" s="48"/>
      <c r="G446" s="48"/>
      <c r="H446" s="48"/>
      <c r="I446" s="50"/>
      <c r="J446" s="48"/>
      <c r="K446" s="48"/>
      <c r="L446" s="48"/>
      <c r="M446" s="48"/>
      <c r="N446" s="48"/>
      <c r="O446" s="48"/>
      <c r="P446" s="48"/>
      <c r="Q446" s="48"/>
      <c r="R446" s="48"/>
      <c r="S446" s="52"/>
      <c r="T446" s="48"/>
    </row>
    <row r="447" spans="1:20" ht="15.75" x14ac:dyDescent="0.25">
      <c r="A447" s="10"/>
      <c r="B447" s="10"/>
      <c r="C447" s="48"/>
      <c r="D447" s="49"/>
      <c r="E447" s="48"/>
      <c r="F447" s="48"/>
      <c r="G447" s="48"/>
      <c r="H447" s="48"/>
      <c r="I447" s="50"/>
      <c r="J447" s="48"/>
      <c r="K447" s="48"/>
      <c r="L447" s="48"/>
      <c r="M447" s="48"/>
      <c r="N447" s="48"/>
      <c r="O447" s="48"/>
      <c r="P447" s="48"/>
      <c r="Q447" s="48"/>
      <c r="R447" s="48"/>
      <c r="S447" s="52"/>
      <c r="T447" s="48"/>
    </row>
    <row r="448" spans="1:20" ht="15.75" x14ac:dyDescent="0.25">
      <c r="A448" s="10"/>
      <c r="B448" s="10"/>
      <c r="C448" s="48"/>
      <c r="D448" s="49"/>
      <c r="E448" s="48"/>
      <c r="F448" s="48"/>
      <c r="G448" s="48"/>
      <c r="H448" s="48"/>
      <c r="I448" s="50"/>
      <c r="J448" s="48"/>
      <c r="K448" s="48"/>
      <c r="L448" s="48"/>
      <c r="M448" s="48"/>
      <c r="N448" s="48"/>
      <c r="O448" s="48"/>
      <c r="P448" s="48"/>
      <c r="Q448" s="48"/>
      <c r="R448" s="48"/>
      <c r="S448" s="52"/>
      <c r="T448" s="48"/>
    </row>
    <row r="449" spans="1:20" ht="15.75" x14ac:dyDescent="0.25">
      <c r="A449" s="10"/>
      <c r="B449" s="10"/>
      <c r="C449" s="48"/>
      <c r="D449" s="49"/>
      <c r="E449" s="48"/>
      <c r="F449" s="48"/>
      <c r="G449" s="48"/>
      <c r="H449" s="48"/>
      <c r="I449" s="50"/>
      <c r="J449" s="48"/>
      <c r="K449" s="48"/>
      <c r="L449" s="48"/>
      <c r="M449" s="48"/>
      <c r="N449" s="48"/>
      <c r="O449" s="48"/>
      <c r="P449" s="48"/>
      <c r="Q449" s="48"/>
      <c r="R449" s="48"/>
      <c r="S449" s="52"/>
      <c r="T449" s="48"/>
    </row>
    <row r="450" spans="1:20" ht="15.75" x14ac:dyDescent="0.25">
      <c r="A450" s="10"/>
      <c r="B450" s="10"/>
      <c r="C450" s="48"/>
      <c r="D450" s="49"/>
      <c r="E450" s="48"/>
      <c r="F450" s="48"/>
      <c r="G450" s="48"/>
      <c r="H450" s="48"/>
      <c r="I450" s="50"/>
      <c r="J450" s="48"/>
      <c r="K450" s="48"/>
      <c r="L450" s="48"/>
      <c r="M450" s="48"/>
      <c r="N450" s="48"/>
      <c r="O450" s="48"/>
      <c r="P450" s="48"/>
      <c r="Q450" s="48"/>
      <c r="R450" s="48"/>
      <c r="S450" s="52"/>
      <c r="T450" s="48"/>
    </row>
    <row r="451" spans="1:20" ht="15.75" x14ac:dyDescent="0.25">
      <c r="A451" s="10"/>
      <c r="B451" s="10"/>
      <c r="C451" s="48"/>
      <c r="D451" s="49"/>
      <c r="E451" s="48"/>
      <c r="F451" s="48"/>
      <c r="G451" s="48"/>
      <c r="H451" s="48"/>
      <c r="I451" s="50"/>
      <c r="J451" s="48"/>
      <c r="K451" s="48"/>
      <c r="L451" s="48"/>
      <c r="M451" s="48"/>
      <c r="N451" s="48"/>
      <c r="O451" s="48"/>
      <c r="P451" s="48"/>
      <c r="Q451" s="48"/>
      <c r="R451" s="48"/>
      <c r="S451" s="52"/>
      <c r="T451" s="48"/>
    </row>
    <row r="452" spans="1:20" ht="15.75" x14ac:dyDescent="0.25">
      <c r="A452" s="10"/>
      <c r="B452" s="10"/>
      <c r="C452" s="48"/>
      <c r="D452" s="49"/>
      <c r="E452" s="48"/>
      <c r="F452" s="48"/>
      <c r="G452" s="48"/>
      <c r="H452" s="48"/>
      <c r="I452" s="50"/>
      <c r="J452" s="48"/>
      <c r="K452" s="48"/>
      <c r="L452" s="48"/>
      <c r="M452" s="48"/>
      <c r="N452" s="48"/>
      <c r="O452" s="48"/>
      <c r="P452" s="48"/>
      <c r="Q452" s="48"/>
      <c r="R452" s="48"/>
      <c r="S452" s="52"/>
      <c r="T452" s="48"/>
    </row>
    <row r="453" spans="1:20" ht="15.75" x14ac:dyDescent="0.25">
      <c r="A453" s="10"/>
      <c r="B453" s="10"/>
      <c r="C453" s="48"/>
      <c r="D453" s="49"/>
      <c r="E453" s="48"/>
      <c r="F453" s="48"/>
      <c r="G453" s="48"/>
      <c r="H453" s="48"/>
      <c r="I453" s="50"/>
      <c r="J453" s="48"/>
      <c r="K453" s="48"/>
      <c r="L453" s="48"/>
      <c r="M453" s="48"/>
      <c r="N453" s="48"/>
      <c r="O453" s="48"/>
      <c r="P453" s="48"/>
      <c r="Q453" s="48"/>
      <c r="R453" s="48"/>
      <c r="S453" s="52"/>
      <c r="T453" s="48"/>
    </row>
    <row r="454" spans="1:20" ht="15.75" x14ac:dyDescent="0.25">
      <c r="A454" s="10"/>
      <c r="B454" s="10"/>
      <c r="C454" s="48"/>
      <c r="D454" s="49"/>
      <c r="E454" s="48"/>
      <c r="F454" s="48"/>
      <c r="G454" s="48"/>
      <c r="H454" s="48"/>
      <c r="I454" s="50"/>
      <c r="J454" s="48"/>
      <c r="K454" s="48"/>
      <c r="L454" s="48"/>
      <c r="M454" s="48"/>
      <c r="N454" s="48"/>
      <c r="O454" s="48"/>
      <c r="P454" s="48"/>
      <c r="Q454" s="48"/>
      <c r="R454" s="48"/>
      <c r="S454" s="52"/>
      <c r="T454" s="48"/>
    </row>
    <row r="455" spans="1:20" ht="15.75" x14ac:dyDescent="0.25">
      <c r="A455" s="10"/>
      <c r="B455" s="10"/>
      <c r="C455" s="48"/>
      <c r="D455" s="49"/>
      <c r="E455" s="48"/>
      <c r="F455" s="48"/>
      <c r="G455" s="48"/>
      <c r="H455" s="48"/>
      <c r="I455" s="50"/>
      <c r="J455" s="48"/>
      <c r="K455" s="48"/>
      <c r="L455" s="48"/>
      <c r="M455" s="48"/>
      <c r="N455" s="48"/>
      <c r="O455" s="48"/>
      <c r="P455" s="48"/>
      <c r="Q455" s="48"/>
      <c r="R455" s="48"/>
      <c r="S455" s="52"/>
      <c r="T455" s="48"/>
    </row>
    <row r="456" spans="1:20" ht="15.75" x14ac:dyDescent="0.25">
      <c r="A456" s="10"/>
      <c r="B456" s="10"/>
      <c r="C456" s="48"/>
      <c r="D456" s="49"/>
      <c r="E456" s="48"/>
      <c r="F456" s="48"/>
      <c r="G456" s="48"/>
      <c r="H456" s="48"/>
      <c r="I456" s="50"/>
      <c r="J456" s="48"/>
      <c r="K456" s="48"/>
      <c r="L456" s="48"/>
      <c r="M456" s="48"/>
      <c r="N456" s="48"/>
      <c r="O456" s="48"/>
      <c r="P456" s="48"/>
      <c r="Q456" s="48"/>
      <c r="R456" s="48"/>
      <c r="S456" s="52"/>
      <c r="T456" s="48"/>
    </row>
    <row r="457" spans="1:20" ht="15.75" x14ac:dyDescent="0.25">
      <c r="A457" s="10"/>
      <c r="B457" s="10"/>
      <c r="C457" s="48"/>
      <c r="D457" s="49"/>
      <c r="E457" s="48"/>
      <c r="F457" s="48"/>
      <c r="G457" s="48"/>
      <c r="H457" s="48"/>
      <c r="I457" s="50"/>
      <c r="J457" s="48"/>
      <c r="K457" s="48"/>
      <c r="L457" s="48"/>
      <c r="M457" s="48"/>
      <c r="N457" s="48"/>
      <c r="O457" s="48"/>
      <c r="P457" s="48"/>
      <c r="Q457" s="48"/>
      <c r="R457" s="48"/>
      <c r="S457" s="52"/>
      <c r="T457" s="48"/>
    </row>
    <row r="458" spans="1:20" ht="15.75" x14ac:dyDescent="0.25">
      <c r="A458" s="10"/>
      <c r="B458" s="10"/>
      <c r="C458" s="48"/>
      <c r="D458" s="49"/>
      <c r="E458" s="48"/>
      <c r="F458" s="48"/>
      <c r="G458" s="48"/>
      <c r="H458" s="48"/>
      <c r="I458" s="50"/>
      <c r="J458" s="48"/>
      <c r="K458" s="48"/>
      <c r="L458" s="48"/>
      <c r="M458" s="48"/>
      <c r="N458" s="48"/>
      <c r="O458" s="48"/>
      <c r="P458" s="48"/>
      <c r="Q458" s="48"/>
      <c r="R458" s="48"/>
      <c r="S458" s="52"/>
      <c r="T458" s="48"/>
    </row>
    <row r="459" spans="1:20" ht="15.75" x14ac:dyDescent="0.25">
      <c r="A459" s="10"/>
      <c r="B459" s="10"/>
      <c r="C459" s="48"/>
      <c r="D459" s="49"/>
      <c r="E459" s="48"/>
      <c r="F459" s="48"/>
      <c r="G459" s="48"/>
      <c r="H459" s="48"/>
      <c r="I459" s="50"/>
      <c r="J459" s="48"/>
      <c r="K459" s="48"/>
      <c r="L459" s="48"/>
      <c r="M459" s="48"/>
      <c r="N459" s="48"/>
      <c r="O459" s="48"/>
      <c r="P459" s="48"/>
      <c r="Q459" s="48"/>
      <c r="R459" s="48"/>
      <c r="S459" s="52"/>
      <c r="T459" s="48"/>
    </row>
    <row r="460" spans="1:20" ht="15.75" x14ac:dyDescent="0.25">
      <c r="A460" s="10"/>
      <c r="B460" s="10"/>
      <c r="C460" s="48"/>
      <c r="D460" s="49"/>
      <c r="E460" s="48"/>
      <c r="F460" s="48"/>
      <c r="G460" s="48"/>
      <c r="H460" s="48"/>
      <c r="I460" s="50"/>
      <c r="J460" s="48"/>
      <c r="K460" s="48"/>
      <c r="L460" s="48"/>
      <c r="M460" s="48"/>
      <c r="N460" s="48"/>
      <c r="O460" s="48"/>
      <c r="P460" s="48"/>
      <c r="Q460" s="48"/>
      <c r="R460" s="48"/>
      <c r="S460" s="52"/>
      <c r="T460" s="48"/>
    </row>
    <row r="461" spans="1:20" ht="15.75" x14ac:dyDescent="0.25">
      <c r="A461" s="10"/>
      <c r="B461" s="10"/>
      <c r="C461" s="48"/>
      <c r="D461" s="49"/>
      <c r="E461" s="48"/>
      <c r="F461" s="48"/>
      <c r="G461" s="48"/>
      <c r="H461" s="48"/>
      <c r="I461" s="50"/>
      <c r="J461" s="48"/>
      <c r="K461" s="48"/>
      <c r="L461" s="48"/>
      <c r="M461" s="48"/>
      <c r="N461" s="48"/>
      <c r="O461" s="48"/>
      <c r="P461" s="48"/>
      <c r="Q461" s="48"/>
      <c r="R461" s="48"/>
      <c r="S461" s="52"/>
      <c r="T461" s="48"/>
    </row>
    <row r="462" spans="1:20" ht="15.75" x14ac:dyDescent="0.25">
      <c r="A462" s="10"/>
      <c r="B462" s="10"/>
      <c r="C462" s="48"/>
      <c r="D462" s="49"/>
      <c r="E462" s="48"/>
      <c r="F462" s="48"/>
      <c r="G462" s="48"/>
      <c r="H462" s="48"/>
      <c r="I462" s="50"/>
      <c r="J462" s="48"/>
      <c r="K462" s="48"/>
      <c r="L462" s="48"/>
      <c r="M462" s="48"/>
      <c r="N462" s="48"/>
      <c r="O462" s="48"/>
      <c r="P462" s="48"/>
      <c r="Q462" s="48"/>
      <c r="R462" s="48"/>
      <c r="S462" s="52"/>
      <c r="T462" s="48"/>
    </row>
    <row r="463" spans="1:20" ht="15.75" x14ac:dyDescent="0.25">
      <c r="A463" s="10"/>
      <c r="B463" s="10"/>
      <c r="C463" s="48"/>
      <c r="D463" s="49"/>
      <c r="E463" s="48"/>
      <c r="F463" s="48"/>
      <c r="G463" s="48"/>
      <c r="H463" s="48"/>
      <c r="I463" s="50"/>
      <c r="J463" s="48"/>
      <c r="K463" s="48"/>
      <c r="L463" s="48"/>
      <c r="M463" s="48"/>
      <c r="N463" s="48"/>
      <c r="O463" s="48"/>
      <c r="P463" s="48"/>
      <c r="Q463" s="48"/>
      <c r="R463" s="48"/>
      <c r="S463" s="52"/>
      <c r="T463" s="48"/>
    </row>
    <row r="464" spans="1:20" ht="15.75" x14ac:dyDescent="0.25">
      <c r="A464" s="10"/>
      <c r="B464" s="10"/>
      <c r="C464" s="48"/>
      <c r="D464" s="49"/>
      <c r="E464" s="48"/>
      <c r="F464" s="48"/>
      <c r="G464" s="48"/>
      <c r="H464" s="48"/>
      <c r="I464" s="50"/>
      <c r="J464" s="48"/>
      <c r="K464" s="48"/>
      <c r="L464" s="48"/>
      <c r="M464" s="48"/>
      <c r="N464" s="48"/>
      <c r="O464" s="48"/>
      <c r="P464" s="48"/>
      <c r="Q464" s="48"/>
      <c r="R464" s="48"/>
      <c r="S464" s="52"/>
      <c r="T464" s="48"/>
    </row>
    <row r="465" spans="1:20" ht="15.75" x14ac:dyDescent="0.25">
      <c r="A465" s="10"/>
      <c r="B465" s="10"/>
      <c r="C465" s="48"/>
      <c r="D465" s="49"/>
      <c r="E465" s="48"/>
      <c r="F465" s="48"/>
      <c r="G465" s="48"/>
      <c r="H465" s="48"/>
      <c r="I465" s="50"/>
      <c r="J465" s="48"/>
      <c r="K465" s="48"/>
      <c r="L465" s="48"/>
      <c r="M465" s="48"/>
      <c r="N465" s="48"/>
      <c r="O465" s="48"/>
      <c r="P465" s="48"/>
      <c r="Q465" s="48"/>
      <c r="R465" s="48"/>
      <c r="S465" s="52"/>
      <c r="T465" s="48"/>
    </row>
    <row r="466" spans="1:20" ht="15.75" x14ac:dyDescent="0.25">
      <c r="A466" s="10"/>
      <c r="B466" s="10"/>
      <c r="C466" s="48"/>
      <c r="D466" s="49"/>
      <c r="E466" s="48"/>
      <c r="F466" s="48"/>
      <c r="G466" s="48"/>
      <c r="H466" s="48"/>
      <c r="I466" s="50"/>
      <c r="J466" s="48"/>
      <c r="K466" s="48"/>
      <c r="L466" s="48"/>
      <c r="M466" s="48"/>
      <c r="N466" s="48"/>
      <c r="O466" s="48"/>
      <c r="P466" s="48"/>
      <c r="Q466" s="48"/>
      <c r="R466" s="48"/>
      <c r="S466" s="52"/>
      <c r="T466" s="48"/>
    </row>
    <row r="467" spans="1:20" ht="15.75" x14ac:dyDescent="0.25">
      <c r="A467" s="10"/>
      <c r="B467" s="10"/>
      <c r="C467" s="48"/>
      <c r="D467" s="49"/>
      <c r="E467" s="48"/>
      <c r="F467" s="48"/>
      <c r="G467" s="48"/>
      <c r="H467" s="48"/>
      <c r="I467" s="50"/>
      <c r="J467" s="48"/>
      <c r="K467" s="48"/>
      <c r="L467" s="48"/>
      <c r="M467" s="48"/>
      <c r="N467" s="48"/>
      <c r="O467" s="48"/>
      <c r="P467" s="48"/>
      <c r="Q467" s="48"/>
      <c r="R467" s="48"/>
      <c r="S467" s="52"/>
      <c r="T467" s="48"/>
    </row>
    <row r="468" spans="1:20" ht="15.75" x14ac:dyDescent="0.25">
      <c r="A468" s="10"/>
      <c r="B468" s="10"/>
      <c r="C468" s="48"/>
      <c r="D468" s="49"/>
      <c r="E468" s="48"/>
      <c r="F468" s="48"/>
      <c r="G468" s="48"/>
      <c r="H468" s="48"/>
      <c r="I468" s="50"/>
      <c r="J468" s="48"/>
      <c r="K468" s="48"/>
      <c r="L468" s="48"/>
      <c r="M468" s="48"/>
      <c r="N468" s="48"/>
      <c r="O468" s="48"/>
      <c r="P468" s="48"/>
      <c r="Q468" s="48"/>
      <c r="R468" s="48"/>
      <c r="S468" s="52"/>
      <c r="T468" s="48"/>
    </row>
    <row r="469" spans="1:20" ht="15.75" x14ac:dyDescent="0.25">
      <c r="A469" s="10"/>
      <c r="B469" s="10"/>
      <c r="C469" s="48"/>
      <c r="D469" s="49"/>
      <c r="E469" s="48"/>
      <c r="F469" s="48"/>
      <c r="G469" s="48"/>
      <c r="H469" s="48"/>
      <c r="I469" s="50"/>
      <c r="J469" s="48"/>
      <c r="K469" s="48"/>
      <c r="L469" s="48"/>
      <c r="M469" s="48"/>
      <c r="N469" s="48"/>
      <c r="O469" s="48"/>
      <c r="P469" s="48"/>
      <c r="Q469" s="48"/>
      <c r="R469" s="48"/>
      <c r="S469" s="52"/>
      <c r="T469" s="48"/>
    </row>
    <row r="470" spans="1:20" ht="15.75" x14ac:dyDescent="0.25">
      <c r="A470" s="10"/>
      <c r="B470" s="10"/>
      <c r="C470" s="48"/>
      <c r="D470" s="49"/>
      <c r="E470" s="48"/>
      <c r="F470" s="48"/>
      <c r="G470" s="48"/>
      <c r="H470" s="48"/>
      <c r="I470" s="50"/>
      <c r="J470" s="48"/>
      <c r="K470" s="48"/>
      <c r="L470" s="48"/>
      <c r="M470" s="48"/>
      <c r="N470" s="48"/>
      <c r="O470" s="48"/>
      <c r="P470" s="48"/>
      <c r="Q470" s="48"/>
      <c r="R470" s="48"/>
      <c r="S470" s="52"/>
      <c r="T470" s="48"/>
    </row>
    <row r="471" spans="1:20" ht="15.75" x14ac:dyDescent="0.25">
      <c r="A471" s="10"/>
      <c r="B471" s="10"/>
      <c r="C471" s="48"/>
      <c r="D471" s="49"/>
      <c r="E471" s="48"/>
      <c r="F471" s="48"/>
      <c r="G471" s="48"/>
      <c r="H471" s="48"/>
      <c r="I471" s="50"/>
      <c r="J471" s="48"/>
      <c r="K471" s="48"/>
      <c r="L471" s="48"/>
      <c r="M471" s="48"/>
      <c r="N471" s="48"/>
      <c r="O471" s="48"/>
      <c r="P471" s="48"/>
      <c r="Q471" s="48"/>
      <c r="R471" s="48"/>
      <c r="S471" s="52"/>
      <c r="T471" s="48"/>
    </row>
    <row r="472" spans="1:20" ht="15.75" x14ac:dyDescent="0.25">
      <c r="A472" s="10"/>
      <c r="B472" s="10"/>
      <c r="C472" s="48"/>
      <c r="D472" s="49"/>
      <c r="E472" s="48"/>
      <c r="F472" s="48"/>
      <c r="G472" s="48"/>
      <c r="H472" s="48"/>
      <c r="I472" s="50"/>
      <c r="J472" s="48"/>
      <c r="K472" s="48"/>
      <c r="L472" s="48"/>
      <c r="M472" s="48"/>
      <c r="N472" s="48"/>
      <c r="O472" s="48"/>
      <c r="P472" s="48"/>
      <c r="Q472" s="48"/>
      <c r="R472" s="48"/>
      <c r="S472" s="52"/>
      <c r="T472" s="48"/>
    </row>
    <row r="473" spans="1:20" ht="15.75" x14ac:dyDescent="0.25">
      <c r="A473" s="10"/>
      <c r="B473" s="10"/>
      <c r="C473" s="48"/>
      <c r="D473" s="49"/>
      <c r="E473" s="48"/>
      <c r="F473" s="48"/>
      <c r="G473" s="48"/>
      <c r="H473" s="48"/>
      <c r="I473" s="50"/>
      <c r="J473" s="48"/>
      <c r="K473" s="48"/>
      <c r="L473" s="48"/>
      <c r="M473" s="48"/>
      <c r="N473" s="48"/>
      <c r="O473" s="48"/>
      <c r="P473" s="48"/>
      <c r="Q473" s="48"/>
      <c r="R473" s="48"/>
      <c r="S473" s="52"/>
      <c r="T473" s="48"/>
    </row>
    <row r="474" spans="1:20" ht="15.75" x14ac:dyDescent="0.25">
      <c r="A474" s="10"/>
      <c r="B474" s="10"/>
      <c r="C474" s="48"/>
      <c r="D474" s="49"/>
      <c r="E474" s="48"/>
      <c r="F474" s="48"/>
      <c r="G474" s="48"/>
      <c r="H474" s="48"/>
      <c r="I474" s="50"/>
      <c r="J474" s="48"/>
      <c r="K474" s="48"/>
      <c r="L474" s="48"/>
      <c r="M474" s="48"/>
      <c r="N474" s="48"/>
      <c r="O474" s="48"/>
      <c r="P474" s="48"/>
      <c r="Q474" s="48"/>
      <c r="R474" s="48"/>
      <c r="S474" s="52"/>
      <c r="T474" s="48"/>
    </row>
    <row r="475" spans="1:20" ht="15.75" x14ac:dyDescent="0.25">
      <c r="A475" s="10"/>
      <c r="B475" s="10"/>
      <c r="C475" s="48"/>
      <c r="D475" s="49"/>
      <c r="E475" s="48"/>
      <c r="F475" s="48"/>
      <c r="G475" s="48"/>
      <c r="H475" s="48"/>
      <c r="I475" s="50"/>
      <c r="J475" s="48"/>
      <c r="K475" s="48"/>
      <c r="L475" s="48"/>
      <c r="M475" s="48"/>
      <c r="N475" s="48"/>
      <c r="O475" s="48"/>
      <c r="P475" s="48"/>
      <c r="Q475" s="48"/>
      <c r="R475" s="48"/>
      <c r="S475" s="52"/>
      <c r="T475" s="48"/>
    </row>
    <row r="476" spans="1:20" ht="15.75" x14ac:dyDescent="0.25">
      <c r="A476" s="10"/>
      <c r="B476" s="10"/>
      <c r="C476" s="48"/>
      <c r="D476" s="49"/>
      <c r="E476" s="48"/>
      <c r="F476" s="48"/>
      <c r="G476" s="48"/>
      <c r="H476" s="48"/>
      <c r="I476" s="50"/>
      <c r="J476" s="48"/>
      <c r="K476" s="48"/>
      <c r="L476" s="48"/>
      <c r="M476" s="48"/>
      <c r="N476" s="48"/>
      <c r="O476" s="48"/>
      <c r="P476" s="48"/>
      <c r="Q476" s="48"/>
      <c r="R476" s="48"/>
      <c r="S476" s="52"/>
      <c r="T476" s="48"/>
    </row>
    <row r="477" spans="1:20" ht="15.75" x14ac:dyDescent="0.25">
      <c r="A477" s="10"/>
      <c r="B477" s="10"/>
      <c r="C477" s="48"/>
      <c r="D477" s="49"/>
      <c r="E477" s="48"/>
      <c r="F477" s="48"/>
      <c r="G477" s="48"/>
      <c r="H477" s="48"/>
      <c r="I477" s="50"/>
      <c r="J477" s="48"/>
      <c r="K477" s="48"/>
      <c r="L477" s="48"/>
      <c r="M477" s="48"/>
      <c r="N477" s="48"/>
      <c r="O477" s="48"/>
      <c r="P477" s="48"/>
      <c r="Q477" s="48"/>
      <c r="R477" s="48"/>
      <c r="S477" s="52"/>
      <c r="T477" s="48"/>
    </row>
    <row r="478" spans="1:20" ht="15.75" x14ac:dyDescent="0.25">
      <c r="A478" s="10"/>
      <c r="B478" s="10"/>
      <c r="C478" s="48"/>
      <c r="D478" s="49"/>
      <c r="E478" s="48"/>
      <c r="F478" s="48"/>
      <c r="G478" s="48"/>
      <c r="H478" s="48"/>
      <c r="I478" s="50"/>
      <c r="J478" s="48"/>
      <c r="K478" s="48"/>
      <c r="L478" s="48"/>
      <c r="M478" s="48"/>
      <c r="N478" s="48"/>
      <c r="O478" s="48"/>
      <c r="P478" s="48"/>
      <c r="Q478" s="48"/>
      <c r="R478" s="48"/>
      <c r="S478" s="52"/>
      <c r="T478" s="48"/>
    </row>
    <row r="479" spans="1:20" ht="15.75" x14ac:dyDescent="0.25">
      <c r="A479" s="10"/>
      <c r="B479" s="10"/>
      <c r="C479" s="48"/>
      <c r="D479" s="49"/>
      <c r="E479" s="48"/>
      <c r="F479" s="48"/>
      <c r="G479" s="48"/>
      <c r="H479" s="48"/>
      <c r="I479" s="50"/>
      <c r="J479" s="48"/>
      <c r="K479" s="48"/>
      <c r="L479" s="48"/>
      <c r="M479" s="48"/>
      <c r="N479" s="48"/>
      <c r="O479" s="48"/>
      <c r="P479" s="48"/>
      <c r="Q479" s="48"/>
      <c r="R479" s="48"/>
      <c r="S479" s="52"/>
      <c r="T479" s="48"/>
    </row>
    <row r="480" spans="1:20" ht="15.75" x14ac:dyDescent="0.25">
      <c r="A480" s="10"/>
      <c r="B480" s="10"/>
      <c r="C480" s="48"/>
      <c r="D480" s="49"/>
      <c r="E480" s="48"/>
      <c r="F480" s="48"/>
      <c r="G480" s="48"/>
      <c r="H480" s="48"/>
      <c r="I480" s="50"/>
      <c r="J480" s="48"/>
      <c r="K480" s="48"/>
      <c r="L480" s="48"/>
      <c r="M480" s="48"/>
      <c r="N480" s="48"/>
      <c r="O480" s="48"/>
      <c r="P480" s="48"/>
      <c r="Q480" s="48"/>
      <c r="R480" s="48"/>
      <c r="S480" s="52"/>
      <c r="T480" s="48"/>
    </row>
    <row r="481" spans="1:20" ht="15.75" x14ac:dyDescent="0.25">
      <c r="A481" s="10"/>
      <c r="B481" s="10"/>
      <c r="C481" s="48"/>
      <c r="D481" s="49"/>
      <c r="E481" s="48"/>
      <c r="F481" s="48"/>
      <c r="G481" s="48"/>
      <c r="H481" s="48"/>
      <c r="I481" s="50"/>
      <c r="J481" s="48"/>
      <c r="K481" s="48"/>
      <c r="L481" s="48"/>
      <c r="M481" s="48"/>
      <c r="N481" s="48"/>
      <c r="O481" s="48"/>
      <c r="P481" s="48"/>
      <c r="Q481" s="48"/>
      <c r="R481" s="48"/>
      <c r="S481" s="52"/>
      <c r="T481" s="48"/>
    </row>
    <row r="482" spans="1:20" ht="15.75" x14ac:dyDescent="0.25">
      <c r="A482" s="10"/>
      <c r="B482" s="10"/>
      <c r="C482" s="48"/>
      <c r="D482" s="49"/>
      <c r="E482" s="48"/>
      <c r="F482" s="48"/>
      <c r="G482" s="48"/>
      <c r="H482" s="48"/>
      <c r="I482" s="50"/>
      <c r="J482" s="48"/>
      <c r="K482" s="48"/>
      <c r="L482" s="48"/>
      <c r="M482" s="48"/>
      <c r="N482" s="48"/>
      <c r="O482" s="48"/>
      <c r="P482" s="48"/>
      <c r="Q482" s="48"/>
      <c r="R482" s="48"/>
      <c r="S482" s="52"/>
      <c r="T482" s="48"/>
    </row>
    <row r="483" spans="1:20" ht="15.75" x14ac:dyDescent="0.25">
      <c r="A483" s="10"/>
      <c r="B483" s="10"/>
      <c r="C483" s="48"/>
      <c r="D483" s="49"/>
      <c r="E483" s="48"/>
      <c r="F483" s="48"/>
      <c r="G483" s="48"/>
      <c r="H483" s="48"/>
      <c r="I483" s="50"/>
      <c r="J483" s="48"/>
      <c r="K483" s="48"/>
      <c r="L483" s="48"/>
      <c r="M483" s="48"/>
      <c r="N483" s="48"/>
      <c r="O483" s="48"/>
      <c r="P483" s="48"/>
      <c r="Q483" s="48"/>
      <c r="R483" s="48"/>
      <c r="S483" s="52"/>
      <c r="T483" s="48"/>
    </row>
    <row r="484" spans="1:20" ht="15.75" x14ac:dyDescent="0.25">
      <c r="A484" s="10"/>
      <c r="B484" s="10"/>
      <c r="C484" s="48"/>
      <c r="D484" s="49"/>
      <c r="E484" s="48"/>
      <c r="F484" s="48"/>
      <c r="G484" s="48"/>
      <c r="H484" s="48"/>
      <c r="I484" s="50"/>
      <c r="J484" s="48"/>
      <c r="K484" s="48"/>
      <c r="L484" s="48"/>
      <c r="M484" s="48"/>
      <c r="N484" s="48"/>
      <c r="O484" s="48"/>
      <c r="P484" s="48"/>
      <c r="Q484" s="48"/>
      <c r="R484" s="48"/>
      <c r="S484" s="52"/>
      <c r="T484" s="48"/>
    </row>
    <row r="485" spans="1:20" ht="15.75" x14ac:dyDescent="0.25">
      <c r="A485" s="10"/>
      <c r="B485" s="10"/>
      <c r="C485" s="48"/>
      <c r="D485" s="49"/>
      <c r="E485" s="48"/>
      <c r="F485" s="48"/>
      <c r="G485" s="48"/>
      <c r="H485" s="48"/>
      <c r="I485" s="50"/>
      <c r="J485" s="48"/>
      <c r="K485" s="48"/>
      <c r="L485" s="48"/>
      <c r="M485" s="48"/>
      <c r="N485" s="48"/>
      <c r="O485" s="48"/>
      <c r="P485" s="48"/>
      <c r="Q485" s="48"/>
      <c r="R485" s="48"/>
      <c r="S485" s="52"/>
      <c r="T485" s="48"/>
    </row>
    <row r="486" spans="1:20" ht="15.75" x14ac:dyDescent="0.25">
      <c r="A486" s="10"/>
      <c r="B486" s="10"/>
      <c r="C486" s="48"/>
      <c r="D486" s="49"/>
      <c r="E486" s="48"/>
      <c r="F486" s="48"/>
      <c r="G486" s="48"/>
      <c r="H486" s="48"/>
      <c r="I486" s="50"/>
      <c r="J486" s="48"/>
      <c r="K486" s="48"/>
      <c r="L486" s="48"/>
      <c r="M486" s="48"/>
      <c r="N486" s="48"/>
      <c r="O486" s="48"/>
      <c r="P486" s="48"/>
      <c r="Q486" s="48"/>
      <c r="R486" s="48"/>
      <c r="S486" s="52"/>
      <c r="T486" s="48"/>
    </row>
    <row r="487" spans="1:20" ht="15.75" x14ac:dyDescent="0.25">
      <c r="A487" s="10"/>
      <c r="B487" s="10"/>
      <c r="C487" s="48"/>
      <c r="D487" s="49"/>
      <c r="E487" s="48"/>
      <c r="F487" s="48"/>
      <c r="G487" s="48"/>
      <c r="H487" s="48"/>
      <c r="I487" s="50"/>
      <c r="J487" s="48"/>
      <c r="K487" s="48"/>
      <c r="L487" s="48"/>
      <c r="M487" s="48"/>
      <c r="N487" s="48"/>
      <c r="O487" s="48"/>
      <c r="P487" s="48"/>
      <c r="Q487" s="48"/>
      <c r="R487" s="48"/>
      <c r="S487" s="52"/>
      <c r="T487" s="48"/>
    </row>
    <row r="488" spans="1:20" ht="15.75" x14ac:dyDescent="0.25">
      <c r="A488" s="10"/>
      <c r="B488" s="10"/>
      <c r="C488" s="48"/>
      <c r="D488" s="49"/>
      <c r="E488" s="48"/>
      <c r="F488" s="48"/>
      <c r="G488" s="48"/>
      <c r="H488" s="48"/>
      <c r="I488" s="50"/>
      <c r="J488" s="48"/>
      <c r="K488" s="48"/>
      <c r="L488" s="48"/>
      <c r="M488" s="48"/>
      <c r="N488" s="48"/>
      <c r="O488" s="48"/>
      <c r="P488" s="48"/>
      <c r="Q488" s="48"/>
      <c r="R488" s="48"/>
      <c r="S488" s="52"/>
      <c r="T488" s="48"/>
    </row>
    <row r="489" spans="1:20" ht="15.75" x14ac:dyDescent="0.25">
      <c r="A489" s="10"/>
      <c r="B489" s="10"/>
      <c r="C489" s="48"/>
      <c r="D489" s="49"/>
      <c r="E489" s="48"/>
      <c r="F489" s="48"/>
      <c r="G489" s="48"/>
      <c r="H489" s="48"/>
      <c r="I489" s="50"/>
      <c r="J489" s="48"/>
      <c r="K489" s="48"/>
      <c r="L489" s="48"/>
      <c r="M489" s="48"/>
      <c r="N489" s="48"/>
      <c r="O489" s="48"/>
      <c r="P489" s="48"/>
      <c r="Q489" s="48"/>
      <c r="R489" s="48"/>
      <c r="S489" s="52"/>
      <c r="T489" s="48"/>
    </row>
    <row r="490" spans="1:20" ht="15.75" x14ac:dyDescent="0.25">
      <c r="A490" s="10"/>
      <c r="B490" s="10"/>
      <c r="C490" s="48"/>
      <c r="D490" s="49"/>
      <c r="E490" s="48"/>
      <c r="F490" s="48"/>
      <c r="G490" s="48"/>
      <c r="H490" s="48"/>
      <c r="I490" s="50"/>
      <c r="J490" s="48"/>
      <c r="K490" s="48"/>
      <c r="L490" s="48"/>
      <c r="M490" s="48"/>
      <c r="N490" s="48"/>
      <c r="O490" s="48"/>
      <c r="P490" s="48"/>
      <c r="Q490" s="48"/>
      <c r="R490" s="48"/>
      <c r="S490" s="52"/>
      <c r="T490" s="48"/>
    </row>
    <row r="491" spans="1:20" ht="15.75" x14ac:dyDescent="0.25">
      <c r="A491" s="10"/>
      <c r="B491" s="10"/>
      <c r="C491" s="48"/>
      <c r="D491" s="49"/>
      <c r="E491" s="48"/>
      <c r="F491" s="48"/>
      <c r="G491" s="48"/>
      <c r="H491" s="48"/>
      <c r="I491" s="50"/>
      <c r="J491" s="48"/>
      <c r="K491" s="48"/>
      <c r="L491" s="48"/>
      <c r="M491" s="48"/>
      <c r="N491" s="48"/>
      <c r="O491" s="48"/>
      <c r="P491" s="48"/>
      <c r="Q491" s="48"/>
      <c r="R491" s="48"/>
      <c r="S491" s="52"/>
      <c r="T491" s="48"/>
    </row>
    <row r="492" spans="1:20" ht="15.75" x14ac:dyDescent="0.25">
      <c r="A492" s="10"/>
      <c r="B492" s="10"/>
      <c r="C492" s="48"/>
      <c r="D492" s="49"/>
      <c r="E492" s="48"/>
      <c r="F492" s="48"/>
      <c r="G492" s="48"/>
      <c r="H492" s="48"/>
      <c r="I492" s="50"/>
      <c r="J492" s="48"/>
      <c r="K492" s="48"/>
      <c r="L492" s="48"/>
      <c r="M492" s="48"/>
      <c r="N492" s="48"/>
      <c r="O492" s="48"/>
      <c r="P492" s="48"/>
      <c r="Q492" s="48"/>
      <c r="R492" s="48"/>
      <c r="S492" s="52"/>
      <c r="T492" s="48"/>
    </row>
    <row r="493" spans="1:20" ht="15.75" x14ac:dyDescent="0.25">
      <c r="A493" s="10"/>
      <c r="B493" s="10"/>
      <c r="C493" s="48"/>
      <c r="D493" s="49"/>
      <c r="E493" s="48"/>
      <c r="F493" s="48"/>
      <c r="G493" s="48"/>
      <c r="H493" s="48"/>
      <c r="I493" s="50"/>
      <c r="J493" s="48"/>
      <c r="K493" s="48"/>
      <c r="L493" s="48"/>
      <c r="M493" s="48"/>
      <c r="N493" s="48"/>
      <c r="O493" s="48"/>
      <c r="P493" s="48"/>
      <c r="Q493" s="48"/>
      <c r="R493" s="48"/>
      <c r="S493" s="52"/>
      <c r="T493" s="48"/>
    </row>
    <row r="494" spans="1:20" ht="15.75" x14ac:dyDescent="0.25">
      <c r="A494" s="10"/>
      <c r="B494" s="10"/>
      <c r="C494" s="48"/>
      <c r="D494" s="49"/>
      <c r="E494" s="48"/>
      <c r="F494" s="48"/>
      <c r="G494" s="48"/>
      <c r="H494" s="48"/>
      <c r="I494" s="50"/>
      <c r="J494" s="48"/>
      <c r="K494" s="48"/>
      <c r="L494" s="48"/>
      <c r="M494" s="48"/>
      <c r="N494" s="48"/>
      <c r="O494" s="48"/>
      <c r="P494" s="48"/>
      <c r="Q494" s="48"/>
      <c r="R494" s="48"/>
      <c r="S494" s="52"/>
      <c r="T494" s="48"/>
    </row>
    <row r="495" spans="1:20" ht="15.75" x14ac:dyDescent="0.25">
      <c r="A495" s="10"/>
      <c r="B495" s="10"/>
      <c r="C495" s="48"/>
      <c r="D495" s="49"/>
      <c r="E495" s="48"/>
      <c r="F495" s="48"/>
      <c r="G495" s="48"/>
      <c r="H495" s="48"/>
      <c r="I495" s="50"/>
      <c r="J495" s="48"/>
      <c r="K495" s="48"/>
      <c r="L495" s="48"/>
      <c r="M495" s="48"/>
      <c r="N495" s="48"/>
      <c r="O495" s="48"/>
      <c r="P495" s="48"/>
      <c r="Q495" s="48"/>
      <c r="R495" s="48"/>
      <c r="S495" s="52"/>
      <c r="T495" s="48"/>
    </row>
    <row r="496" spans="1:20" ht="15.75" x14ac:dyDescent="0.25">
      <c r="A496" s="10"/>
      <c r="B496" s="10"/>
      <c r="C496" s="48"/>
      <c r="D496" s="49"/>
      <c r="E496" s="48"/>
      <c r="F496" s="48"/>
      <c r="G496" s="48"/>
      <c r="H496" s="48"/>
      <c r="I496" s="50"/>
      <c r="J496" s="48"/>
      <c r="K496" s="48"/>
      <c r="L496" s="48"/>
      <c r="M496" s="48"/>
      <c r="N496" s="48"/>
      <c r="O496" s="48"/>
      <c r="P496" s="48"/>
      <c r="Q496" s="48"/>
      <c r="R496" s="48"/>
      <c r="S496" s="52"/>
      <c r="T496" s="48"/>
    </row>
    <row r="497" spans="1:20" ht="15.75" x14ac:dyDescent="0.25">
      <c r="A497" s="10"/>
      <c r="B497" s="10"/>
      <c r="C497" s="48"/>
      <c r="D497" s="49"/>
      <c r="E497" s="48"/>
      <c r="F497" s="48"/>
      <c r="G497" s="48"/>
      <c r="H497" s="48"/>
      <c r="I497" s="50"/>
      <c r="J497" s="48"/>
      <c r="K497" s="48"/>
      <c r="L497" s="48"/>
      <c r="M497" s="48"/>
      <c r="N497" s="48"/>
      <c r="O497" s="48"/>
      <c r="P497" s="48"/>
      <c r="Q497" s="48"/>
      <c r="R497" s="48"/>
      <c r="S497" s="52"/>
      <c r="T497" s="48"/>
    </row>
    <row r="498" spans="1:20" ht="15.75" x14ac:dyDescent="0.25">
      <c r="A498" s="10"/>
      <c r="B498" s="10"/>
      <c r="C498" s="48"/>
      <c r="D498" s="49"/>
      <c r="E498" s="48"/>
      <c r="F498" s="48"/>
      <c r="G498" s="48"/>
      <c r="H498" s="48"/>
      <c r="I498" s="50"/>
      <c r="J498" s="48"/>
      <c r="K498" s="48"/>
      <c r="L498" s="48"/>
      <c r="M498" s="48"/>
      <c r="N498" s="48"/>
      <c r="O498" s="48"/>
      <c r="P498" s="48"/>
      <c r="Q498" s="48"/>
      <c r="R498" s="48"/>
      <c r="S498" s="52"/>
      <c r="T498" s="48"/>
    </row>
    <row r="499" spans="1:20" ht="15.75" x14ac:dyDescent="0.25">
      <c r="A499" s="10"/>
      <c r="B499" s="10"/>
      <c r="C499" s="48"/>
      <c r="D499" s="49"/>
      <c r="E499" s="48"/>
      <c r="F499" s="48"/>
      <c r="G499" s="48"/>
      <c r="H499" s="48"/>
      <c r="I499" s="50"/>
      <c r="J499" s="48"/>
      <c r="K499" s="48"/>
      <c r="L499" s="48"/>
      <c r="M499" s="48"/>
      <c r="N499" s="48"/>
      <c r="O499" s="48"/>
      <c r="P499" s="48"/>
      <c r="Q499" s="48"/>
      <c r="R499" s="48"/>
      <c r="S499" s="52"/>
      <c r="T499" s="48"/>
    </row>
    <row r="500" spans="1:20" ht="15.75" x14ac:dyDescent="0.25">
      <c r="A500" s="10"/>
      <c r="B500" s="10"/>
      <c r="C500" s="48"/>
      <c r="D500" s="49"/>
      <c r="E500" s="48"/>
      <c r="F500" s="48"/>
      <c r="G500" s="48"/>
      <c r="H500" s="48"/>
      <c r="I500" s="50"/>
      <c r="J500" s="48"/>
      <c r="K500" s="48"/>
      <c r="L500" s="48"/>
      <c r="M500" s="48"/>
      <c r="N500" s="48"/>
      <c r="O500" s="48"/>
      <c r="P500" s="48"/>
      <c r="Q500" s="48"/>
      <c r="R500" s="48"/>
      <c r="S500" s="52"/>
      <c r="T500" s="48"/>
    </row>
    <row r="501" spans="1:20" ht="15.75" x14ac:dyDescent="0.25">
      <c r="A501" s="10"/>
      <c r="B501" s="10"/>
      <c r="C501" s="48"/>
      <c r="D501" s="49"/>
      <c r="E501" s="48"/>
      <c r="F501" s="48"/>
      <c r="G501" s="48"/>
      <c r="H501" s="48"/>
      <c r="I501" s="50"/>
      <c r="J501" s="48"/>
      <c r="K501" s="48"/>
      <c r="L501" s="48"/>
      <c r="M501" s="48"/>
      <c r="N501" s="48"/>
      <c r="O501" s="48"/>
      <c r="P501" s="48"/>
      <c r="Q501" s="48"/>
      <c r="R501" s="48"/>
      <c r="S501" s="52"/>
      <c r="T501" s="48"/>
    </row>
    <row r="502" spans="1:20" ht="15.75" x14ac:dyDescent="0.25">
      <c r="A502" s="10"/>
      <c r="B502" s="10"/>
      <c r="C502" s="48"/>
      <c r="D502" s="49"/>
      <c r="E502" s="48"/>
      <c r="F502" s="48"/>
      <c r="G502" s="48"/>
      <c r="H502" s="48"/>
      <c r="I502" s="50"/>
      <c r="J502" s="48"/>
      <c r="K502" s="48"/>
      <c r="L502" s="48"/>
      <c r="M502" s="48"/>
      <c r="N502" s="48"/>
      <c r="O502" s="48"/>
      <c r="P502" s="48"/>
      <c r="Q502" s="48"/>
      <c r="R502" s="48"/>
      <c r="S502" s="52"/>
      <c r="T502" s="48"/>
    </row>
    <row r="503" spans="1:20" ht="15.75" x14ac:dyDescent="0.25">
      <c r="A503" s="10"/>
      <c r="B503" s="10"/>
      <c r="C503" s="48"/>
      <c r="D503" s="49"/>
      <c r="E503" s="48"/>
      <c r="F503" s="48"/>
      <c r="G503" s="48"/>
      <c r="H503" s="48"/>
      <c r="I503" s="50"/>
      <c r="J503" s="48"/>
      <c r="K503" s="48"/>
      <c r="L503" s="48"/>
      <c r="M503" s="48"/>
      <c r="N503" s="48"/>
      <c r="O503" s="48"/>
      <c r="P503" s="48"/>
      <c r="Q503" s="48"/>
      <c r="R503" s="48"/>
      <c r="S503" s="52"/>
      <c r="T503" s="48"/>
    </row>
    <row r="504" spans="1:20" ht="15.75" x14ac:dyDescent="0.25">
      <c r="A504" s="10"/>
      <c r="B504" s="10"/>
      <c r="C504" s="48"/>
      <c r="D504" s="49"/>
      <c r="E504" s="48"/>
      <c r="F504" s="48"/>
      <c r="G504" s="48"/>
      <c r="H504" s="48"/>
      <c r="I504" s="50"/>
      <c r="J504" s="48"/>
      <c r="K504" s="48"/>
      <c r="L504" s="48"/>
      <c r="M504" s="48"/>
      <c r="N504" s="48"/>
      <c r="O504" s="48"/>
      <c r="P504" s="48"/>
      <c r="Q504" s="48"/>
      <c r="R504" s="48"/>
      <c r="S504" s="52"/>
      <c r="T504" s="48"/>
    </row>
    <row r="505" spans="1:20" ht="15.75" x14ac:dyDescent="0.25">
      <c r="A505" s="10"/>
      <c r="B505" s="10"/>
      <c r="C505" s="48"/>
      <c r="D505" s="49"/>
      <c r="E505" s="48"/>
      <c r="F505" s="48"/>
      <c r="G505" s="48"/>
      <c r="H505" s="48"/>
      <c r="I505" s="50"/>
      <c r="J505" s="48"/>
      <c r="K505" s="48"/>
      <c r="L505" s="48"/>
      <c r="M505" s="48"/>
      <c r="N505" s="48"/>
      <c r="O505" s="48"/>
      <c r="P505" s="48"/>
      <c r="Q505" s="48"/>
      <c r="R505" s="48"/>
      <c r="S505" s="52"/>
      <c r="T505" s="48"/>
    </row>
    <row r="506" spans="1:20" ht="15.75" x14ac:dyDescent="0.25">
      <c r="A506" s="10"/>
      <c r="B506" s="10"/>
      <c r="C506" s="48"/>
      <c r="D506" s="49"/>
      <c r="E506" s="48"/>
      <c r="F506" s="48"/>
      <c r="G506" s="48"/>
      <c r="H506" s="48"/>
      <c r="I506" s="50"/>
      <c r="J506" s="48"/>
      <c r="K506" s="48"/>
      <c r="L506" s="48"/>
      <c r="M506" s="48"/>
      <c r="N506" s="48"/>
      <c r="O506" s="48"/>
      <c r="P506" s="48"/>
      <c r="Q506" s="48"/>
      <c r="R506" s="48"/>
      <c r="S506" s="52"/>
      <c r="T506" s="48"/>
    </row>
    <row r="507" spans="1:20" ht="15.75" x14ac:dyDescent="0.25">
      <c r="A507" s="10"/>
      <c r="B507" s="10"/>
      <c r="C507" s="48"/>
      <c r="D507" s="49"/>
      <c r="E507" s="48"/>
      <c r="F507" s="48"/>
      <c r="G507" s="48"/>
      <c r="H507" s="48"/>
      <c r="I507" s="50"/>
      <c r="J507" s="48"/>
      <c r="K507" s="48"/>
      <c r="L507" s="48"/>
      <c r="M507" s="48"/>
      <c r="N507" s="48"/>
      <c r="O507" s="48"/>
      <c r="P507" s="48"/>
      <c r="Q507" s="48"/>
      <c r="R507" s="48"/>
      <c r="S507" s="52"/>
      <c r="T507" s="48"/>
    </row>
    <row r="508" spans="1:20" ht="15.75" x14ac:dyDescent="0.25">
      <c r="A508" s="10"/>
      <c r="B508" s="10"/>
      <c r="C508" s="48"/>
      <c r="D508" s="49"/>
      <c r="E508" s="48"/>
      <c r="F508" s="48"/>
      <c r="G508" s="48"/>
      <c r="H508" s="48"/>
      <c r="I508" s="50"/>
      <c r="J508" s="48"/>
      <c r="K508" s="48"/>
      <c r="L508" s="48"/>
      <c r="M508" s="48"/>
      <c r="N508" s="48"/>
      <c r="O508" s="48"/>
      <c r="P508" s="48"/>
      <c r="Q508" s="48"/>
      <c r="R508" s="48"/>
      <c r="S508" s="52"/>
      <c r="T508" s="48"/>
    </row>
    <row r="509" spans="1:20" ht="15.75" x14ac:dyDescent="0.25">
      <c r="A509" s="10"/>
      <c r="B509" s="10"/>
      <c r="C509" s="48"/>
      <c r="D509" s="49"/>
      <c r="E509" s="48"/>
      <c r="F509" s="48"/>
      <c r="G509" s="48"/>
      <c r="H509" s="48"/>
      <c r="I509" s="50"/>
      <c r="J509" s="48"/>
      <c r="K509" s="48"/>
      <c r="L509" s="48"/>
      <c r="M509" s="48"/>
      <c r="N509" s="48"/>
      <c r="O509" s="48"/>
      <c r="P509" s="48"/>
      <c r="Q509" s="48"/>
      <c r="R509" s="48"/>
      <c r="S509" s="52"/>
      <c r="T509" s="48"/>
    </row>
    <row r="510" spans="1:20" ht="15.75" x14ac:dyDescent="0.25">
      <c r="A510" s="10"/>
      <c r="B510" s="10"/>
      <c r="C510" s="48"/>
      <c r="D510" s="49"/>
      <c r="E510" s="48"/>
      <c r="F510" s="48"/>
      <c r="G510" s="48"/>
      <c r="H510" s="48"/>
      <c r="I510" s="50"/>
      <c r="J510" s="48"/>
      <c r="K510" s="48"/>
      <c r="L510" s="48"/>
      <c r="M510" s="48"/>
      <c r="N510" s="48"/>
      <c r="O510" s="48"/>
      <c r="P510" s="48"/>
      <c r="Q510" s="48"/>
      <c r="R510" s="48"/>
      <c r="S510" s="52"/>
      <c r="T510" s="48"/>
    </row>
    <row r="511" spans="1:20" ht="15.75" x14ac:dyDescent="0.25">
      <c r="A511" s="10"/>
      <c r="B511" s="10"/>
      <c r="C511" s="48"/>
      <c r="D511" s="49"/>
      <c r="E511" s="48"/>
      <c r="F511" s="48"/>
      <c r="G511" s="48"/>
      <c r="H511" s="48"/>
      <c r="I511" s="50"/>
      <c r="J511" s="48"/>
      <c r="K511" s="48"/>
      <c r="L511" s="48"/>
      <c r="M511" s="48"/>
      <c r="N511" s="48"/>
      <c r="O511" s="48"/>
      <c r="P511" s="48"/>
      <c r="Q511" s="48"/>
      <c r="R511" s="48"/>
      <c r="S511" s="52"/>
      <c r="T511" s="48"/>
    </row>
    <row r="512" spans="1:20" ht="15.75" x14ac:dyDescent="0.25">
      <c r="A512" s="10"/>
      <c r="B512" s="10"/>
      <c r="C512" s="48"/>
      <c r="D512" s="49"/>
      <c r="E512" s="48"/>
      <c r="F512" s="48"/>
      <c r="G512" s="48"/>
      <c r="H512" s="48"/>
      <c r="I512" s="50"/>
      <c r="J512" s="48"/>
      <c r="K512" s="48"/>
      <c r="L512" s="48"/>
      <c r="M512" s="48"/>
      <c r="N512" s="48"/>
      <c r="O512" s="48"/>
      <c r="P512" s="48"/>
      <c r="Q512" s="48"/>
      <c r="R512" s="48"/>
      <c r="S512" s="52"/>
      <c r="T512" s="48"/>
    </row>
    <row r="513" spans="1:20" ht="15.75" x14ac:dyDescent="0.25">
      <c r="A513" s="10"/>
      <c r="B513" s="10"/>
      <c r="C513" s="48"/>
      <c r="D513" s="49"/>
      <c r="E513" s="48"/>
      <c r="F513" s="48"/>
      <c r="G513" s="48"/>
      <c r="H513" s="48"/>
      <c r="I513" s="50"/>
      <c r="J513" s="48"/>
      <c r="K513" s="48"/>
      <c r="L513" s="48"/>
      <c r="M513" s="48"/>
      <c r="N513" s="48"/>
      <c r="O513" s="48"/>
      <c r="P513" s="48"/>
      <c r="Q513" s="48"/>
      <c r="R513" s="48"/>
      <c r="S513" s="52"/>
      <c r="T513" s="48"/>
    </row>
    <row r="514" spans="1:20" ht="15.75" x14ac:dyDescent="0.25">
      <c r="A514" s="10"/>
      <c r="B514" s="10"/>
      <c r="C514" s="48"/>
      <c r="D514" s="49"/>
      <c r="E514" s="48"/>
      <c r="F514" s="48"/>
      <c r="G514" s="48"/>
      <c r="H514" s="48"/>
      <c r="I514" s="50"/>
      <c r="J514" s="48"/>
      <c r="K514" s="48"/>
      <c r="L514" s="48"/>
      <c r="M514" s="48"/>
      <c r="N514" s="48"/>
      <c r="O514" s="48"/>
      <c r="P514" s="48"/>
      <c r="Q514" s="48"/>
      <c r="R514" s="48"/>
      <c r="S514" s="52"/>
      <c r="T514" s="48"/>
    </row>
    <row r="515" spans="1:20" ht="15.75" x14ac:dyDescent="0.25">
      <c r="A515" s="10"/>
      <c r="B515" s="10"/>
      <c r="C515" s="48"/>
      <c r="D515" s="49"/>
      <c r="E515" s="48"/>
      <c r="F515" s="48"/>
      <c r="G515" s="48"/>
      <c r="H515" s="48"/>
      <c r="I515" s="50"/>
      <c r="J515" s="48"/>
      <c r="K515" s="48"/>
      <c r="L515" s="48"/>
      <c r="M515" s="48"/>
      <c r="N515" s="48"/>
      <c r="O515" s="48"/>
      <c r="P515" s="48"/>
      <c r="Q515" s="48"/>
      <c r="R515" s="48"/>
      <c r="S515" s="52"/>
      <c r="T515" s="48"/>
    </row>
    <row r="516" spans="1:20" ht="15.75" x14ac:dyDescent="0.25">
      <c r="A516" s="10"/>
      <c r="B516" s="10"/>
      <c r="C516" s="48"/>
      <c r="D516" s="49"/>
      <c r="E516" s="48"/>
      <c r="F516" s="48"/>
      <c r="G516" s="48"/>
      <c r="H516" s="48"/>
      <c r="I516" s="50"/>
      <c r="J516" s="48"/>
      <c r="K516" s="48"/>
      <c r="L516" s="48"/>
      <c r="M516" s="48"/>
      <c r="N516" s="48"/>
      <c r="O516" s="48"/>
      <c r="P516" s="48"/>
      <c r="Q516" s="48"/>
      <c r="R516" s="48"/>
      <c r="S516" s="52"/>
      <c r="T516" s="48"/>
    </row>
    <row r="517" spans="1:20" ht="15.75" x14ac:dyDescent="0.25">
      <c r="A517" s="10"/>
      <c r="B517" s="10"/>
      <c r="C517" s="48"/>
      <c r="D517" s="49"/>
      <c r="E517" s="48"/>
      <c r="F517" s="48"/>
      <c r="G517" s="48"/>
      <c r="H517" s="48"/>
      <c r="I517" s="50"/>
      <c r="J517" s="48"/>
      <c r="K517" s="48"/>
      <c r="L517" s="48"/>
      <c r="M517" s="48"/>
      <c r="N517" s="48"/>
      <c r="O517" s="48"/>
      <c r="P517" s="48"/>
      <c r="Q517" s="48"/>
      <c r="R517" s="48"/>
      <c r="S517" s="52"/>
      <c r="T517" s="48"/>
    </row>
    <row r="518" spans="1:20" ht="15.75" x14ac:dyDescent="0.25">
      <c r="A518" s="10"/>
      <c r="B518" s="10"/>
      <c r="C518" s="48"/>
      <c r="D518" s="49"/>
      <c r="E518" s="48"/>
      <c r="F518" s="48"/>
      <c r="G518" s="48"/>
      <c r="H518" s="48"/>
      <c r="I518" s="50"/>
      <c r="J518" s="48"/>
      <c r="K518" s="48"/>
      <c r="L518" s="48"/>
      <c r="M518" s="48"/>
      <c r="N518" s="48"/>
      <c r="O518" s="48"/>
      <c r="P518" s="48"/>
      <c r="Q518" s="48"/>
      <c r="R518" s="48"/>
      <c r="S518" s="52"/>
      <c r="T518" s="48"/>
    </row>
    <row r="519" spans="1:20" ht="15.75" x14ac:dyDescent="0.25">
      <c r="A519" s="10"/>
      <c r="B519" s="10"/>
      <c r="C519" s="48"/>
      <c r="D519" s="49"/>
      <c r="E519" s="48"/>
      <c r="F519" s="48"/>
      <c r="G519" s="48"/>
      <c r="H519" s="48"/>
      <c r="I519" s="50"/>
      <c r="J519" s="48"/>
      <c r="K519" s="48"/>
      <c r="L519" s="48"/>
      <c r="M519" s="48"/>
      <c r="N519" s="48"/>
      <c r="O519" s="48"/>
      <c r="P519" s="48"/>
      <c r="Q519" s="48"/>
      <c r="R519" s="48"/>
      <c r="S519" s="52"/>
      <c r="T519" s="48"/>
    </row>
    <row r="520" spans="1:20" ht="15.75" x14ac:dyDescent="0.25">
      <c r="A520" s="10"/>
      <c r="B520" s="10"/>
      <c r="C520" s="48"/>
      <c r="D520" s="49"/>
      <c r="E520" s="48"/>
      <c r="F520" s="48"/>
      <c r="G520" s="48"/>
      <c r="H520" s="48"/>
      <c r="I520" s="50"/>
      <c r="J520" s="48"/>
      <c r="K520" s="48"/>
      <c r="L520" s="48"/>
      <c r="M520" s="48"/>
      <c r="N520" s="48"/>
      <c r="O520" s="48"/>
      <c r="P520" s="48"/>
      <c r="Q520" s="48"/>
      <c r="R520" s="48"/>
      <c r="S520" s="52"/>
      <c r="T520" s="48"/>
    </row>
    <row r="521" spans="1:20" ht="15.75" x14ac:dyDescent="0.25">
      <c r="A521" s="10"/>
      <c r="B521" s="10"/>
      <c r="C521" s="48"/>
      <c r="D521" s="49"/>
      <c r="E521" s="48"/>
      <c r="F521" s="48"/>
      <c r="G521" s="48"/>
      <c r="H521" s="48"/>
      <c r="I521" s="50"/>
      <c r="J521" s="48"/>
      <c r="K521" s="48"/>
      <c r="L521" s="48"/>
      <c r="M521" s="48"/>
      <c r="N521" s="48"/>
      <c r="O521" s="48"/>
      <c r="P521" s="48"/>
      <c r="Q521" s="48"/>
      <c r="R521" s="48"/>
      <c r="S521" s="52"/>
      <c r="T521" s="48"/>
    </row>
    <row r="522" spans="1:20" ht="15.75" x14ac:dyDescent="0.25">
      <c r="A522" s="10"/>
      <c r="B522" s="10"/>
      <c r="C522" s="48"/>
      <c r="D522" s="49"/>
      <c r="E522" s="48"/>
      <c r="F522" s="48"/>
      <c r="G522" s="48"/>
      <c r="H522" s="48"/>
      <c r="I522" s="50"/>
      <c r="J522" s="48"/>
      <c r="K522" s="48"/>
      <c r="L522" s="48"/>
      <c r="M522" s="48"/>
      <c r="N522" s="48"/>
      <c r="O522" s="48"/>
      <c r="P522" s="48"/>
      <c r="Q522" s="48"/>
      <c r="R522" s="48"/>
      <c r="S522" s="52"/>
      <c r="T522" s="48"/>
    </row>
    <row r="523" spans="1:20" ht="15.75" x14ac:dyDescent="0.25">
      <c r="A523" s="10"/>
      <c r="B523" s="10"/>
      <c r="C523" s="48"/>
      <c r="D523" s="49"/>
      <c r="E523" s="48"/>
      <c r="F523" s="48"/>
      <c r="G523" s="48"/>
      <c r="H523" s="48"/>
      <c r="I523" s="50"/>
      <c r="J523" s="48"/>
      <c r="K523" s="48"/>
      <c r="L523" s="48"/>
      <c r="M523" s="48"/>
      <c r="N523" s="48"/>
      <c r="O523" s="48"/>
      <c r="P523" s="48"/>
      <c r="Q523" s="48"/>
      <c r="R523" s="48"/>
      <c r="S523" s="52"/>
      <c r="T523" s="48"/>
    </row>
    <row r="524" spans="1:20" ht="15.75" x14ac:dyDescent="0.25">
      <c r="A524" s="10"/>
      <c r="B524" s="10"/>
      <c r="C524" s="48"/>
      <c r="D524" s="49"/>
      <c r="E524" s="48"/>
      <c r="F524" s="48"/>
      <c r="G524" s="48"/>
      <c r="H524" s="48"/>
      <c r="I524" s="50"/>
      <c r="J524" s="48"/>
      <c r="K524" s="48"/>
      <c r="L524" s="48"/>
      <c r="M524" s="48"/>
      <c r="N524" s="48"/>
      <c r="O524" s="48"/>
      <c r="P524" s="48"/>
      <c r="Q524" s="48"/>
      <c r="R524" s="48"/>
      <c r="S524" s="52"/>
      <c r="T524" s="48"/>
    </row>
    <row r="525" spans="1:20" ht="15.75" x14ac:dyDescent="0.25">
      <c r="A525" s="10"/>
      <c r="B525" s="10"/>
      <c r="C525" s="48"/>
      <c r="D525" s="49"/>
      <c r="E525" s="48"/>
      <c r="F525" s="48"/>
      <c r="G525" s="48"/>
      <c r="H525" s="48"/>
      <c r="I525" s="50"/>
      <c r="J525" s="48"/>
      <c r="K525" s="48"/>
      <c r="L525" s="48"/>
      <c r="M525" s="48"/>
      <c r="N525" s="48"/>
      <c r="O525" s="48"/>
      <c r="P525" s="48"/>
      <c r="Q525" s="48"/>
      <c r="R525" s="48"/>
      <c r="S525" s="52"/>
      <c r="T525" s="48"/>
    </row>
    <row r="526" spans="1:20" ht="15.75" x14ac:dyDescent="0.25">
      <c r="A526" s="10"/>
      <c r="B526" s="10"/>
      <c r="C526" s="48"/>
      <c r="D526" s="49"/>
      <c r="E526" s="48"/>
      <c r="F526" s="48"/>
      <c r="G526" s="48"/>
      <c r="H526" s="48"/>
      <c r="I526" s="50"/>
      <c r="J526" s="48"/>
      <c r="K526" s="48"/>
      <c r="L526" s="48"/>
      <c r="M526" s="48"/>
      <c r="N526" s="48"/>
      <c r="O526" s="48"/>
      <c r="P526" s="48"/>
      <c r="Q526" s="48"/>
      <c r="R526" s="48"/>
      <c r="S526" s="52"/>
      <c r="T526" s="48"/>
    </row>
    <row r="527" spans="1:20" ht="15.75" x14ac:dyDescent="0.25">
      <c r="A527" s="10"/>
      <c r="B527" s="10"/>
      <c r="C527" s="48"/>
      <c r="D527" s="49"/>
      <c r="E527" s="48"/>
      <c r="F527" s="48"/>
      <c r="G527" s="48"/>
      <c r="H527" s="48"/>
      <c r="I527" s="50"/>
      <c r="J527" s="48"/>
      <c r="K527" s="48"/>
      <c r="L527" s="48"/>
      <c r="M527" s="48"/>
      <c r="N527" s="48"/>
      <c r="O527" s="48"/>
      <c r="P527" s="48"/>
      <c r="Q527" s="48"/>
      <c r="R527" s="48"/>
      <c r="S527" s="52"/>
      <c r="T527" s="48"/>
    </row>
    <row r="528" spans="1:20" ht="15.75" x14ac:dyDescent="0.25">
      <c r="A528" s="10"/>
      <c r="B528" s="10"/>
      <c r="C528" s="48"/>
      <c r="D528" s="49"/>
      <c r="E528" s="48"/>
      <c r="F528" s="48"/>
      <c r="G528" s="48"/>
      <c r="H528" s="48"/>
      <c r="I528" s="50"/>
      <c r="J528" s="48"/>
      <c r="K528" s="48"/>
      <c r="L528" s="48"/>
      <c r="M528" s="48"/>
      <c r="N528" s="48"/>
      <c r="O528" s="48"/>
      <c r="P528" s="48"/>
      <c r="Q528" s="48"/>
      <c r="R528" s="48"/>
      <c r="S528" s="52"/>
      <c r="T528" s="48"/>
    </row>
    <row r="529" spans="1:20" ht="15.75" x14ac:dyDescent="0.25">
      <c r="A529" s="10"/>
      <c r="B529" s="10"/>
      <c r="C529" s="48"/>
      <c r="D529" s="49"/>
      <c r="E529" s="48"/>
      <c r="F529" s="48"/>
      <c r="G529" s="48"/>
      <c r="H529" s="48"/>
      <c r="I529" s="50"/>
      <c r="J529" s="48"/>
      <c r="K529" s="48"/>
      <c r="L529" s="48"/>
      <c r="M529" s="48"/>
      <c r="N529" s="48"/>
      <c r="O529" s="48"/>
      <c r="P529" s="48"/>
      <c r="Q529" s="48"/>
      <c r="R529" s="48"/>
      <c r="S529" s="52"/>
      <c r="T529" s="48"/>
    </row>
    <row r="530" spans="1:20" ht="15.75" x14ac:dyDescent="0.25">
      <c r="A530" s="10"/>
      <c r="B530" s="10"/>
      <c r="C530" s="48"/>
      <c r="D530" s="49"/>
      <c r="E530" s="48"/>
      <c r="F530" s="48"/>
      <c r="G530" s="48"/>
      <c r="H530" s="48"/>
      <c r="I530" s="50"/>
      <c r="J530" s="48"/>
      <c r="K530" s="48"/>
      <c r="L530" s="48"/>
      <c r="M530" s="48"/>
      <c r="N530" s="48"/>
      <c r="O530" s="48"/>
      <c r="P530" s="48"/>
      <c r="Q530" s="48"/>
      <c r="R530" s="48"/>
      <c r="S530" s="52"/>
      <c r="T530" s="48"/>
    </row>
    <row r="531" spans="1:20" ht="15.75" x14ac:dyDescent="0.25">
      <c r="A531" s="10"/>
      <c r="B531" s="10"/>
      <c r="C531" s="48"/>
      <c r="D531" s="49"/>
      <c r="E531" s="48"/>
      <c r="F531" s="48"/>
      <c r="G531" s="48"/>
      <c r="H531" s="48"/>
      <c r="I531" s="50"/>
      <c r="J531" s="48"/>
      <c r="K531" s="48"/>
      <c r="L531" s="48"/>
      <c r="M531" s="48"/>
      <c r="N531" s="48"/>
      <c r="O531" s="48"/>
      <c r="P531" s="48"/>
      <c r="Q531" s="48"/>
      <c r="R531" s="48"/>
      <c r="S531" s="52"/>
      <c r="T531" s="48"/>
    </row>
    <row r="532" spans="1:20" ht="15.75" x14ac:dyDescent="0.25">
      <c r="A532" s="10"/>
      <c r="B532" s="10"/>
      <c r="C532" s="48"/>
      <c r="D532" s="49"/>
      <c r="E532" s="48"/>
      <c r="F532" s="48"/>
      <c r="G532" s="48"/>
      <c r="H532" s="48"/>
      <c r="I532" s="50"/>
      <c r="J532" s="48"/>
      <c r="K532" s="48"/>
      <c r="L532" s="48"/>
      <c r="M532" s="48"/>
      <c r="N532" s="48"/>
      <c r="O532" s="48"/>
      <c r="P532" s="48"/>
      <c r="Q532" s="48"/>
      <c r="R532" s="48"/>
      <c r="S532" s="52"/>
      <c r="T532" s="48"/>
    </row>
    <row r="533" spans="1:20" ht="15.75" x14ac:dyDescent="0.25">
      <c r="A533" s="10"/>
      <c r="B533" s="10"/>
      <c r="C533" s="48"/>
      <c r="D533" s="49"/>
      <c r="E533" s="48"/>
      <c r="F533" s="48"/>
      <c r="G533" s="48"/>
      <c r="H533" s="48"/>
      <c r="I533" s="50"/>
      <c r="J533" s="48"/>
      <c r="K533" s="48"/>
      <c r="L533" s="48"/>
      <c r="M533" s="48"/>
      <c r="N533" s="48"/>
      <c r="O533" s="48"/>
      <c r="P533" s="48"/>
      <c r="Q533" s="48"/>
      <c r="R533" s="48"/>
      <c r="S533" s="52"/>
      <c r="T533" s="48"/>
    </row>
    <row r="534" spans="1:20" ht="15.75" x14ac:dyDescent="0.25">
      <c r="A534" s="10"/>
      <c r="B534" s="10"/>
      <c r="C534" s="48"/>
      <c r="D534" s="49"/>
      <c r="E534" s="48"/>
      <c r="F534" s="48"/>
      <c r="G534" s="48"/>
      <c r="H534" s="48"/>
      <c r="I534" s="50"/>
      <c r="J534" s="48"/>
      <c r="K534" s="48"/>
      <c r="L534" s="48"/>
      <c r="M534" s="48"/>
      <c r="N534" s="48"/>
      <c r="O534" s="48"/>
      <c r="P534" s="48"/>
      <c r="Q534" s="48"/>
      <c r="R534" s="48"/>
      <c r="S534" s="52"/>
      <c r="T534" s="48"/>
    </row>
    <row r="535" spans="1:20" ht="15.75" x14ac:dyDescent="0.25">
      <c r="A535" s="10"/>
      <c r="B535" s="10"/>
      <c r="C535" s="48"/>
      <c r="D535" s="49"/>
      <c r="E535" s="48"/>
      <c r="F535" s="48"/>
      <c r="G535" s="48"/>
      <c r="H535" s="48"/>
      <c r="I535" s="50"/>
      <c r="J535" s="48"/>
      <c r="K535" s="48"/>
      <c r="L535" s="48"/>
      <c r="M535" s="48"/>
      <c r="N535" s="48"/>
      <c r="O535" s="48"/>
      <c r="P535" s="48"/>
      <c r="Q535" s="48"/>
      <c r="R535" s="48"/>
      <c r="S535" s="52"/>
      <c r="T535" s="48"/>
    </row>
    <row r="536" spans="1:20" ht="15.75" x14ac:dyDescent="0.25">
      <c r="A536" s="10"/>
      <c r="B536" s="10"/>
      <c r="C536" s="48"/>
      <c r="D536" s="49"/>
      <c r="E536" s="48"/>
      <c r="F536" s="48"/>
      <c r="G536" s="48"/>
      <c r="H536" s="48"/>
      <c r="I536" s="50"/>
      <c r="J536" s="48"/>
      <c r="K536" s="48"/>
      <c r="L536" s="48"/>
      <c r="M536" s="48"/>
      <c r="N536" s="48"/>
      <c r="O536" s="48"/>
      <c r="P536" s="48"/>
      <c r="Q536" s="48"/>
      <c r="R536" s="48"/>
      <c r="S536" s="52"/>
      <c r="T536" s="48"/>
    </row>
    <row r="537" spans="1:20" ht="15.75" x14ac:dyDescent="0.25">
      <c r="A537" s="10"/>
      <c r="B537" s="10"/>
      <c r="C537" s="48"/>
      <c r="D537" s="49"/>
      <c r="E537" s="48"/>
      <c r="F537" s="48"/>
      <c r="G537" s="48"/>
      <c r="H537" s="48"/>
      <c r="I537" s="50"/>
      <c r="J537" s="48"/>
      <c r="K537" s="48"/>
      <c r="L537" s="48"/>
      <c r="M537" s="48"/>
      <c r="N537" s="48"/>
      <c r="O537" s="48"/>
      <c r="P537" s="48"/>
      <c r="Q537" s="48"/>
      <c r="R537" s="48"/>
      <c r="S537" s="52"/>
      <c r="T537" s="48"/>
    </row>
    <row r="538" spans="1:20" ht="15.75" x14ac:dyDescent="0.25">
      <c r="A538" s="10"/>
      <c r="B538" s="10"/>
      <c r="C538" s="48"/>
      <c r="D538" s="49"/>
      <c r="E538" s="48"/>
      <c r="F538" s="48"/>
      <c r="G538" s="48"/>
      <c r="H538" s="48"/>
      <c r="I538" s="50"/>
      <c r="J538" s="48"/>
      <c r="K538" s="48"/>
      <c r="L538" s="48"/>
      <c r="M538" s="48"/>
      <c r="N538" s="48"/>
      <c r="O538" s="48"/>
      <c r="P538" s="48"/>
      <c r="Q538" s="48"/>
      <c r="R538" s="48"/>
      <c r="S538" s="52"/>
      <c r="T538" s="48"/>
    </row>
    <row r="539" spans="1:20" ht="15.75" x14ac:dyDescent="0.25">
      <c r="A539" s="10"/>
      <c r="B539" s="10"/>
      <c r="C539" s="48"/>
      <c r="D539" s="49"/>
      <c r="E539" s="48"/>
      <c r="F539" s="48"/>
      <c r="G539" s="48"/>
      <c r="H539" s="48"/>
      <c r="I539" s="50"/>
      <c r="J539" s="48"/>
      <c r="K539" s="48"/>
      <c r="L539" s="48"/>
      <c r="M539" s="48"/>
      <c r="N539" s="48"/>
      <c r="O539" s="48"/>
      <c r="P539" s="48"/>
      <c r="Q539" s="48"/>
      <c r="R539" s="48"/>
      <c r="S539" s="52"/>
      <c r="T539" s="48"/>
    </row>
    <row r="540" spans="1:20" ht="15.75" x14ac:dyDescent="0.25">
      <c r="A540" s="10"/>
      <c r="B540" s="10"/>
      <c r="C540" s="48"/>
      <c r="D540" s="49"/>
      <c r="E540" s="48"/>
      <c r="F540" s="48"/>
      <c r="G540" s="48"/>
      <c r="H540" s="48"/>
      <c r="I540" s="50"/>
      <c r="J540" s="48"/>
      <c r="K540" s="48"/>
      <c r="L540" s="48"/>
      <c r="M540" s="48"/>
      <c r="N540" s="48"/>
      <c r="O540" s="48"/>
      <c r="P540" s="48"/>
      <c r="Q540" s="48"/>
      <c r="R540" s="48"/>
      <c r="S540" s="52"/>
      <c r="T540" s="48"/>
    </row>
    <row r="541" spans="1:20" ht="15.75" x14ac:dyDescent="0.25">
      <c r="A541" s="10"/>
      <c r="B541" s="10"/>
      <c r="C541" s="48"/>
      <c r="D541" s="49"/>
      <c r="E541" s="48"/>
      <c r="F541" s="48"/>
      <c r="G541" s="48"/>
      <c r="H541" s="48"/>
      <c r="I541" s="50"/>
      <c r="J541" s="48"/>
      <c r="K541" s="48"/>
      <c r="L541" s="48"/>
      <c r="M541" s="48"/>
      <c r="N541" s="48"/>
      <c r="O541" s="48"/>
      <c r="P541" s="48"/>
      <c r="Q541" s="48"/>
      <c r="R541" s="48"/>
      <c r="S541" s="52"/>
      <c r="T541" s="48"/>
    </row>
    <row r="542" spans="1:20" ht="15.75" x14ac:dyDescent="0.25">
      <c r="A542" s="10"/>
      <c r="B542" s="10"/>
      <c r="C542" s="48"/>
      <c r="D542" s="49"/>
      <c r="E542" s="48"/>
      <c r="F542" s="48"/>
      <c r="G542" s="48"/>
      <c r="H542" s="48"/>
      <c r="I542" s="50"/>
      <c r="J542" s="48"/>
      <c r="K542" s="48"/>
      <c r="L542" s="48"/>
      <c r="M542" s="48"/>
      <c r="N542" s="48"/>
      <c r="O542" s="48"/>
      <c r="P542" s="48"/>
      <c r="Q542" s="48"/>
      <c r="R542" s="48"/>
      <c r="S542" s="52"/>
      <c r="T542" s="48"/>
    </row>
    <row r="543" spans="1:20" ht="15.75" x14ac:dyDescent="0.25">
      <c r="A543" s="10"/>
      <c r="B543" s="10"/>
      <c r="C543" s="48"/>
      <c r="D543" s="49"/>
      <c r="E543" s="48"/>
      <c r="F543" s="48"/>
      <c r="G543" s="48"/>
      <c r="H543" s="48"/>
      <c r="I543" s="50"/>
      <c r="J543" s="48"/>
      <c r="K543" s="48"/>
      <c r="L543" s="48"/>
      <c r="M543" s="48"/>
      <c r="N543" s="48"/>
      <c r="O543" s="48"/>
      <c r="P543" s="48"/>
      <c r="Q543" s="48"/>
      <c r="R543" s="48"/>
      <c r="S543" s="52"/>
      <c r="T543" s="48"/>
    </row>
    <row r="544" spans="1:20" ht="15.75" x14ac:dyDescent="0.25">
      <c r="A544" s="10"/>
      <c r="B544" s="10"/>
      <c r="C544" s="48"/>
      <c r="D544" s="49"/>
      <c r="E544" s="48"/>
      <c r="F544" s="48"/>
      <c r="G544" s="48"/>
      <c r="H544" s="48"/>
      <c r="I544" s="50"/>
      <c r="J544" s="48"/>
      <c r="K544" s="48"/>
      <c r="L544" s="48"/>
      <c r="M544" s="48"/>
      <c r="N544" s="48"/>
      <c r="O544" s="48"/>
      <c r="P544" s="48"/>
      <c r="Q544" s="48"/>
      <c r="R544" s="48"/>
      <c r="S544" s="52"/>
      <c r="T544" s="48"/>
    </row>
    <row r="545" spans="1:20" ht="15.75" x14ac:dyDescent="0.25">
      <c r="A545" s="10"/>
      <c r="B545" s="10"/>
      <c r="C545" s="48"/>
      <c r="D545" s="49"/>
      <c r="E545" s="48"/>
      <c r="F545" s="48"/>
      <c r="G545" s="48"/>
      <c r="H545" s="48"/>
      <c r="I545" s="50"/>
      <c r="J545" s="48"/>
      <c r="K545" s="48"/>
      <c r="L545" s="48"/>
      <c r="M545" s="48"/>
      <c r="N545" s="48"/>
      <c r="O545" s="48"/>
      <c r="P545" s="48"/>
      <c r="Q545" s="48"/>
      <c r="R545" s="48"/>
      <c r="S545" s="52"/>
      <c r="T545" s="48"/>
    </row>
    <row r="546" spans="1:20" ht="15.75" x14ac:dyDescent="0.25">
      <c r="A546" s="10"/>
      <c r="B546" s="10"/>
      <c r="C546" s="48"/>
      <c r="D546" s="49"/>
      <c r="E546" s="48"/>
      <c r="F546" s="48"/>
      <c r="G546" s="48"/>
      <c r="H546" s="48"/>
      <c r="I546" s="50"/>
      <c r="J546" s="48"/>
      <c r="K546" s="48"/>
      <c r="L546" s="48"/>
      <c r="M546" s="48"/>
      <c r="N546" s="48"/>
      <c r="O546" s="48"/>
      <c r="P546" s="48"/>
      <c r="Q546" s="48"/>
      <c r="R546" s="48"/>
      <c r="S546" s="52"/>
      <c r="T546" s="48"/>
    </row>
    <row r="547" spans="1:20" ht="15.75" x14ac:dyDescent="0.25">
      <c r="A547" s="10"/>
      <c r="B547" s="10"/>
      <c r="C547" s="48"/>
      <c r="D547" s="49"/>
      <c r="E547" s="48"/>
      <c r="F547" s="48"/>
      <c r="G547" s="48"/>
      <c r="H547" s="48"/>
      <c r="I547" s="50"/>
      <c r="J547" s="48"/>
      <c r="K547" s="48"/>
      <c r="L547" s="48"/>
      <c r="M547" s="48"/>
      <c r="N547" s="48"/>
      <c r="O547" s="48"/>
      <c r="P547" s="48"/>
      <c r="Q547" s="48"/>
      <c r="R547" s="48"/>
      <c r="S547" s="52"/>
      <c r="T547" s="48"/>
    </row>
    <row r="548" spans="1:20" ht="15.75" x14ac:dyDescent="0.25">
      <c r="A548" s="10"/>
      <c r="B548" s="10"/>
      <c r="C548" s="48"/>
      <c r="D548" s="49"/>
      <c r="E548" s="48"/>
      <c r="F548" s="48"/>
      <c r="G548" s="48"/>
      <c r="H548" s="48"/>
      <c r="I548" s="50"/>
      <c r="J548" s="48"/>
      <c r="K548" s="48"/>
      <c r="L548" s="48"/>
      <c r="M548" s="48"/>
      <c r="N548" s="48"/>
      <c r="O548" s="48"/>
      <c r="P548" s="48"/>
      <c r="Q548" s="48"/>
      <c r="R548" s="48"/>
      <c r="S548" s="52"/>
      <c r="T548" s="48"/>
    </row>
    <row r="549" spans="1:20" ht="15.75" x14ac:dyDescent="0.25">
      <c r="A549" s="10"/>
      <c r="B549" s="10"/>
      <c r="C549" s="48"/>
      <c r="D549" s="49"/>
      <c r="E549" s="48"/>
      <c r="F549" s="48"/>
      <c r="G549" s="48"/>
      <c r="H549" s="48"/>
      <c r="I549" s="50"/>
      <c r="J549" s="48"/>
      <c r="K549" s="48"/>
      <c r="L549" s="48"/>
      <c r="M549" s="48"/>
      <c r="N549" s="48"/>
      <c r="O549" s="48"/>
      <c r="P549" s="48"/>
      <c r="Q549" s="48"/>
      <c r="R549" s="48"/>
      <c r="S549" s="52"/>
      <c r="T549" s="48"/>
    </row>
    <row r="550" spans="1:20" ht="15.75" x14ac:dyDescent="0.25">
      <c r="A550" s="10"/>
      <c r="B550" s="10"/>
      <c r="C550" s="48"/>
      <c r="D550" s="49"/>
      <c r="E550" s="48"/>
      <c r="F550" s="48"/>
      <c r="G550" s="48"/>
      <c r="H550" s="48"/>
      <c r="I550" s="50"/>
      <c r="J550" s="48"/>
      <c r="K550" s="48"/>
      <c r="L550" s="48"/>
      <c r="M550" s="48"/>
      <c r="N550" s="48"/>
      <c r="O550" s="48"/>
      <c r="P550" s="48"/>
      <c r="Q550" s="48"/>
      <c r="R550" s="48"/>
      <c r="S550" s="52"/>
      <c r="T550" s="48"/>
    </row>
    <row r="551" spans="1:20" ht="15.75" x14ac:dyDescent="0.25">
      <c r="A551" s="10"/>
      <c r="B551" s="10"/>
      <c r="C551" s="48"/>
      <c r="D551" s="49"/>
      <c r="E551" s="48"/>
      <c r="F551" s="48"/>
      <c r="G551" s="48"/>
      <c r="H551" s="48"/>
      <c r="I551" s="50"/>
      <c r="J551" s="48"/>
      <c r="K551" s="48"/>
      <c r="L551" s="48"/>
      <c r="M551" s="48"/>
      <c r="N551" s="48"/>
      <c r="O551" s="48"/>
      <c r="P551" s="48"/>
      <c r="Q551" s="48"/>
      <c r="R551" s="48"/>
      <c r="S551" s="52"/>
      <c r="T551" s="48"/>
    </row>
    <row r="552" spans="1:20" ht="15.75" x14ac:dyDescent="0.25">
      <c r="A552" s="10"/>
      <c r="B552" s="10"/>
      <c r="C552" s="48"/>
      <c r="D552" s="49"/>
      <c r="E552" s="48"/>
      <c r="F552" s="48"/>
      <c r="G552" s="48"/>
      <c r="H552" s="48"/>
      <c r="I552" s="50"/>
      <c r="J552" s="48"/>
      <c r="K552" s="48"/>
      <c r="L552" s="48"/>
      <c r="M552" s="48"/>
      <c r="N552" s="48"/>
      <c r="O552" s="48"/>
      <c r="P552" s="48"/>
      <c r="Q552" s="48"/>
      <c r="R552" s="48"/>
      <c r="S552" s="52"/>
      <c r="T552" s="48"/>
    </row>
    <row r="553" spans="1:20" ht="15.75" x14ac:dyDescent="0.25">
      <c r="A553" s="10"/>
      <c r="B553" s="10"/>
      <c r="C553" s="48"/>
      <c r="D553" s="49"/>
      <c r="E553" s="48"/>
      <c r="F553" s="48"/>
      <c r="G553" s="48"/>
      <c r="H553" s="48"/>
      <c r="I553" s="50"/>
      <c r="J553" s="48"/>
      <c r="K553" s="48"/>
      <c r="L553" s="48"/>
      <c r="M553" s="48"/>
      <c r="N553" s="48"/>
      <c r="O553" s="48"/>
      <c r="P553" s="48"/>
      <c r="Q553" s="48"/>
      <c r="R553" s="48"/>
      <c r="S553" s="52"/>
      <c r="T553" s="48"/>
    </row>
    <row r="554" spans="1:20" ht="15.75" x14ac:dyDescent="0.25">
      <c r="A554" s="10"/>
      <c r="B554" s="10"/>
      <c r="C554" s="48"/>
      <c r="D554" s="49"/>
      <c r="E554" s="48"/>
      <c r="F554" s="48"/>
      <c r="G554" s="48"/>
      <c r="H554" s="48"/>
      <c r="I554" s="50"/>
      <c r="J554" s="48"/>
      <c r="K554" s="48"/>
      <c r="L554" s="48"/>
      <c r="M554" s="48"/>
      <c r="N554" s="48"/>
      <c r="O554" s="48"/>
      <c r="P554" s="48"/>
      <c r="Q554" s="48"/>
      <c r="R554" s="48"/>
      <c r="S554" s="52"/>
      <c r="T554" s="48"/>
    </row>
    <row r="555" spans="1:20" ht="15.75" x14ac:dyDescent="0.25">
      <c r="A555" s="10"/>
      <c r="B555" s="10"/>
      <c r="C555" s="48"/>
      <c r="D555" s="49"/>
      <c r="E555" s="48"/>
      <c r="F555" s="48"/>
      <c r="G555" s="48"/>
      <c r="H555" s="48"/>
      <c r="I555" s="50"/>
      <c r="J555" s="48"/>
      <c r="K555" s="48"/>
      <c r="L555" s="48"/>
      <c r="M555" s="48"/>
      <c r="N555" s="48"/>
      <c r="O555" s="48"/>
      <c r="P555" s="48"/>
      <c r="Q555" s="48"/>
      <c r="R555" s="48"/>
      <c r="S555" s="52"/>
      <c r="T555" s="48"/>
    </row>
    <row r="556" spans="1:20" ht="15.75" x14ac:dyDescent="0.25">
      <c r="A556" s="10"/>
      <c r="B556" s="10"/>
      <c r="C556" s="48"/>
      <c r="D556" s="49"/>
      <c r="E556" s="48"/>
      <c r="F556" s="48"/>
      <c r="G556" s="48"/>
      <c r="H556" s="48"/>
      <c r="I556" s="50"/>
      <c r="J556" s="48"/>
      <c r="K556" s="48"/>
      <c r="L556" s="48"/>
      <c r="M556" s="48"/>
      <c r="N556" s="48"/>
      <c r="O556" s="48"/>
      <c r="P556" s="48"/>
      <c r="Q556" s="48"/>
      <c r="R556" s="48"/>
      <c r="S556" s="52"/>
      <c r="T556" s="48"/>
    </row>
    <row r="557" spans="1:20" ht="15.75" x14ac:dyDescent="0.25">
      <c r="A557" s="10"/>
      <c r="B557" s="10"/>
      <c r="C557" s="48"/>
      <c r="D557" s="49"/>
      <c r="E557" s="48"/>
      <c r="F557" s="48"/>
      <c r="G557" s="48"/>
      <c r="H557" s="48"/>
      <c r="I557" s="50"/>
      <c r="J557" s="48"/>
      <c r="K557" s="48"/>
      <c r="L557" s="48"/>
      <c r="M557" s="48"/>
      <c r="N557" s="48"/>
      <c r="O557" s="48"/>
      <c r="P557" s="48"/>
      <c r="Q557" s="48"/>
      <c r="R557" s="48"/>
      <c r="S557" s="52"/>
      <c r="T557" s="48"/>
    </row>
    <row r="558" spans="1:20" ht="15.75" x14ac:dyDescent="0.25">
      <c r="A558" s="10"/>
      <c r="B558" s="10"/>
      <c r="C558" s="48"/>
      <c r="D558" s="49"/>
      <c r="E558" s="48"/>
      <c r="F558" s="48"/>
      <c r="G558" s="48"/>
      <c r="H558" s="48"/>
      <c r="I558" s="50"/>
      <c r="J558" s="48"/>
      <c r="K558" s="48"/>
      <c r="L558" s="48"/>
      <c r="M558" s="48"/>
      <c r="N558" s="48"/>
      <c r="O558" s="48"/>
      <c r="P558" s="48"/>
      <c r="Q558" s="48"/>
      <c r="R558" s="48"/>
      <c r="S558" s="52"/>
      <c r="T558" s="48"/>
    </row>
    <row r="559" spans="1:20" ht="15.75" x14ac:dyDescent="0.25">
      <c r="A559" s="10"/>
      <c r="B559" s="10"/>
      <c r="C559" s="48"/>
      <c r="D559" s="49"/>
      <c r="E559" s="48"/>
      <c r="F559" s="48"/>
      <c r="G559" s="48"/>
      <c r="H559" s="48"/>
      <c r="I559" s="50"/>
      <c r="J559" s="48"/>
      <c r="K559" s="48"/>
      <c r="L559" s="48"/>
      <c r="M559" s="48"/>
      <c r="N559" s="48"/>
      <c r="O559" s="48"/>
      <c r="P559" s="48"/>
      <c r="Q559" s="48"/>
      <c r="R559" s="48"/>
      <c r="S559" s="52"/>
      <c r="T559" s="48"/>
    </row>
    <row r="560" spans="1:20" ht="15.75" x14ac:dyDescent="0.25">
      <c r="A560" s="10"/>
      <c r="B560" s="10"/>
      <c r="C560" s="48"/>
      <c r="D560" s="49"/>
      <c r="E560" s="48"/>
      <c r="F560" s="48"/>
      <c r="G560" s="48"/>
      <c r="H560" s="48"/>
      <c r="I560" s="50"/>
      <c r="J560" s="48"/>
      <c r="K560" s="48"/>
      <c r="L560" s="48"/>
      <c r="M560" s="48"/>
      <c r="N560" s="48"/>
      <c r="O560" s="48"/>
      <c r="P560" s="48"/>
      <c r="Q560" s="48"/>
      <c r="R560" s="48"/>
      <c r="S560" s="52"/>
      <c r="T560" s="48"/>
    </row>
    <row r="561" spans="1:20" ht="15.75" x14ac:dyDescent="0.25">
      <c r="A561" s="10"/>
      <c r="B561" s="10"/>
      <c r="C561" s="48"/>
      <c r="D561" s="49"/>
      <c r="E561" s="48"/>
      <c r="F561" s="48"/>
      <c r="G561" s="48"/>
      <c r="H561" s="48"/>
      <c r="I561" s="50"/>
      <c r="J561" s="48"/>
      <c r="K561" s="48"/>
      <c r="L561" s="48"/>
      <c r="M561" s="48"/>
      <c r="N561" s="48"/>
      <c r="O561" s="48"/>
      <c r="P561" s="48"/>
      <c r="Q561" s="48"/>
      <c r="R561" s="48"/>
      <c r="S561" s="52"/>
      <c r="T561" s="48"/>
    </row>
    <row r="562" spans="1:20" ht="15.75" x14ac:dyDescent="0.25">
      <c r="A562" s="10"/>
      <c r="B562" s="10"/>
      <c r="C562" s="48"/>
      <c r="D562" s="49"/>
      <c r="E562" s="48"/>
      <c r="F562" s="48"/>
      <c r="G562" s="48"/>
      <c r="H562" s="48"/>
      <c r="I562" s="50"/>
      <c r="J562" s="48"/>
      <c r="K562" s="48"/>
      <c r="L562" s="48"/>
      <c r="M562" s="48"/>
      <c r="N562" s="48"/>
      <c r="O562" s="48"/>
      <c r="P562" s="48"/>
      <c r="Q562" s="48"/>
      <c r="R562" s="48"/>
      <c r="S562" s="52"/>
      <c r="T562" s="48"/>
    </row>
    <row r="563" spans="1:20" ht="15.75" x14ac:dyDescent="0.25">
      <c r="A563" s="10"/>
      <c r="B563" s="10"/>
      <c r="C563" s="48"/>
      <c r="D563" s="49"/>
      <c r="E563" s="48"/>
      <c r="F563" s="48"/>
      <c r="G563" s="48"/>
      <c r="H563" s="48"/>
      <c r="I563" s="50"/>
      <c r="J563" s="48"/>
      <c r="K563" s="48"/>
      <c r="L563" s="48"/>
      <c r="M563" s="48"/>
      <c r="N563" s="48"/>
      <c r="O563" s="48"/>
      <c r="P563" s="48"/>
      <c r="Q563" s="48"/>
      <c r="R563" s="48"/>
      <c r="S563" s="52"/>
      <c r="T563" s="48"/>
    </row>
    <row r="564" spans="1:20" ht="15.75" x14ac:dyDescent="0.25">
      <c r="A564" s="10"/>
      <c r="B564" s="10"/>
      <c r="C564" s="48"/>
      <c r="D564" s="49"/>
      <c r="E564" s="48"/>
      <c r="F564" s="48"/>
      <c r="G564" s="48"/>
      <c r="H564" s="48"/>
      <c r="I564" s="50"/>
      <c r="J564" s="48"/>
      <c r="K564" s="48"/>
      <c r="L564" s="48"/>
      <c r="M564" s="48"/>
      <c r="N564" s="48"/>
      <c r="O564" s="48"/>
      <c r="P564" s="48"/>
      <c r="Q564" s="48"/>
      <c r="R564" s="48"/>
      <c r="S564" s="52"/>
      <c r="T564" s="48"/>
    </row>
    <row r="565" spans="1:20" ht="15.75" x14ac:dyDescent="0.25">
      <c r="A565" s="10"/>
      <c r="B565" s="10"/>
      <c r="C565" s="48"/>
      <c r="D565" s="49"/>
      <c r="E565" s="48"/>
      <c r="F565" s="48"/>
      <c r="G565" s="48"/>
      <c r="H565" s="48"/>
      <c r="I565" s="50"/>
      <c r="J565" s="48"/>
      <c r="K565" s="48"/>
      <c r="L565" s="48"/>
      <c r="M565" s="48"/>
      <c r="N565" s="48"/>
      <c r="O565" s="48"/>
      <c r="P565" s="48"/>
      <c r="Q565" s="48"/>
      <c r="R565" s="48"/>
      <c r="S565" s="52"/>
      <c r="T565" s="48"/>
    </row>
    <row r="566" spans="1:20" ht="15.75" x14ac:dyDescent="0.25">
      <c r="A566" s="10"/>
      <c r="B566" s="10"/>
      <c r="C566" s="48"/>
      <c r="D566" s="49"/>
      <c r="E566" s="48"/>
      <c r="F566" s="48"/>
      <c r="G566" s="48"/>
      <c r="H566" s="48"/>
      <c r="I566" s="50"/>
      <c r="J566" s="48"/>
      <c r="K566" s="48"/>
      <c r="L566" s="48"/>
      <c r="M566" s="48"/>
      <c r="N566" s="48"/>
      <c r="O566" s="48"/>
      <c r="P566" s="48"/>
      <c r="Q566" s="48"/>
      <c r="R566" s="48"/>
      <c r="S566" s="52"/>
      <c r="T566" s="48"/>
    </row>
    <row r="567" spans="1:20" ht="15.75" x14ac:dyDescent="0.25">
      <c r="A567" s="10"/>
      <c r="B567" s="10"/>
      <c r="C567" s="48"/>
      <c r="D567" s="49"/>
      <c r="E567" s="48"/>
      <c r="F567" s="48"/>
      <c r="G567" s="48"/>
      <c r="H567" s="48"/>
      <c r="I567" s="50"/>
      <c r="J567" s="48"/>
      <c r="K567" s="48"/>
      <c r="L567" s="48"/>
      <c r="M567" s="48"/>
      <c r="N567" s="48"/>
      <c r="O567" s="48"/>
      <c r="P567" s="48"/>
      <c r="Q567" s="48"/>
      <c r="R567" s="48"/>
      <c r="S567" s="52"/>
      <c r="T567" s="48"/>
    </row>
    <row r="568" spans="1:20" ht="15.75" x14ac:dyDescent="0.25">
      <c r="A568" s="10"/>
      <c r="B568" s="10"/>
      <c r="C568" s="48"/>
      <c r="D568" s="49"/>
      <c r="E568" s="48"/>
      <c r="F568" s="48"/>
      <c r="G568" s="48"/>
      <c r="H568" s="48"/>
      <c r="I568" s="50"/>
      <c r="J568" s="48"/>
      <c r="K568" s="48"/>
      <c r="L568" s="48"/>
      <c r="M568" s="48"/>
      <c r="N568" s="48"/>
      <c r="O568" s="48"/>
      <c r="P568" s="48"/>
      <c r="Q568" s="48"/>
      <c r="R568" s="48"/>
      <c r="S568" s="52"/>
      <c r="T568" s="48"/>
    </row>
    <row r="569" spans="1:20" ht="15.75" x14ac:dyDescent="0.25">
      <c r="A569" s="10"/>
      <c r="B569" s="10"/>
      <c r="C569" s="48"/>
      <c r="D569" s="49"/>
      <c r="E569" s="48"/>
      <c r="F569" s="48"/>
      <c r="G569" s="48"/>
      <c r="H569" s="48"/>
      <c r="I569" s="50"/>
      <c r="J569" s="48"/>
      <c r="K569" s="48"/>
      <c r="L569" s="48"/>
      <c r="M569" s="48"/>
      <c r="N569" s="48"/>
      <c r="O569" s="48"/>
      <c r="P569" s="48"/>
      <c r="Q569" s="48"/>
      <c r="R569" s="48"/>
      <c r="S569" s="52"/>
      <c r="T569" s="48"/>
    </row>
    <row r="570" spans="1:20" ht="15.75" x14ac:dyDescent="0.25">
      <c r="A570" s="10"/>
      <c r="B570" s="10"/>
      <c r="C570" s="48"/>
      <c r="D570" s="49"/>
      <c r="E570" s="48"/>
      <c r="F570" s="48"/>
      <c r="G570" s="48"/>
      <c r="H570" s="48"/>
      <c r="I570" s="50"/>
      <c r="J570" s="48"/>
      <c r="K570" s="48"/>
      <c r="L570" s="48"/>
      <c r="M570" s="48"/>
      <c r="N570" s="48"/>
      <c r="O570" s="48"/>
      <c r="P570" s="48"/>
      <c r="Q570" s="48"/>
      <c r="R570" s="48"/>
      <c r="S570" s="52"/>
      <c r="T570" s="48"/>
    </row>
    <row r="571" spans="1:20" ht="15.75" x14ac:dyDescent="0.25">
      <c r="A571" s="10"/>
      <c r="B571" s="10"/>
      <c r="C571" s="48"/>
      <c r="D571" s="49"/>
      <c r="E571" s="48"/>
      <c r="F571" s="48"/>
      <c r="G571" s="48"/>
      <c r="H571" s="48"/>
      <c r="I571" s="50"/>
      <c r="J571" s="48"/>
      <c r="K571" s="48"/>
      <c r="L571" s="48"/>
      <c r="M571" s="48"/>
      <c r="N571" s="48"/>
      <c r="O571" s="48"/>
      <c r="P571" s="48"/>
      <c r="Q571" s="48"/>
      <c r="R571" s="48"/>
      <c r="S571" s="52"/>
      <c r="T571" s="48"/>
    </row>
    <row r="572" spans="1:20" ht="15.75" x14ac:dyDescent="0.25">
      <c r="A572" s="10"/>
      <c r="B572" s="10"/>
      <c r="C572" s="48"/>
      <c r="D572" s="49"/>
      <c r="E572" s="48"/>
      <c r="F572" s="48"/>
      <c r="G572" s="48"/>
      <c r="H572" s="48"/>
      <c r="I572" s="50"/>
      <c r="J572" s="48"/>
      <c r="K572" s="48"/>
      <c r="L572" s="48"/>
      <c r="M572" s="48"/>
      <c r="N572" s="48"/>
      <c r="O572" s="48"/>
      <c r="P572" s="48"/>
      <c r="Q572" s="48"/>
      <c r="R572" s="48"/>
      <c r="S572" s="52"/>
      <c r="T572" s="48"/>
    </row>
    <row r="573" spans="1:20" ht="15.75" x14ac:dyDescent="0.25">
      <c r="A573" s="10"/>
      <c r="B573" s="10"/>
      <c r="C573" s="48"/>
      <c r="D573" s="49"/>
      <c r="E573" s="48"/>
      <c r="F573" s="48"/>
      <c r="G573" s="48"/>
      <c r="H573" s="48"/>
      <c r="I573" s="50"/>
      <c r="J573" s="48"/>
      <c r="K573" s="48"/>
      <c r="L573" s="48"/>
      <c r="M573" s="48"/>
      <c r="N573" s="48"/>
      <c r="O573" s="48"/>
      <c r="P573" s="48"/>
      <c r="Q573" s="48"/>
      <c r="R573" s="48"/>
      <c r="S573" s="52"/>
      <c r="T573" s="48"/>
    </row>
    <row r="574" spans="1:20" ht="15.75" x14ac:dyDescent="0.25">
      <c r="A574" s="10"/>
      <c r="B574" s="10"/>
      <c r="C574" s="48"/>
      <c r="D574" s="49"/>
      <c r="E574" s="48"/>
      <c r="F574" s="48"/>
      <c r="G574" s="48"/>
      <c r="H574" s="48"/>
      <c r="I574" s="50"/>
      <c r="J574" s="48"/>
      <c r="K574" s="48"/>
      <c r="L574" s="48"/>
      <c r="M574" s="48"/>
      <c r="N574" s="48"/>
      <c r="O574" s="48"/>
      <c r="P574" s="48"/>
      <c r="Q574" s="48"/>
      <c r="R574" s="48"/>
      <c r="S574" s="52"/>
      <c r="T574" s="48"/>
    </row>
    <row r="575" spans="1:20" ht="15.75" x14ac:dyDescent="0.25">
      <c r="A575" s="10"/>
      <c r="B575" s="10"/>
      <c r="C575" s="48"/>
      <c r="D575" s="49"/>
      <c r="E575" s="48"/>
      <c r="F575" s="48"/>
      <c r="G575" s="48"/>
      <c r="H575" s="48"/>
      <c r="I575" s="50"/>
      <c r="J575" s="48"/>
      <c r="K575" s="48"/>
      <c r="L575" s="48"/>
      <c r="M575" s="48"/>
      <c r="N575" s="48"/>
      <c r="O575" s="48"/>
      <c r="P575" s="48"/>
      <c r="Q575" s="48"/>
      <c r="R575" s="48"/>
      <c r="S575" s="52"/>
      <c r="T575" s="48"/>
    </row>
    <row r="576" spans="1:20" ht="15.75" x14ac:dyDescent="0.25">
      <c r="A576" s="10"/>
      <c r="B576" s="10"/>
      <c r="C576" s="48"/>
      <c r="D576" s="49"/>
      <c r="E576" s="48"/>
      <c r="F576" s="48"/>
      <c r="G576" s="48"/>
      <c r="H576" s="48"/>
      <c r="I576" s="50"/>
      <c r="J576" s="48"/>
      <c r="K576" s="48"/>
      <c r="L576" s="48"/>
      <c r="M576" s="48"/>
      <c r="N576" s="48"/>
      <c r="O576" s="48"/>
      <c r="P576" s="48"/>
      <c r="Q576" s="48"/>
      <c r="R576" s="48"/>
      <c r="S576" s="52"/>
      <c r="T576" s="48"/>
    </row>
    <row r="577" spans="1:20" ht="15.75" x14ac:dyDescent="0.25">
      <c r="A577" s="10"/>
      <c r="B577" s="10"/>
      <c r="C577" s="48"/>
      <c r="D577" s="49"/>
      <c r="E577" s="48"/>
      <c r="F577" s="48"/>
      <c r="G577" s="48"/>
      <c r="H577" s="48"/>
      <c r="I577" s="50"/>
      <c r="J577" s="48"/>
      <c r="K577" s="48"/>
      <c r="L577" s="48"/>
      <c r="M577" s="48"/>
      <c r="N577" s="48"/>
      <c r="O577" s="48"/>
      <c r="P577" s="48"/>
      <c r="Q577" s="48"/>
      <c r="R577" s="48"/>
      <c r="S577" s="52"/>
      <c r="T577" s="48"/>
    </row>
    <row r="578" spans="1:20" ht="15.75" x14ac:dyDescent="0.25">
      <c r="A578" s="10"/>
      <c r="B578" s="10"/>
      <c r="C578" s="48"/>
      <c r="D578" s="49"/>
      <c r="E578" s="48"/>
      <c r="F578" s="48"/>
      <c r="G578" s="48"/>
      <c r="H578" s="48"/>
      <c r="I578" s="50"/>
      <c r="J578" s="48"/>
      <c r="K578" s="48"/>
      <c r="L578" s="48"/>
      <c r="M578" s="48"/>
      <c r="N578" s="48"/>
      <c r="O578" s="48"/>
      <c r="P578" s="48"/>
      <c r="Q578" s="48"/>
      <c r="R578" s="48"/>
      <c r="S578" s="52"/>
      <c r="T578" s="48"/>
    </row>
    <row r="579" spans="1:20" ht="15.75" x14ac:dyDescent="0.25">
      <c r="A579" s="10"/>
      <c r="B579" s="10"/>
      <c r="C579" s="48"/>
      <c r="D579" s="49"/>
      <c r="E579" s="48"/>
      <c r="F579" s="48"/>
      <c r="G579" s="48"/>
      <c r="H579" s="48"/>
      <c r="I579" s="50"/>
      <c r="J579" s="48"/>
      <c r="K579" s="48"/>
      <c r="L579" s="48"/>
      <c r="M579" s="48"/>
      <c r="N579" s="48"/>
      <c r="O579" s="48"/>
      <c r="P579" s="48"/>
      <c r="Q579" s="48"/>
      <c r="R579" s="48"/>
      <c r="S579" s="52"/>
      <c r="T579" s="48"/>
    </row>
    <row r="580" spans="1:20" ht="15.75" x14ac:dyDescent="0.25">
      <c r="A580" s="10"/>
      <c r="B580" s="10"/>
      <c r="C580" s="48"/>
      <c r="D580" s="49"/>
      <c r="E580" s="48"/>
      <c r="F580" s="48"/>
      <c r="G580" s="48"/>
      <c r="H580" s="48"/>
      <c r="I580" s="50"/>
      <c r="J580" s="48"/>
      <c r="K580" s="48"/>
      <c r="L580" s="48"/>
      <c r="M580" s="48"/>
      <c r="N580" s="48"/>
      <c r="O580" s="48"/>
      <c r="P580" s="48"/>
      <c r="Q580" s="48"/>
      <c r="R580" s="48"/>
      <c r="S580" s="52"/>
      <c r="T580" s="48"/>
    </row>
    <row r="581" spans="1:20" ht="15.75" x14ac:dyDescent="0.25">
      <c r="A581" s="10"/>
      <c r="B581" s="10"/>
      <c r="C581" s="48"/>
      <c r="D581" s="49"/>
      <c r="E581" s="48"/>
      <c r="F581" s="48"/>
      <c r="G581" s="48"/>
      <c r="H581" s="48"/>
      <c r="I581" s="50"/>
      <c r="J581" s="48"/>
      <c r="K581" s="48"/>
      <c r="L581" s="48"/>
      <c r="M581" s="48"/>
      <c r="N581" s="48"/>
      <c r="O581" s="48"/>
      <c r="P581" s="48"/>
      <c r="Q581" s="48"/>
      <c r="R581" s="48"/>
      <c r="S581" s="52"/>
      <c r="T581" s="48"/>
    </row>
    <row r="582" spans="1:20" ht="15.75" x14ac:dyDescent="0.25">
      <c r="A582" s="10"/>
      <c r="B582" s="10"/>
      <c r="C582" s="48"/>
      <c r="D582" s="49"/>
      <c r="E582" s="48"/>
      <c r="F582" s="48"/>
      <c r="G582" s="48"/>
      <c r="H582" s="48"/>
      <c r="I582" s="50"/>
      <c r="J582" s="48"/>
      <c r="K582" s="48"/>
      <c r="L582" s="48"/>
      <c r="M582" s="48"/>
      <c r="N582" s="48"/>
      <c r="O582" s="48"/>
      <c r="P582" s="48"/>
      <c r="Q582" s="48"/>
      <c r="R582" s="48"/>
      <c r="S582" s="52"/>
      <c r="T582" s="48"/>
    </row>
    <row r="583" spans="1:20" ht="15.75" x14ac:dyDescent="0.25">
      <c r="A583" s="10"/>
      <c r="B583" s="10"/>
      <c r="C583" s="48"/>
      <c r="D583" s="49"/>
      <c r="E583" s="48"/>
      <c r="F583" s="48"/>
      <c r="G583" s="48"/>
      <c r="H583" s="48"/>
      <c r="I583" s="50"/>
      <c r="J583" s="48"/>
      <c r="K583" s="48"/>
      <c r="L583" s="48"/>
      <c r="M583" s="48"/>
      <c r="N583" s="48"/>
      <c r="O583" s="48"/>
      <c r="P583" s="48"/>
      <c r="Q583" s="48"/>
      <c r="R583" s="48"/>
      <c r="S583" s="52"/>
      <c r="T583" s="48"/>
    </row>
    <row r="584" spans="1:20" ht="15.75" x14ac:dyDescent="0.25">
      <c r="A584" s="10"/>
      <c r="B584" s="10"/>
      <c r="C584" s="48"/>
      <c r="D584" s="49"/>
      <c r="E584" s="48"/>
      <c r="F584" s="48"/>
      <c r="G584" s="48"/>
      <c r="H584" s="48"/>
      <c r="I584" s="50"/>
      <c r="J584" s="48"/>
      <c r="K584" s="48"/>
      <c r="L584" s="48"/>
      <c r="M584" s="48"/>
      <c r="N584" s="48"/>
      <c r="O584" s="48"/>
      <c r="P584" s="48"/>
      <c r="Q584" s="48"/>
      <c r="R584" s="48"/>
      <c r="S584" s="52"/>
      <c r="T584" s="48"/>
    </row>
    <row r="585" spans="1:20" ht="15.75" x14ac:dyDescent="0.25">
      <c r="A585" s="10"/>
      <c r="B585" s="10"/>
      <c r="C585" s="48"/>
      <c r="D585" s="49"/>
      <c r="E585" s="48"/>
      <c r="F585" s="48"/>
      <c r="G585" s="48"/>
      <c r="H585" s="48"/>
      <c r="I585" s="50"/>
      <c r="J585" s="48"/>
      <c r="K585" s="48"/>
      <c r="L585" s="48"/>
      <c r="M585" s="48"/>
      <c r="N585" s="48"/>
      <c r="O585" s="48"/>
      <c r="P585" s="48"/>
      <c r="Q585" s="48"/>
      <c r="R585" s="48"/>
      <c r="S585" s="52"/>
      <c r="T585" s="48"/>
    </row>
    <row r="586" spans="1:20" ht="15.75" x14ac:dyDescent="0.25">
      <c r="A586" s="10"/>
      <c r="B586" s="10"/>
      <c r="C586" s="48"/>
      <c r="D586" s="49"/>
      <c r="E586" s="48"/>
      <c r="F586" s="48"/>
      <c r="G586" s="48"/>
      <c r="H586" s="48"/>
      <c r="I586" s="50"/>
      <c r="J586" s="48"/>
      <c r="K586" s="48"/>
      <c r="L586" s="48"/>
      <c r="M586" s="48"/>
      <c r="N586" s="48"/>
      <c r="O586" s="48"/>
      <c r="P586" s="48"/>
      <c r="Q586" s="48"/>
      <c r="R586" s="48"/>
      <c r="S586" s="52"/>
      <c r="T586" s="48"/>
    </row>
    <row r="587" spans="1:20" ht="15.75" x14ac:dyDescent="0.25">
      <c r="A587" s="10"/>
      <c r="B587" s="10"/>
      <c r="C587" s="48"/>
      <c r="D587" s="49"/>
      <c r="E587" s="48"/>
      <c r="F587" s="48"/>
      <c r="G587" s="48"/>
      <c r="H587" s="48"/>
      <c r="I587" s="50"/>
      <c r="J587" s="48"/>
      <c r="K587" s="48"/>
      <c r="L587" s="48"/>
      <c r="M587" s="48"/>
      <c r="N587" s="48"/>
      <c r="O587" s="48"/>
      <c r="P587" s="48"/>
      <c r="Q587" s="48"/>
      <c r="R587" s="48"/>
      <c r="S587" s="52"/>
      <c r="T587" s="48"/>
    </row>
    <row r="588" spans="1:20" ht="15.75" x14ac:dyDescent="0.25">
      <c r="A588" s="10"/>
      <c r="B588" s="10"/>
      <c r="C588" s="48"/>
      <c r="D588" s="49"/>
      <c r="E588" s="48"/>
      <c r="F588" s="48"/>
      <c r="G588" s="48"/>
      <c r="H588" s="48"/>
      <c r="I588" s="50"/>
      <c r="J588" s="48"/>
      <c r="K588" s="48"/>
      <c r="L588" s="48"/>
      <c r="M588" s="48"/>
      <c r="N588" s="48"/>
      <c r="O588" s="48"/>
      <c r="P588" s="48"/>
      <c r="Q588" s="48"/>
      <c r="R588" s="48"/>
      <c r="S588" s="52"/>
      <c r="T588" s="48"/>
    </row>
    <row r="589" spans="1:20" ht="15.75" x14ac:dyDescent="0.25">
      <c r="A589" s="10"/>
      <c r="B589" s="10"/>
      <c r="C589" s="48"/>
      <c r="D589" s="49"/>
      <c r="E589" s="48"/>
      <c r="F589" s="48"/>
      <c r="G589" s="48"/>
      <c r="H589" s="48"/>
      <c r="I589" s="50"/>
      <c r="J589" s="48"/>
      <c r="K589" s="48"/>
      <c r="L589" s="48"/>
      <c r="M589" s="48"/>
      <c r="N589" s="48"/>
      <c r="O589" s="48"/>
      <c r="P589" s="48"/>
      <c r="Q589" s="48"/>
      <c r="R589" s="48"/>
      <c r="S589" s="52"/>
      <c r="T589" s="48"/>
    </row>
    <row r="590" spans="1:20" ht="15.75" x14ac:dyDescent="0.25">
      <c r="A590" s="10"/>
      <c r="B590" s="10"/>
      <c r="C590" s="48"/>
      <c r="D590" s="49"/>
      <c r="E590" s="48"/>
      <c r="F590" s="48"/>
      <c r="G590" s="48"/>
      <c r="H590" s="48"/>
      <c r="I590" s="50"/>
      <c r="J590" s="48"/>
      <c r="K590" s="48"/>
      <c r="L590" s="48"/>
      <c r="M590" s="48"/>
      <c r="N590" s="48"/>
      <c r="O590" s="48"/>
      <c r="P590" s="48"/>
      <c r="Q590" s="48"/>
      <c r="R590" s="48"/>
      <c r="S590" s="52"/>
      <c r="T590" s="48"/>
    </row>
    <row r="591" spans="1:20" ht="15.75" x14ac:dyDescent="0.25">
      <c r="A591" s="10"/>
      <c r="B591" s="10"/>
      <c r="C591" s="48"/>
      <c r="D591" s="49"/>
      <c r="E591" s="48"/>
      <c r="F591" s="48"/>
      <c r="G591" s="48"/>
      <c r="H591" s="48"/>
      <c r="I591" s="50"/>
      <c r="J591" s="48"/>
      <c r="K591" s="48"/>
      <c r="L591" s="48"/>
      <c r="M591" s="48"/>
      <c r="N591" s="48"/>
      <c r="O591" s="48"/>
      <c r="P591" s="48"/>
      <c r="Q591" s="48"/>
      <c r="R591" s="48"/>
      <c r="S591" s="52"/>
      <c r="T591" s="48"/>
    </row>
    <row r="592" spans="1:20" ht="15.75" x14ac:dyDescent="0.25">
      <c r="A592" s="10"/>
      <c r="B592" s="10"/>
      <c r="C592" s="48"/>
      <c r="D592" s="49"/>
      <c r="E592" s="48"/>
      <c r="F592" s="48"/>
      <c r="G592" s="48"/>
      <c r="H592" s="48"/>
      <c r="I592" s="50"/>
      <c r="J592" s="48"/>
      <c r="K592" s="48"/>
      <c r="L592" s="48"/>
      <c r="M592" s="48"/>
      <c r="N592" s="48"/>
      <c r="O592" s="48"/>
      <c r="P592" s="48"/>
      <c r="Q592" s="48"/>
      <c r="R592" s="48"/>
      <c r="S592" s="52"/>
      <c r="T592" s="48"/>
    </row>
    <row r="593" spans="1:20" ht="15.75" x14ac:dyDescent="0.25">
      <c r="A593" s="10"/>
      <c r="B593" s="10"/>
      <c r="C593" s="48"/>
      <c r="D593" s="49"/>
      <c r="E593" s="48"/>
      <c r="F593" s="48"/>
      <c r="G593" s="48"/>
      <c r="H593" s="48"/>
      <c r="I593" s="50"/>
      <c r="J593" s="48"/>
      <c r="K593" s="48"/>
      <c r="L593" s="48"/>
      <c r="M593" s="48"/>
      <c r="N593" s="48"/>
      <c r="O593" s="48"/>
      <c r="P593" s="48"/>
      <c r="Q593" s="48"/>
      <c r="R593" s="48"/>
      <c r="S593" s="52"/>
      <c r="T593" s="48"/>
    </row>
    <row r="594" spans="1:20" ht="15.75" x14ac:dyDescent="0.25">
      <c r="A594" s="10"/>
      <c r="B594" s="10"/>
      <c r="C594" s="48"/>
      <c r="D594" s="49"/>
      <c r="E594" s="48"/>
      <c r="F594" s="48"/>
      <c r="G594" s="48"/>
      <c r="H594" s="48"/>
      <c r="I594" s="50"/>
      <c r="J594" s="48"/>
      <c r="K594" s="48"/>
      <c r="L594" s="48"/>
      <c r="M594" s="48"/>
      <c r="N594" s="48"/>
      <c r="O594" s="48"/>
      <c r="P594" s="48"/>
      <c r="Q594" s="48"/>
      <c r="R594" s="48"/>
      <c r="S594" s="52"/>
      <c r="T594" s="48"/>
    </row>
    <row r="595" spans="1:20" ht="15.75" x14ac:dyDescent="0.25">
      <c r="A595" s="10"/>
      <c r="B595" s="10"/>
      <c r="C595" s="48"/>
      <c r="D595" s="49"/>
      <c r="E595" s="48"/>
      <c r="F595" s="48"/>
      <c r="G595" s="48"/>
      <c r="H595" s="48"/>
      <c r="I595" s="50"/>
      <c r="J595" s="48"/>
      <c r="K595" s="48"/>
      <c r="L595" s="48"/>
      <c r="M595" s="48"/>
      <c r="N595" s="48"/>
      <c r="O595" s="48"/>
      <c r="P595" s="48"/>
      <c r="Q595" s="48"/>
      <c r="R595" s="48"/>
      <c r="S595" s="52"/>
      <c r="T595" s="48"/>
    </row>
    <row r="596" spans="1:20" ht="15.75" x14ac:dyDescent="0.25">
      <c r="A596" s="10"/>
      <c r="B596" s="10"/>
      <c r="C596" s="48"/>
      <c r="D596" s="49"/>
      <c r="E596" s="48"/>
      <c r="F596" s="48"/>
      <c r="G596" s="48"/>
      <c r="H596" s="48"/>
      <c r="I596" s="50"/>
      <c r="J596" s="48"/>
      <c r="K596" s="48"/>
      <c r="L596" s="48"/>
      <c r="M596" s="48"/>
      <c r="N596" s="48"/>
      <c r="O596" s="48"/>
      <c r="P596" s="48"/>
      <c r="Q596" s="48"/>
      <c r="R596" s="48"/>
      <c r="S596" s="52"/>
      <c r="T596" s="48"/>
    </row>
    <row r="597" spans="1:20" ht="15.75" x14ac:dyDescent="0.25">
      <c r="A597" s="10"/>
      <c r="B597" s="10"/>
      <c r="C597" s="48"/>
      <c r="D597" s="49"/>
      <c r="E597" s="48"/>
      <c r="F597" s="48"/>
      <c r="G597" s="48"/>
      <c r="H597" s="48"/>
      <c r="I597" s="50"/>
      <c r="J597" s="48"/>
      <c r="K597" s="48"/>
      <c r="L597" s="48"/>
      <c r="M597" s="48"/>
      <c r="N597" s="48"/>
      <c r="O597" s="48"/>
      <c r="P597" s="48"/>
      <c r="Q597" s="48"/>
      <c r="R597" s="48"/>
      <c r="S597" s="52"/>
      <c r="T597" s="48"/>
    </row>
    <row r="598" spans="1:20" ht="15.75" x14ac:dyDescent="0.25">
      <c r="A598" s="10"/>
      <c r="B598" s="10"/>
      <c r="C598" s="48"/>
      <c r="D598" s="49"/>
      <c r="E598" s="48"/>
      <c r="F598" s="48"/>
      <c r="G598" s="48"/>
      <c r="H598" s="48"/>
      <c r="I598" s="50"/>
      <c r="J598" s="48"/>
      <c r="K598" s="48"/>
      <c r="L598" s="48"/>
      <c r="M598" s="48"/>
      <c r="N598" s="48"/>
      <c r="O598" s="48"/>
      <c r="P598" s="48"/>
      <c r="Q598" s="48"/>
      <c r="R598" s="48"/>
      <c r="S598" s="52"/>
      <c r="T598" s="48"/>
    </row>
    <row r="599" spans="1:20" ht="15.75" x14ac:dyDescent="0.25">
      <c r="A599" s="10"/>
      <c r="B599" s="10"/>
      <c r="C599" s="48"/>
      <c r="D599" s="49"/>
      <c r="E599" s="48"/>
      <c r="F599" s="48"/>
      <c r="G599" s="48"/>
      <c r="H599" s="48"/>
      <c r="I599" s="50"/>
      <c r="J599" s="48"/>
      <c r="K599" s="48"/>
      <c r="L599" s="48"/>
      <c r="M599" s="48"/>
      <c r="N599" s="48"/>
      <c r="O599" s="48"/>
      <c r="P599" s="48"/>
      <c r="Q599" s="48"/>
      <c r="R599" s="48"/>
      <c r="S599" s="52"/>
      <c r="T599" s="48"/>
    </row>
    <row r="600" spans="1:20" ht="15.75" x14ac:dyDescent="0.25">
      <c r="A600" s="10"/>
      <c r="B600" s="10"/>
      <c r="C600" s="48"/>
      <c r="D600" s="49"/>
      <c r="E600" s="48"/>
      <c r="F600" s="48"/>
      <c r="G600" s="48"/>
      <c r="H600" s="48"/>
      <c r="I600" s="50"/>
      <c r="J600" s="48"/>
      <c r="K600" s="48"/>
      <c r="L600" s="48"/>
      <c r="M600" s="48"/>
      <c r="N600" s="48"/>
      <c r="O600" s="48"/>
      <c r="P600" s="48"/>
      <c r="Q600" s="48"/>
      <c r="R600" s="48"/>
      <c r="S600" s="52"/>
      <c r="T600" s="48"/>
    </row>
    <row r="601" spans="1:20" ht="15.75" x14ac:dyDescent="0.25">
      <c r="A601" s="10"/>
      <c r="B601" s="10"/>
      <c r="C601" s="48"/>
      <c r="D601" s="49"/>
      <c r="E601" s="48"/>
      <c r="F601" s="48"/>
      <c r="G601" s="48"/>
      <c r="H601" s="48"/>
      <c r="I601" s="50"/>
      <c r="J601" s="48"/>
      <c r="K601" s="48"/>
      <c r="L601" s="48"/>
      <c r="M601" s="48"/>
      <c r="N601" s="48"/>
      <c r="O601" s="48"/>
      <c r="P601" s="48"/>
      <c r="Q601" s="48"/>
      <c r="R601" s="48"/>
      <c r="S601" s="52"/>
      <c r="T601" s="48"/>
    </row>
    <row r="602" spans="1:20" ht="15.75" x14ac:dyDescent="0.25">
      <c r="A602" s="10"/>
      <c r="B602" s="10"/>
      <c r="C602" s="48"/>
      <c r="D602" s="49"/>
      <c r="E602" s="48"/>
      <c r="F602" s="48"/>
      <c r="G602" s="48"/>
      <c r="H602" s="48"/>
      <c r="I602" s="50"/>
      <c r="J602" s="48"/>
      <c r="K602" s="48"/>
      <c r="L602" s="48"/>
      <c r="M602" s="48"/>
      <c r="N602" s="48"/>
      <c r="O602" s="48"/>
      <c r="P602" s="48"/>
      <c r="Q602" s="48"/>
      <c r="R602" s="48"/>
      <c r="S602" s="52"/>
      <c r="T602" s="48"/>
    </row>
    <row r="603" spans="1:20" ht="15.75" x14ac:dyDescent="0.25">
      <c r="A603" s="10"/>
      <c r="B603" s="10"/>
      <c r="C603" s="48"/>
      <c r="D603" s="49"/>
      <c r="E603" s="48"/>
      <c r="F603" s="48"/>
      <c r="G603" s="48"/>
      <c r="H603" s="48"/>
      <c r="I603" s="50"/>
      <c r="J603" s="48"/>
      <c r="K603" s="48"/>
      <c r="L603" s="48"/>
      <c r="M603" s="48"/>
      <c r="N603" s="48"/>
      <c r="O603" s="48"/>
      <c r="P603" s="48"/>
      <c r="Q603" s="48"/>
      <c r="R603" s="48"/>
      <c r="S603" s="52"/>
      <c r="T603" s="48"/>
    </row>
    <row r="604" spans="1:20" ht="15.75" x14ac:dyDescent="0.25">
      <c r="A604" s="10"/>
      <c r="B604" s="10"/>
      <c r="C604" s="48"/>
      <c r="D604" s="49"/>
      <c r="E604" s="48"/>
      <c r="F604" s="48"/>
      <c r="G604" s="48"/>
      <c r="H604" s="48"/>
      <c r="I604" s="50"/>
      <c r="J604" s="48"/>
      <c r="K604" s="48"/>
      <c r="L604" s="48"/>
      <c r="M604" s="48"/>
      <c r="N604" s="48"/>
      <c r="O604" s="48"/>
      <c r="P604" s="48"/>
      <c r="Q604" s="48"/>
      <c r="R604" s="48"/>
      <c r="S604" s="52"/>
      <c r="T604" s="48"/>
    </row>
    <row r="605" spans="1:20" ht="15.75" x14ac:dyDescent="0.25">
      <c r="A605" s="10"/>
      <c r="B605" s="10"/>
      <c r="C605" s="48"/>
      <c r="D605" s="49"/>
      <c r="E605" s="48"/>
      <c r="F605" s="48"/>
      <c r="G605" s="48"/>
      <c r="H605" s="48"/>
      <c r="I605" s="50"/>
      <c r="J605" s="48"/>
      <c r="K605" s="48"/>
      <c r="L605" s="48"/>
      <c r="M605" s="48"/>
      <c r="N605" s="48"/>
      <c r="O605" s="48"/>
      <c r="P605" s="48"/>
      <c r="Q605" s="48"/>
      <c r="R605" s="48"/>
      <c r="S605" s="52"/>
      <c r="T605" s="48"/>
    </row>
    <row r="606" spans="1:20" ht="15.75" x14ac:dyDescent="0.25">
      <c r="A606" s="10"/>
      <c r="B606" s="10"/>
      <c r="C606" s="48"/>
      <c r="D606" s="49"/>
      <c r="E606" s="48"/>
      <c r="F606" s="48"/>
      <c r="G606" s="48"/>
      <c r="H606" s="48"/>
      <c r="I606" s="50"/>
      <c r="J606" s="48"/>
      <c r="K606" s="48"/>
      <c r="L606" s="48"/>
      <c r="M606" s="48"/>
      <c r="N606" s="48"/>
      <c r="O606" s="48"/>
      <c r="P606" s="48"/>
      <c r="Q606" s="48"/>
      <c r="R606" s="48"/>
      <c r="S606" s="52"/>
      <c r="T606" s="48"/>
    </row>
    <row r="607" spans="1:20" ht="15.75" x14ac:dyDescent="0.25">
      <c r="A607" s="10"/>
      <c r="B607" s="10"/>
      <c r="C607" s="48"/>
      <c r="D607" s="49"/>
      <c r="E607" s="48"/>
      <c r="F607" s="48"/>
      <c r="G607" s="48"/>
      <c r="H607" s="48"/>
      <c r="I607" s="50"/>
      <c r="J607" s="48"/>
      <c r="K607" s="48"/>
      <c r="L607" s="48"/>
      <c r="M607" s="48"/>
      <c r="N607" s="48"/>
      <c r="O607" s="48"/>
      <c r="P607" s="48"/>
      <c r="Q607" s="48"/>
      <c r="R607" s="48"/>
      <c r="S607" s="52"/>
      <c r="T607" s="48"/>
    </row>
    <row r="608" spans="1:20" ht="15.75" x14ac:dyDescent="0.25">
      <c r="A608" s="10"/>
      <c r="B608" s="10"/>
      <c r="C608" s="48"/>
      <c r="D608" s="49"/>
      <c r="E608" s="48"/>
      <c r="F608" s="48"/>
      <c r="G608" s="48"/>
      <c r="H608" s="48"/>
      <c r="I608" s="50"/>
      <c r="J608" s="48"/>
      <c r="K608" s="48"/>
      <c r="L608" s="48"/>
      <c r="M608" s="48"/>
      <c r="N608" s="48"/>
      <c r="O608" s="48"/>
      <c r="P608" s="48"/>
      <c r="Q608" s="48"/>
      <c r="R608" s="48"/>
      <c r="S608" s="52"/>
      <c r="T608" s="48"/>
    </row>
    <row r="609" spans="1:20" ht="15.75" x14ac:dyDescent="0.25">
      <c r="A609" s="10"/>
      <c r="B609" s="10"/>
      <c r="C609" s="48"/>
      <c r="D609" s="49"/>
      <c r="E609" s="48"/>
      <c r="F609" s="48"/>
      <c r="G609" s="48"/>
      <c r="H609" s="48"/>
      <c r="I609" s="50"/>
      <c r="J609" s="48"/>
      <c r="K609" s="48"/>
      <c r="L609" s="48"/>
      <c r="M609" s="48"/>
      <c r="N609" s="48"/>
      <c r="O609" s="48"/>
      <c r="P609" s="48"/>
      <c r="Q609" s="48"/>
      <c r="R609" s="48"/>
      <c r="S609" s="52"/>
      <c r="T609" s="48"/>
    </row>
    <row r="610" spans="1:20" ht="15.75" x14ac:dyDescent="0.25">
      <c r="A610" s="10"/>
      <c r="B610" s="10"/>
      <c r="C610" s="48"/>
      <c r="D610" s="49"/>
      <c r="E610" s="48"/>
      <c r="F610" s="48"/>
      <c r="G610" s="48"/>
      <c r="H610" s="48"/>
      <c r="I610" s="50"/>
      <c r="J610" s="48"/>
      <c r="K610" s="48"/>
      <c r="L610" s="48"/>
      <c r="M610" s="48"/>
      <c r="N610" s="48"/>
      <c r="O610" s="48"/>
      <c r="P610" s="48"/>
      <c r="Q610" s="48"/>
      <c r="R610" s="48"/>
      <c r="S610" s="52"/>
      <c r="T610" s="48"/>
    </row>
    <row r="611" spans="1:20" ht="15.75" x14ac:dyDescent="0.25">
      <c r="A611" s="10"/>
      <c r="B611" s="10"/>
      <c r="C611" s="48"/>
      <c r="D611" s="49"/>
      <c r="E611" s="48"/>
      <c r="F611" s="48"/>
      <c r="G611" s="48"/>
      <c r="H611" s="48"/>
      <c r="I611" s="50"/>
      <c r="J611" s="48"/>
      <c r="K611" s="48"/>
      <c r="L611" s="48"/>
      <c r="M611" s="48"/>
      <c r="N611" s="48"/>
      <c r="O611" s="48"/>
      <c r="P611" s="48"/>
      <c r="Q611" s="48"/>
      <c r="R611" s="48"/>
      <c r="S611" s="52"/>
      <c r="T611" s="48"/>
    </row>
    <row r="612" spans="1:20" ht="15.75" x14ac:dyDescent="0.25">
      <c r="A612" s="10"/>
      <c r="B612" s="10"/>
      <c r="C612" s="48"/>
      <c r="D612" s="49"/>
      <c r="E612" s="48"/>
      <c r="F612" s="48"/>
      <c r="G612" s="48"/>
      <c r="H612" s="48"/>
      <c r="I612" s="50"/>
      <c r="J612" s="48"/>
      <c r="K612" s="48"/>
      <c r="L612" s="48"/>
      <c r="M612" s="48"/>
      <c r="N612" s="48"/>
      <c r="O612" s="48"/>
      <c r="P612" s="48"/>
      <c r="Q612" s="48"/>
      <c r="R612" s="48"/>
      <c r="S612" s="52"/>
      <c r="T612" s="48"/>
    </row>
    <row r="613" spans="1:20" ht="15.75" x14ac:dyDescent="0.25">
      <c r="A613" s="10"/>
      <c r="B613" s="10"/>
      <c r="C613" s="48"/>
      <c r="D613" s="49"/>
      <c r="E613" s="48"/>
      <c r="F613" s="48"/>
      <c r="G613" s="48"/>
      <c r="H613" s="48"/>
      <c r="I613" s="50"/>
      <c r="J613" s="48"/>
      <c r="K613" s="48"/>
      <c r="L613" s="48"/>
      <c r="M613" s="48"/>
      <c r="N613" s="48"/>
      <c r="O613" s="48"/>
      <c r="P613" s="48"/>
      <c r="Q613" s="48"/>
      <c r="R613" s="48"/>
      <c r="S613" s="52"/>
      <c r="T613" s="48"/>
    </row>
    <row r="614" spans="1:20" ht="15.75" x14ac:dyDescent="0.25">
      <c r="A614" s="10"/>
      <c r="B614" s="10"/>
      <c r="C614" s="48"/>
      <c r="D614" s="49"/>
      <c r="E614" s="48"/>
      <c r="F614" s="48"/>
      <c r="G614" s="48"/>
      <c r="H614" s="48"/>
      <c r="I614" s="50"/>
      <c r="J614" s="48"/>
      <c r="K614" s="48"/>
      <c r="L614" s="48"/>
      <c r="M614" s="48"/>
      <c r="N614" s="48"/>
      <c r="O614" s="48"/>
      <c r="P614" s="48"/>
      <c r="Q614" s="48"/>
      <c r="R614" s="48"/>
      <c r="S614" s="52"/>
      <c r="T614" s="48"/>
    </row>
    <row r="615" spans="1:20" ht="15.75" x14ac:dyDescent="0.25">
      <c r="A615" s="10"/>
      <c r="B615" s="10"/>
      <c r="C615" s="48"/>
      <c r="D615" s="49"/>
      <c r="E615" s="48"/>
      <c r="F615" s="48"/>
      <c r="G615" s="48"/>
      <c r="H615" s="48"/>
      <c r="I615" s="50"/>
      <c r="J615" s="48"/>
      <c r="K615" s="48"/>
      <c r="L615" s="48"/>
      <c r="M615" s="48"/>
      <c r="N615" s="48"/>
      <c r="O615" s="48"/>
      <c r="P615" s="48"/>
      <c r="Q615" s="48"/>
      <c r="R615" s="48"/>
      <c r="S615" s="52"/>
      <c r="T615" s="48"/>
    </row>
    <row r="616" spans="1:20" ht="15.75" x14ac:dyDescent="0.25">
      <c r="A616" s="10"/>
      <c r="B616" s="10"/>
      <c r="C616" s="48"/>
      <c r="D616" s="49"/>
      <c r="E616" s="48"/>
      <c r="F616" s="48"/>
      <c r="G616" s="48"/>
      <c r="H616" s="48"/>
      <c r="I616" s="50"/>
      <c r="J616" s="48"/>
      <c r="K616" s="48"/>
      <c r="L616" s="48"/>
      <c r="M616" s="48"/>
      <c r="N616" s="48"/>
      <c r="O616" s="48"/>
      <c r="P616" s="48"/>
      <c r="Q616" s="48"/>
      <c r="R616" s="48"/>
      <c r="S616" s="52"/>
      <c r="T616" s="48"/>
    </row>
    <row r="617" spans="1:20" ht="15.75" x14ac:dyDescent="0.25">
      <c r="A617" s="10"/>
      <c r="B617" s="10"/>
      <c r="C617" s="48"/>
      <c r="D617" s="49"/>
      <c r="E617" s="48"/>
      <c r="F617" s="48"/>
      <c r="G617" s="48"/>
      <c r="H617" s="48"/>
      <c r="I617" s="50"/>
      <c r="J617" s="48"/>
      <c r="K617" s="48"/>
      <c r="L617" s="48"/>
      <c r="M617" s="48"/>
      <c r="N617" s="48"/>
      <c r="O617" s="48"/>
      <c r="P617" s="48"/>
      <c r="Q617" s="48"/>
      <c r="R617" s="48"/>
      <c r="S617" s="52"/>
      <c r="T617" s="48"/>
    </row>
    <row r="618" spans="1:20" ht="15.75" x14ac:dyDescent="0.25">
      <c r="A618" s="10"/>
      <c r="B618" s="10"/>
      <c r="C618" s="48"/>
      <c r="D618" s="49"/>
      <c r="E618" s="48"/>
      <c r="F618" s="48"/>
      <c r="G618" s="48"/>
      <c r="H618" s="48"/>
      <c r="I618" s="50"/>
      <c r="J618" s="48"/>
      <c r="K618" s="48"/>
      <c r="L618" s="48"/>
      <c r="M618" s="48"/>
      <c r="N618" s="48"/>
      <c r="O618" s="48"/>
      <c r="P618" s="48"/>
      <c r="Q618" s="48"/>
      <c r="R618" s="48"/>
      <c r="S618" s="52"/>
      <c r="T618" s="48"/>
    </row>
    <row r="619" spans="1:20" ht="15.75" x14ac:dyDescent="0.25">
      <c r="A619" s="10"/>
      <c r="B619" s="10"/>
      <c r="C619" s="48"/>
      <c r="D619" s="49"/>
      <c r="E619" s="48"/>
      <c r="F619" s="48"/>
      <c r="G619" s="48"/>
      <c r="H619" s="48"/>
      <c r="I619" s="50"/>
      <c r="J619" s="48"/>
      <c r="K619" s="48"/>
      <c r="L619" s="48"/>
      <c r="M619" s="48"/>
      <c r="N619" s="48"/>
      <c r="O619" s="48"/>
      <c r="P619" s="48"/>
      <c r="Q619" s="48"/>
      <c r="R619" s="48"/>
      <c r="S619" s="52"/>
      <c r="T619" s="48"/>
    </row>
    <row r="620" spans="1:20" ht="15.75" x14ac:dyDescent="0.25">
      <c r="A620" s="10"/>
      <c r="B620" s="10"/>
      <c r="C620" s="48"/>
      <c r="D620" s="49"/>
      <c r="E620" s="48"/>
      <c r="F620" s="48"/>
      <c r="G620" s="48"/>
      <c r="H620" s="48"/>
      <c r="I620" s="50"/>
      <c r="J620" s="48"/>
      <c r="K620" s="48"/>
      <c r="L620" s="48"/>
      <c r="M620" s="48"/>
      <c r="N620" s="48"/>
      <c r="O620" s="48"/>
      <c r="P620" s="48"/>
      <c r="Q620" s="48"/>
      <c r="R620" s="48"/>
      <c r="S620" s="52"/>
      <c r="T620" s="48"/>
    </row>
    <row r="621" spans="1:20" ht="15.75" x14ac:dyDescent="0.25">
      <c r="A621" s="10"/>
      <c r="B621" s="10"/>
      <c r="C621" s="48"/>
      <c r="D621" s="49"/>
      <c r="E621" s="48"/>
      <c r="F621" s="48"/>
      <c r="G621" s="48"/>
      <c r="H621" s="48"/>
      <c r="I621" s="50"/>
      <c r="J621" s="48"/>
      <c r="K621" s="48"/>
      <c r="L621" s="48"/>
      <c r="M621" s="48"/>
      <c r="N621" s="48"/>
      <c r="O621" s="48"/>
      <c r="P621" s="48"/>
      <c r="Q621" s="48"/>
      <c r="R621" s="48"/>
      <c r="S621" s="52"/>
      <c r="T621" s="48"/>
    </row>
    <row r="622" spans="1:20" ht="15.75" x14ac:dyDescent="0.25">
      <c r="A622" s="10"/>
      <c r="B622" s="10"/>
      <c r="C622" s="48"/>
      <c r="D622" s="49"/>
      <c r="E622" s="48"/>
      <c r="F622" s="48"/>
      <c r="G622" s="48"/>
      <c r="H622" s="48"/>
      <c r="I622" s="50"/>
      <c r="J622" s="48"/>
      <c r="K622" s="48"/>
      <c r="L622" s="48"/>
      <c r="M622" s="48"/>
      <c r="N622" s="48"/>
      <c r="O622" s="48"/>
      <c r="P622" s="48"/>
      <c r="Q622" s="48"/>
      <c r="R622" s="48"/>
      <c r="S622" s="52"/>
      <c r="T622" s="48"/>
    </row>
    <row r="623" spans="1:20" ht="15.75" x14ac:dyDescent="0.25">
      <c r="A623" s="10"/>
      <c r="B623" s="10"/>
      <c r="C623" s="48"/>
      <c r="D623" s="49"/>
      <c r="E623" s="48"/>
      <c r="F623" s="48"/>
      <c r="G623" s="48"/>
      <c r="H623" s="48"/>
      <c r="I623" s="50"/>
      <c r="J623" s="48"/>
      <c r="K623" s="48"/>
      <c r="L623" s="48"/>
      <c r="M623" s="48"/>
      <c r="N623" s="48"/>
      <c r="O623" s="48"/>
      <c r="P623" s="48"/>
      <c r="Q623" s="48"/>
      <c r="R623" s="48"/>
      <c r="S623" s="52"/>
      <c r="T623" s="48"/>
    </row>
    <row r="624" spans="1:20" ht="15.75" x14ac:dyDescent="0.25">
      <c r="A624" s="10"/>
      <c r="B624" s="10"/>
      <c r="C624" s="48"/>
      <c r="D624" s="49"/>
      <c r="E624" s="48"/>
      <c r="F624" s="48"/>
      <c r="G624" s="48"/>
      <c r="H624" s="48"/>
      <c r="I624" s="50"/>
      <c r="J624" s="48"/>
      <c r="K624" s="48"/>
      <c r="L624" s="48"/>
      <c r="M624" s="48"/>
      <c r="N624" s="48"/>
      <c r="O624" s="48"/>
      <c r="P624" s="48"/>
      <c r="Q624" s="48"/>
      <c r="R624" s="48"/>
      <c r="S624" s="52"/>
      <c r="T624" s="48"/>
    </row>
    <row r="625" spans="1:20" ht="15.75" x14ac:dyDescent="0.25">
      <c r="A625" s="10"/>
      <c r="B625" s="10"/>
      <c r="C625" s="48"/>
      <c r="D625" s="49"/>
      <c r="E625" s="48"/>
      <c r="F625" s="48"/>
      <c r="G625" s="48"/>
      <c r="H625" s="48"/>
      <c r="I625" s="50"/>
      <c r="J625" s="48"/>
      <c r="K625" s="48"/>
      <c r="L625" s="48"/>
      <c r="M625" s="48"/>
      <c r="N625" s="48"/>
      <c r="O625" s="48"/>
      <c r="P625" s="48"/>
      <c r="Q625" s="48"/>
      <c r="R625" s="48"/>
      <c r="S625" s="52"/>
      <c r="T625" s="48"/>
    </row>
    <row r="626" spans="1:20" ht="15.75" x14ac:dyDescent="0.25">
      <c r="A626" s="10"/>
      <c r="B626" s="10"/>
      <c r="C626" s="48"/>
      <c r="D626" s="49"/>
      <c r="E626" s="48"/>
      <c r="F626" s="48"/>
      <c r="G626" s="48"/>
      <c r="H626" s="48"/>
      <c r="I626" s="50"/>
      <c r="J626" s="48"/>
      <c r="K626" s="48"/>
      <c r="L626" s="48"/>
      <c r="M626" s="48"/>
      <c r="N626" s="48"/>
      <c r="O626" s="48"/>
      <c r="P626" s="48"/>
      <c r="Q626" s="48"/>
      <c r="R626" s="48"/>
      <c r="S626" s="52"/>
      <c r="T626" s="48"/>
    </row>
    <row r="627" spans="1:20" ht="15.75" x14ac:dyDescent="0.25">
      <c r="A627" s="10"/>
      <c r="B627" s="10"/>
      <c r="C627" s="48"/>
      <c r="D627" s="49"/>
      <c r="E627" s="48"/>
      <c r="F627" s="48"/>
      <c r="G627" s="48"/>
      <c r="H627" s="48"/>
      <c r="I627" s="50"/>
      <c r="J627" s="48"/>
      <c r="K627" s="48"/>
      <c r="L627" s="48"/>
      <c r="M627" s="48"/>
      <c r="N627" s="48"/>
      <c r="O627" s="48"/>
      <c r="P627" s="48"/>
      <c r="Q627" s="48"/>
      <c r="R627" s="48"/>
      <c r="S627" s="52"/>
      <c r="T627" s="48"/>
    </row>
    <row r="628" spans="1:20" ht="15.75" x14ac:dyDescent="0.25">
      <c r="A628" s="10"/>
      <c r="B628" s="10"/>
      <c r="C628" s="48"/>
      <c r="D628" s="49"/>
      <c r="E628" s="48"/>
      <c r="F628" s="48"/>
      <c r="G628" s="48"/>
      <c r="H628" s="48"/>
      <c r="I628" s="50"/>
      <c r="J628" s="48"/>
      <c r="K628" s="48"/>
      <c r="L628" s="48"/>
      <c r="M628" s="48"/>
      <c r="N628" s="48"/>
      <c r="O628" s="48"/>
      <c r="P628" s="48"/>
      <c r="Q628" s="48"/>
      <c r="R628" s="48"/>
      <c r="S628" s="52"/>
      <c r="T628" s="48"/>
    </row>
    <row r="629" spans="1:20" ht="15.75" x14ac:dyDescent="0.25">
      <c r="A629" s="10"/>
      <c r="B629" s="10"/>
      <c r="C629" s="48"/>
      <c r="D629" s="49"/>
      <c r="E629" s="48"/>
      <c r="F629" s="48"/>
      <c r="G629" s="48"/>
      <c r="H629" s="48"/>
      <c r="I629" s="50"/>
      <c r="J629" s="48"/>
      <c r="K629" s="48"/>
      <c r="L629" s="48"/>
      <c r="M629" s="48"/>
      <c r="N629" s="48"/>
      <c r="O629" s="48"/>
      <c r="P629" s="48"/>
      <c r="Q629" s="48"/>
      <c r="R629" s="48"/>
      <c r="S629" s="52"/>
      <c r="T629" s="48"/>
    </row>
    <row r="630" spans="1:20" ht="15.75" x14ac:dyDescent="0.25">
      <c r="A630" s="10"/>
      <c r="B630" s="10"/>
      <c r="C630" s="48"/>
      <c r="D630" s="49"/>
      <c r="E630" s="48"/>
      <c r="F630" s="48"/>
      <c r="G630" s="48"/>
      <c r="H630" s="48"/>
      <c r="I630" s="50"/>
      <c r="J630" s="48"/>
      <c r="K630" s="48"/>
      <c r="L630" s="48"/>
      <c r="M630" s="48"/>
      <c r="N630" s="48"/>
      <c r="O630" s="48"/>
      <c r="P630" s="48"/>
      <c r="Q630" s="48"/>
      <c r="R630" s="48"/>
      <c r="S630" s="52"/>
      <c r="T630" s="48"/>
    </row>
    <row r="631" spans="1:20" ht="15.75" x14ac:dyDescent="0.25">
      <c r="A631" s="10"/>
      <c r="B631" s="10"/>
      <c r="C631" s="48"/>
      <c r="D631" s="49"/>
      <c r="E631" s="48"/>
      <c r="F631" s="48"/>
      <c r="G631" s="48"/>
      <c r="H631" s="48"/>
      <c r="I631" s="50"/>
      <c r="J631" s="48"/>
      <c r="K631" s="48"/>
      <c r="L631" s="48"/>
      <c r="M631" s="48"/>
      <c r="N631" s="48"/>
      <c r="O631" s="48"/>
      <c r="P631" s="48"/>
      <c r="Q631" s="48"/>
      <c r="R631" s="48"/>
      <c r="S631" s="52"/>
      <c r="T631" s="48"/>
    </row>
    <row r="632" spans="1:20" ht="15.75" x14ac:dyDescent="0.25">
      <c r="A632" s="10"/>
      <c r="B632" s="10"/>
      <c r="C632" s="48"/>
      <c r="D632" s="49"/>
      <c r="E632" s="48"/>
      <c r="F632" s="48"/>
      <c r="G632" s="48"/>
      <c r="H632" s="48"/>
      <c r="I632" s="50"/>
      <c r="J632" s="48"/>
      <c r="K632" s="48"/>
      <c r="L632" s="48"/>
      <c r="M632" s="48"/>
      <c r="N632" s="48"/>
      <c r="O632" s="48"/>
      <c r="P632" s="48"/>
      <c r="Q632" s="48"/>
      <c r="R632" s="48"/>
      <c r="S632" s="52"/>
      <c r="T632" s="48"/>
    </row>
    <row r="633" spans="1:20" ht="15.75" x14ac:dyDescent="0.25">
      <c r="A633" s="10"/>
      <c r="B633" s="10"/>
      <c r="C633" s="48"/>
      <c r="D633" s="49"/>
      <c r="E633" s="48"/>
      <c r="F633" s="48"/>
      <c r="G633" s="48"/>
      <c r="H633" s="48"/>
      <c r="I633" s="50"/>
      <c r="J633" s="48"/>
      <c r="K633" s="48"/>
      <c r="L633" s="48"/>
      <c r="M633" s="48"/>
      <c r="N633" s="48"/>
      <c r="O633" s="48"/>
      <c r="P633" s="48"/>
      <c r="Q633" s="48"/>
      <c r="R633" s="48"/>
      <c r="S633" s="52"/>
      <c r="T633" s="48"/>
    </row>
    <row r="634" spans="1:20" ht="15.75" x14ac:dyDescent="0.25">
      <c r="A634" s="10"/>
      <c r="B634" s="10"/>
      <c r="C634" s="48"/>
      <c r="D634" s="49"/>
      <c r="E634" s="48"/>
      <c r="F634" s="48"/>
      <c r="G634" s="48"/>
      <c r="H634" s="48"/>
      <c r="I634" s="50"/>
      <c r="J634" s="48"/>
      <c r="K634" s="48"/>
      <c r="L634" s="48"/>
      <c r="M634" s="48"/>
      <c r="N634" s="48"/>
      <c r="O634" s="48"/>
      <c r="P634" s="48"/>
      <c r="Q634" s="48"/>
      <c r="R634" s="48"/>
      <c r="S634" s="52"/>
      <c r="T634" s="48"/>
    </row>
    <row r="635" spans="1:20" ht="15.75" x14ac:dyDescent="0.25">
      <c r="A635" s="10"/>
      <c r="B635" s="10"/>
      <c r="C635" s="48"/>
      <c r="D635" s="49"/>
      <c r="E635" s="48"/>
      <c r="F635" s="48"/>
      <c r="G635" s="48"/>
      <c r="H635" s="48"/>
      <c r="I635" s="50"/>
      <c r="J635" s="48"/>
      <c r="K635" s="48"/>
      <c r="L635" s="48"/>
      <c r="M635" s="48"/>
      <c r="N635" s="48"/>
      <c r="O635" s="48"/>
      <c r="P635" s="48"/>
      <c r="Q635" s="48"/>
      <c r="R635" s="48"/>
      <c r="S635" s="52"/>
      <c r="T635" s="48"/>
    </row>
    <row r="636" spans="1:20" ht="15.75" x14ac:dyDescent="0.25">
      <c r="A636" s="10"/>
      <c r="B636" s="10"/>
      <c r="C636" s="48"/>
      <c r="D636" s="49"/>
      <c r="E636" s="48"/>
      <c r="F636" s="48"/>
      <c r="G636" s="48"/>
      <c r="H636" s="48"/>
      <c r="I636" s="50"/>
      <c r="J636" s="48"/>
      <c r="K636" s="48"/>
      <c r="L636" s="48"/>
      <c r="M636" s="48"/>
      <c r="N636" s="48"/>
      <c r="O636" s="48"/>
      <c r="P636" s="48"/>
      <c r="Q636" s="48"/>
      <c r="R636" s="48"/>
      <c r="S636" s="52"/>
      <c r="T636" s="48"/>
    </row>
    <row r="637" spans="1:20" ht="15.75" x14ac:dyDescent="0.25">
      <c r="A637" s="10"/>
      <c r="B637" s="10"/>
      <c r="C637" s="48"/>
      <c r="D637" s="49"/>
      <c r="E637" s="48"/>
      <c r="F637" s="48"/>
      <c r="G637" s="48"/>
      <c r="H637" s="48"/>
      <c r="I637" s="50"/>
      <c r="J637" s="48"/>
      <c r="K637" s="48"/>
      <c r="L637" s="48"/>
      <c r="M637" s="48"/>
      <c r="N637" s="48"/>
      <c r="O637" s="48"/>
      <c r="P637" s="48"/>
      <c r="Q637" s="48"/>
      <c r="R637" s="48"/>
      <c r="S637" s="52"/>
      <c r="T637" s="48"/>
    </row>
    <row r="638" spans="1:20" ht="15.75" x14ac:dyDescent="0.25">
      <c r="A638" s="10"/>
      <c r="B638" s="10"/>
      <c r="C638" s="48"/>
      <c r="D638" s="49"/>
      <c r="E638" s="48"/>
      <c r="F638" s="48"/>
      <c r="G638" s="48"/>
      <c r="H638" s="48"/>
      <c r="I638" s="50"/>
      <c r="J638" s="48"/>
      <c r="K638" s="48"/>
      <c r="L638" s="48"/>
      <c r="M638" s="48"/>
      <c r="N638" s="48"/>
      <c r="O638" s="48"/>
      <c r="P638" s="48"/>
      <c r="Q638" s="48"/>
      <c r="R638" s="48"/>
      <c r="S638" s="52"/>
      <c r="T638" s="48"/>
    </row>
    <row r="639" spans="1:20" ht="15.75" x14ac:dyDescent="0.25">
      <c r="A639" s="10"/>
      <c r="B639" s="10"/>
      <c r="C639" s="48"/>
      <c r="D639" s="49"/>
      <c r="E639" s="48"/>
      <c r="F639" s="48"/>
      <c r="G639" s="48"/>
      <c r="H639" s="48"/>
      <c r="I639" s="50"/>
      <c r="J639" s="48"/>
      <c r="K639" s="48"/>
      <c r="L639" s="48"/>
      <c r="M639" s="48"/>
      <c r="N639" s="48"/>
      <c r="O639" s="48"/>
      <c r="P639" s="48"/>
      <c r="Q639" s="48"/>
      <c r="R639" s="48"/>
      <c r="S639" s="52"/>
      <c r="T639" s="48"/>
    </row>
    <row r="640" spans="1:20" ht="15.75" x14ac:dyDescent="0.25">
      <c r="A640" s="10"/>
      <c r="B640" s="10"/>
      <c r="C640" s="48"/>
      <c r="D640" s="49"/>
      <c r="E640" s="48"/>
      <c r="F640" s="48"/>
      <c r="G640" s="48"/>
      <c r="H640" s="48"/>
      <c r="I640" s="50"/>
      <c r="J640" s="48"/>
      <c r="K640" s="48"/>
      <c r="L640" s="48"/>
      <c r="M640" s="48"/>
      <c r="N640" s="48"/>
      <c r="O640" s="48"/>
      <c r="P640" s="48"/>
      <c r="Q640" s="48"/>
      <c r="R640" s="48"/>
      <c r="S640" s="52"/>
      <c r="T640" s="48"/>
    </row>
    <row r="641" spans="1:20" ht="15.75" x14ac:dyDescent="0.25">
      <c r="A641" s="10"/>
      <c r="B641" s="10"/>
      <c r="C641" s="48"/>
      <c r="D641" s="49"/>
      <c r="E641" s="48"/>
      <c r="F641" s="48"/>
      <c r="G641" s="48"/>
      <c r="H641" s="48"/>
      <c r="I641" s="50"/>
      <c r="J641" s="48"/>
      <c r="K641" s="48"/>
      <c r="L641" s="48"/>
      <c r="M641" s="48"/>
      <c r="N641" s="48"/>
      <c r="O641" s="48"/>
      <c r="P641" s="48"/>
      <c r="Q641" s="48"/>
      <c r="R641" s="48"/>
      <c r="S641" s="52"/>
      <c r="T641" s="48"/>
    </row>
    <row r="642" spans="1:20" ht="15.75" x14ac:dyDescent="0.25">
      <c r="A642" s="10"/>
      <c r="B642" s="10"/>
      <c r="C642" s="48"/>
      <c r="D642" s="49"/>
      <c r="E642" s="48"/>
      <c r="F642" s="48"/>
      <c r="G642" s="48"/>
      <c r="H642" s="48"/>
      <c r="I642" s="50"/>
      <c r="J642" s="48"/>
      <c r="K642" s="48"/>
      <c r="L642" s="48"/>
      <c r="M642" s="48"/>
      <c r="N642" s="48"/>
      <c r="O642" s="48"/>
      <c r="P642" s="48"/>
      <c r="Q642" s="48"/>
      <c r="R642" s="48"/>
      <c r="S642" s="52"/>
      <c r="T642" s="48"/>
    </row>
    <row r="643" spans="1:20" ht="15.75" x14ac:dyDescent="0.25">
      <c r="A643" s="10"/>
      <c r="B643" s="10"/>
      <c r="C643" s="48"/>
      <c r="D643" s="49"/>
      <c r="E643" s="48"/>
      <c r="F643" s="48"/>
      <c r="G643" s="48"/>
      <c r="H643" s="48"/>
      <c r="I643" s="50"/>
      <c r="J643" s="48"/>
      <c r="K643" s="48"/>
      <c r="L643" s="48"/>
      <c r="M643" s="48"/>
      <c r="N643" s="48"/>
      <c r="O643" s="48"/>
      <c r="P643" s="48"/>
      <c r="Q643" s="48"/>
      <c r="R643" s="48"/>
      <c r="S643" s="52"/>
      <c r="T643" s="48"/>
    </row>
    <row r="644" spans="1:20" ht="15.75" x14ac:dyDescent="0.25">
      <c r="A644" s="10"/>
      <c r="B644" s="10"/>
      <c r="C644" s="48"/>
      <c r="D644" s="49"/>
      <c r="E644" s="48"/>
      <c r="F644" s="48"/>
      <c r="G644" s="48"/>
      <c r="H644" s="48"/>
      <c r="I644" s="50"/>
      <c r="J644" s="48"/>
      <c r="K644" s="48"/>
      <c r="L644" s="48"/>
      <c r="M644" s="48"/>
      <c r="N644" s="48"/>
      <c r="O644" s="48"/>
      <c r="P644" s="48"/>
      <c r="Q644" s="48"/>
      <c r="R644" s="48"/>
      <c r="S644" s="52"/>
      <c r="T644" s="48"/>
    </row>
    <row r="645" spans="1:20" ht="15.75" x14ac:dyDescent="0.25">
      <c r="A645" s="10"/>
      <c r="B645" s="10"/>
      <c r="C645" s="48"/>
      <c r="D645" s="49"/>
      <c r="E645" s="48"/>
      <c r="F645" s="48"/>
      <c r="G645" s="48"/>
      <c r="H645" s="48"/>
      <c r="I645" s="50"/>
      <c r="J645" s="48"/>
      <c r="K645" s="48"/>
      <c r="L645" s="48"/>
      <c r="M645" s="48"/>
      <c r="N645" s="48"/>
      <c r="O645" s="48"/>
      <c r="P645" s="48"/>
      <c r="Q645" s="48"/>
      <c r="R645" s="48"/>
      <c r="S645" s="52"/>
      <c r="T645" s="48"/>
    </row>
    <row r="646" spans="1:20" ht="15.75" x14ac:dyDescent="0.25">
      <c r="A646" s="10"/>
      <c r="B646" s="10"/>
      <c r="C646" s="48"/>
      <c r="D646" s="49"/>
      <c r="E646" s="48"/>
      <c r="F646" s="48"/>
      <c r="G646" s="48"/>
      <c r="H646" s="48"/>
      <c r="I646" s="50"/>
      <c r="J646" s="48"/>
      <c r="K646" s="48"/>
      <c r="L646" s="48"/>
      <c r="M646" s="48"/>
      <c r="N646" s="48"/>
      <c r="O646" s="48"/>
      <c r="P646" s="48"/>
      <c r="Q646" s="48"/>
      <c r="R646" s="48"/>
      <c r="S646" s="52"/>
      <c r="T646" s="48"/>
    </row>
    <row r="647" spans="1:20" ht="15.75" x14ac:dyDescent="0.25">
      <c r="A647" s="10"/>
      <c r="B647" s="10"/>
      <c r="C647" s="48"/>
      <c r="D647" s="49"/>
      <c r="E647" s="48"/>
      <c r="F647" s="48"/>
      <c r="G647" s="48"/>
      <c r="H647" s="48"/>
      <c r="I647" s="50"/>
      <c r="J647" s="48"/>
      <c r="K647" s="48"/>
      <c r="L647" s="48"/>
      <c r="M647" s="48"/>
      <c r="N647" s="48"/>
      <c r="O647" s="48"/>
      <c r="P647" s="48"/>
      <c r="Q647" s="48"/>
      <c r="R647" s="48"/>
      <c r="S647" s="52"/>
      <c r="T647" s="48"/>
    </row>
    <row r="648" spans="1:20" ht="15.75" x14ac:dyDescent="0.25">
      <c r="A648" s="10"/>
      <c r="B648" s="10"/>
      <c r="C648" s="48"/>
      <c r="D648" s="49"/>
      <c r="E648" s="48"/>
      <c r="F648" s="48"/>
      <c r="G648" s="48"/>
      <c r="H648" s="48"/>
      <c r="I648" s="50"/>
      <c r="J648" s="48"/>
      <c r="K648" s="48"/>
      <c r="L648" s="48"/>
      <c r="M648" s="48"/>
      <c r="N648" s="48"/>
      <c r="O648" s="48"/>
      <c r="P648" s="48"/>
      <c r="Q648" s="48"/>
      <c r="R648" s="48"/>
      <c r="S648" s="52"/>
      <c r="T648" s="48"/>
    </row>
    <row r="649" spans="1:20" ht="15.75" x14ac:dyDescent="0.25">
      <c r="A649" s="10"/>
      <c r="B649" s="10"/>
      <c r="C649" s="48"/>
      <c r="D649" s="49"/>
      <c r="E649" s="48"/>
      <c r="F649" s="48"/>
      <c r="G649" s="48"/>
      <c r="H649" s="48"/>
      <c r="I649" s="50"/>
      <c r="J649" s="48"/>
      <c r="K649" s="48"/>
      <c r="L649" s="48"/>
      <c r="M649" s="48"/>
      <c r="N649" s="48"/>
      <c r="O649" s="48"/>
      <c r="P649" s="48"/>
      <c r="Q649" s="48"/>
      <c r="R649" s="48"/>
      <c r="S649" s="52"/>
      <c r="T649" s="48"/>
    </row>
    <row r="650" spans="1:20" ht="15.75" x14ac:dyDescent="0.25">
      <c r="A650" s="10"/>
      <c r="B650" s="10"/>
      <c r="C650" s="48"/>
      <c r="D650" s="49"/>
      <c r="E650" s="48"/>
      <c r="F650" s="48"/>
      <c r="G650" s="48"/>
      <c r="H650" s="48"/>
      <c r="I650" s="50"/>
      <c r="J650" s="48"/>
      <c r="K650" s="48"/>
      <c r="L650" s="48"/>
      <c r="M650" s="48"/>
      <c r="N650" s="48"/>
      <c r="O650" s="48"/>
      <c r="P650" s="48"/>
      <c r="Q650" s="48"/>
      <c r="R650" s="48"/>
      <c r="S650" s="52"/>
      <c r="T650" s="48"/>
    </row>
    <row r="651" spans="1:20" ht="15.75" x14ac:dyDescent="0.25">
      <c r="A651" s="10"/>
      <c r="B651" s="10"/>
      <c r="C651" s="48"/>
      <c r="D651" s="49"/>
      <c r="E651" s="48"/>
      <c r="F651" s="48"/>
      <c r="G651" s="48"/>
      <c r="H651" s="48"/>
      <c r="I651" s="50"/>
      <c r="J651" s="48"/>
      <c r="K651" s="48"/>
      <c r="L651" s="48"/>
      <c r="M651" s="48"/>
      <c r="N651" s="48"/>
      <c r="O651" s="48"/>
      <c r="P651" s="48"/>
      <c r="Q651" s="48"/>
      <c r="R651" s="48"/>
      <c r="S651" s="52"/>
      <c r="T651" s="48"/>
    </row>
    <row r="652" spans="1:20" ht="15.75" x14ac:dyDescent="0.25">
      <c r="A652" s="10"/>
      <c r="B652" s="10"/>
      <c r="C652" s="48"/>
      <c r="D652" s="49"/>
      <c r="E652" s="48"/>
      <c r="F652" s="48"/>
      <c r="G652" s="48"/>
      <c r="H652" s="48"/>
      <c r="I652" s="50"/>
      <c r="J652" s="48"/>
      <c r="K652" s="48"/>
      <c r="L652" s="48"/>
      <c r="M652" s="48"/>
      <c r="N652" s="48"/>
      <c r="O652" s="48"/>
      <c r="P652" s="48"/>
      <c r="Q652" s="48"/>
      <c r="R652" s="48"/>
      <c r="S652" s="52"/>
      <c r="T652" s="48"/>
    </row>
    <row r="653" spans="1:20" ht="15.75" x14ac:dyDescent="0.25">
      <c r="A653" s="10"/>
      <c r="B653" s="10"/>
      <c r="C653" s="48"/>
      <c r="D653" s="49"/>
      <c r="E653" s="48"/>
      <c r="F653" s="48"/>
      <c r="G653" s="48"/>
      <c r="H653" s="48"/>
      <c r="I653" s="50"/>
      <c r="J653" s="48"/>
      <c r="K653" s="48"/>
      <c r="L653" s="48"/>
      <c r="M653" s="48"/>
      <c r="N653" s="48"/>
      <c r="O653" s="48"/>
      <c r="P653" s="48"/>
      <c r="Q653" s="48"/>
      <c r="R653" s="48"/>
      <c r="S653" s="52"/>
      <c r="T653" s="48"/>
    </row>
    <row r="654" spans="1:20" ht="15.75" x14ac:dyDescent="0.25">
      <c r="A654" s="10"/>
      <c r="B654" s="10"/>
      <c r="C654" s="48"/>
      <c r="D654" s="49"/>
      <c r="E654" s="48"/>
      <c r="F654" s="48"/>
      <c r="G654" s="48"/>
      <c r="H654" s="48"/>
      <c r="I654" s="50"/>
      <c r="J654" s="48"/>
      <c r="K654" s="48"/>
      <c r="L654" s="48"/>
      <c r="M654" s="48"/>
      <c r="N654" s="48"/>
      <c r="O654" s="48"/>
      <c r="P654" s="48"/>
      <c r="Q654" s="48"/>
      <c r="R654" s="48"/>
      <c r="S654" s="52"/>
      <c r="T654" s="48"/>
    </row>
    <row r="655" spans="1:20" ht="15.75" x14ac:dyDescent="0.25">
      <c r="A655" s="10"/>
      <c r="B655" s="10"/>
      <c r="C655" s="48"/>
      <c r="D655" s="49"/>
      <c r="E655" s="48"/>
      <c r="F655" s="48"/>
      <c r="G655" s="48"/>
      <c r="H655" s="48"/>
      <c r="I655" s="50"/>
      <c r="J655" s="48"/>
      <c r="K655" s="48"/>
      <c r="L655" s="48"/>
      <c r="M655" s="48"/>
      <c r="N655" s="48"/>
      <c r="O655" s="48"/>
      <c r="P655" s="48"/>
      <c r="Q655" s="48"/>
      <c r="R655" s="48"/>
      <c r="S655" s="52"/>
      <c r="T655" s="48"/>
    </row>
    <row r="656" spans="1:20" ht="15.75" x14ac:dyDescent="0.25">
      <c r="A656" s="10"/>
      <c r="B656" s="10"/>
      <c r="C656" s="48"/>
      <c r="D656" s="49"/>
      <c r="E656" s="48"/>
      <c r="F656" s="48"/>
      <c r="G656" s="48"/>
      <c r="H656" s="48"/>
      <c r="I656" s="50"/>
      <c r="J656" s="48"/>
      <c r="K656" s="48"/>
      <c r="L656" s="48"/>
      <c r="M656" s="48"/>
      <c r="N656" s="48"/>
      <c r="O656" s="48"/>
      <c r="P656" s="48"/>
      <c r="Q656" s="48"/>
      <c r="R656" s="48"/>
      <c r="S656" s="52"/>
      <c r="T656" s="48"/>
    </row>
    <row r="657" spans="1:20" ht="15.75" x14ac:dyDescent="0.25">
      <c r="A657" s="10"/>
      <c r="B657" s="10"/>
      <c r="C657" s="48"/>
      <c r="D657" s="49"/>
      <c r="E657" s="48"/>
      <c r="F657" s="48"/>
      <c r="G657" s="48"/>
      <c r="H657" s="48"/>
      <c r="I657" s="50"/>
      <c r="J657" s="48"/>
      <c r="K657" s="48"/>
      <c r="L657" s="48"/>
      <c r="M657" s="48"/>
      <c r="N657" s="48"/>
      <c r="O657" s="48"/>
      <c r="P657" s="48"/>
      <c r="Q657" s="48"/>
      <c r="R657" s="48"/>
      <c r="S657" s="52"/>
      <c r="T657" s="48"/>
    </row>
    <row r="658" spans="1:20" ht="15.75" x14ac:dyDescent="0.25">
      <c r="A658" s="10"/>
      <c r="B658" s="10"/>
      <c r="C658" s="48"/>
      <c r="D658" s="49"/>
      <c r="E658" s="48"/>
      <c r="F658" s="48"/>
      <c r="G658" s="48"/>
      <c r="H658" s="48"/>
      <c r="I658" s="50"/>
      <c r="J658" s="48"/>
      <c r="K658" s="48"/>
      <c r="L658" s="48"/>
      <c r="M658" s="48"/>
      <c r="N658" s="48"/>
      <c r="O658" s="48"/>
      <c r="P658" s="48"/>
      <c r="Q658" s="48"/>
      <c r="R658" s="48"/>
      <c r="S658" s="52"/>
      <c r="T658" s="48"/>
    </row>
    <row r="659" spans="1:20" ht="15.75" x14ac:dyDescent="0.25">
      <c r="A659" s="10"/>
      <c r="B659" s="10"/>
      <c r="C659" s="48"/>
      <c r="D659" s="49"/>
      <c r="E659" s="48"/>
      <c r="F659" s="48"/>
      <c r="G659" s="48"/>
      <c r="H659" s="48"/>
      <c r="I659" s="50"/>
      <c r="J659" s="48"/>
      <c r="K659" s="48"/>
      <c r="L659" s="48"/>
      <c r="M659" s="48"/>
      <c r="N659" s="48"/>
      <c r="O659" s="48"/>
      <c r="P659" s="48"/>
      <c r="Q659" s="48"/>
      <c r="R659" s="48"/>
      <c r="S659" s="52"/>
      <c r="T659" s="48"/>
    </row>
    <row r="660" spans="1:20" ht="15.75" x14ac:dyDescent="0.25">
      <c r="A660" s="10"/>
      <c r="B660" s="10"/>
      <c r="C660" s="48"/>
      <c r="D660" s="49"/>
      <c r="E660" s="48"/>
      <c r="F660" s="48"/>
      <c r="G660" s="48"/>
      <c r="H660" s="48"/>
      <c r="I660" s="50"/>
      <c r="J660" s="48"/>
      <c r="K660" s="48"/>
      <c r="L660" s="48"/>
      <c r="M660" s="48"/>
      <c r="N660" s="48"/>
      <c r="O660" s="48"/>
      <c r="P660" s="48"/>
      <c r="Q660" s="48"/>
      <c r="R660" s="48"/>
      <c r="S660" s="52"/>
      <c r="T660" s="48"/>
    </row>
    <row r="661" spans="1:20" ht="15.75" x14ac:dyDescent="0.25">
      <c r="A661" s="10"/>
      <c r="B661" s="10"/>
      <c r="C661" s="48"/>
      <c r="D661" s="49"/>
      <c r="E661" s="48"/>
      <c r="F661" s="48"/>
      <c r="G661" s="48"/>
      <c r="H661" s="48"/>
      <c r="I661" s="50"/>
      <c r="J661" s="48"/>
      <c r="K661" s="48"/>
      <c r="L661" s="48"/>
      <c r="M661" s="48"/>
      <c r="N661" s="48"/>
      <c r="O661" s="48"/>
      <c r="P661" s="48"/>
      <c r="Q661" s="48"/>
      <c r="R661" s="48"/>
      <c r="S661" s="52"/>
      <c r="T661" s="48"/>
    </row>
    <row r="662" spans="1:20" ht="15.75" x14ac:dyDescent="0.25">
      <c r="A662" s="10"/>
      <c r="B662" s="10"/>
      <c r="C662" s="48"/>
      <c r="D662" s="49"/>
      <c r="E662" s="48"/>
      <c r="F662" s="48"/>
      <c r="G662" s="48"/>
      <c r="H662" s="48"/>
      <c r="I662" s="50"/>
      <c r="J662" s="48"/>
      <c r="K662" s="48"/>
      <c r="L662" s="48"/>
      <c r="M662" s="48"/>
      <c r="N662" s="48"/>
      <c r="O662" s="48"/>
      <c r="P662" s="48"/>
      <c r="Q662" s="48"/>
      <c r="R662" s="48"/>
      <c r="S662" s="52"/>
      <c r="T662" s="48"/>
    </row>
    <row r="663" spans="1:20" ht="15.75" x14ac:dyDescent="0.25">
      <c r="A663" s="10"/>
      <c r="B663" s="10"/>
      <c r="C663" s="48"/>
      <c r="D663" s="49"/>
      <c r="E663" s="48"/>
      <c r="F663" s="48"/>
      <c r="G663" s="48"/>
      <c r="H663" s="48"/>
      <c r="I663" s="50"/>
      <c r="J663" s="48"/>
      <c r="K663" s="48"/>
      <c r="L663" s="48"/>
      <c r="M663" s="48"/>
      <c r="N663" s="48"/>
      <c r="O663" s="48"/>
      <c r="P663" s="48"/>
      <c r="Q663" s="48"/>
      <c r="R663" s="48"/>
      <c r="S663" s="52"/>
      <c r="T663" s="48"/>
    </row>
    <row r="664" spans="1:20" ht="15.75" x14ac:dyDescent="0.25">
      <c r="A664" s="10"/>
      <c r="B664" s="10"/>
      <c r="C664" s="48"/>
      <c r="D664" s="49"/>
      <c r="E664" s="48"/>
      <c r="F664" s="48"/>
      <c r="G664" s="48"/>
      <c r="H664" s="48"/>
      <c r="I664" s="50"/>
      <c r="J664" s="48"/>
      <c r="K664" s="48"/>
      <c r="L664" s="48"/>
      <c r="M664" s="48"/>
      <c r="N664" s="48"/>
      <c r="O664" s="48"/>
      <c r="P664" s="48"/>
      <c r="Q664" s="48"/>
      <c r="R664" s="48"/>
      <c r="S664" s="52"/>
      <c r="T664" s="48"/>
    </row>
    <row r="665" spans="1:20" ht="15.75" x14ac:dyDescent="0.25">
      <c r="A665" s="10"/>
      <c r="B665" s="10"/>
      <c r="C665" s="48"/>
      <c r="D665" s="49"/>
      <c r="E665" s="48"/>
      <c r="F665" s="48"/>
      <c r="G665" s="48"/>
      <c r="H665" s="48"/>
      <c r="I665" s="50"/>
      <c r="J665" s="48"/>
      <c r="K665" s="48"/>
      <c r="L665" s="48"/>
      <c r="M665" s="48"/>
      <c r="N665" s="48"/>
      <c r="O665" s="48"/>
      <c r="P665" s="48"/>
      <c r="Q665" s="48"/>
      <c r="R665" s="48"/>
      <c r="S665" s="52"/>
      <c r="T665" s="48"/>
    </row>
    <row r="666" spans="1:20" ht="15.75" x14ac:dyDescent="0.25">
      <c r="A666" s="10"/>
      <c r="B666" s="10"/>
      <c r="C666" s="48"/>
      <c r="D666" s="49"/>
      <c r="E666" s="48"/>
      <c r="F666" s="48"/>
      <c r="G666" s="48"/>
      <c r="H666" s="48"/>
      <c r="I666" s="50"/>
      <c r="J666" s="48"/>
      <c r="K666" s="48"/>
      <c r="L666" s="48"/>
      <c r="M666" s="48"/>
      <c r="N666" s="48"/>
      <c r="O666" s="48"/>
      <c r="P666" s="48"/>
      <c r="Q666" s="48"/>
      <c r="R666" s="48"/>
      <c r="S666" s="52"/>
      <c r="T666" s="48"/>
    </row>
    <row r="667" spans="1:20" ht="15.75" x14ac:dyDescent="0.25">
      <c r="A667" s="10"/>
      <c r="B667" s="10"/>
      <c r="C667" s="48"/>
      <c r="D667" s="49"/>
      <c r="E667" s="48"/>
      <c r="F667" s="48"/>
      <c r="G667" s="48"/>
      <c r="H667" s="48"/>
      <c r="I667" s="50"/>
      <c r="J667" s="48"/>
      <c r="K667" s="48"/>
      <c r="L667" s="48"/>
      <c r="M667" s="48"/>
      <c r="N667" s="48"/>
      <c r="O667" s="48"/>
      <c r="P667" s="48"/>
      <c r="Q667" s="48"/>
      <c r="R667" s="48"/>
      <c r="S667" s="52"/>
      <c r="T667" s="48"/>
    </row>
    <row r="668" spans="1:20" ht="15.75" x14ac:dyDescent="0.25">
      <c r="A668" s="10"/>
      <c r="B668" s="10"/>
      <c r="C668" s="48"/>
      <c r="D668" s="49"/>
      <c r="E668" s="48"/>
      <c r="F668" s="48"/>
      <c r="G668" s="48"/>
      <c r="H668" s="48"/>
      <c r="I668" s="50"/>
      <c r="J668" s="48"/>
      <c r="K668" s="48"/>
      <c r="L668" s="48"/>
      <c r="M668" s="48"/>
      <c r="N668" s="48"/>
      <c r="O668" s="48"/>
      <c r="P668" s="48"/>
      <c r="Q668" s="48"/>
      <c r="R668" s="48"/>
      <c r="S668" s="52"/>
      <c r="T668" s="48"/>
    </row>
    <row r="669" spans="1:20" ht="15.75" x14ac:dyDescent="0.25">
      <c r="A669" s="10"/>
      <c r="B669" s="10"/>
      <c r="C669" s="48"/>
      <c r="D669" s="49"/>
      <c r="E669" s="48"/>
      <c r="F669" s="48"/>
      <c r="G669" s="48"/>
      <c r="H669" s="48"/>
      <c r="I669" s="50"/>
      <c r="J669" s="48"/>
      <c r="K669" s="48"/>
      <c r="L669" s="48"/>
      <c r="M669" s="48"/>
      <c r="N669" s="48"/>
      <c r="O669" s="48"/>
      <c r="P669" s="48"/>
      <c r="Q669" s="48"/>
      <c r="R669" s="48"/>
      <c r="S669" s="52"/>
      <c r="T669" s="48"/>
    </row>
    <row r="670" spans="1:20" ht="15.75" x14ac:dyDescent="0.25">
      <c r="A670" s="10"/>
      <c r="B670" s="10"/>
      <c r="C670" s="48"/>
      <c r="D670" s="49"/>
      <c r="E670" s="48"/>
      <c r="F670" s="48"/>
      <c r="G670" s="48"/>
      <c r="H670" s="48"/>
      <c r="I670" s="50"/>
      <c r="J670" s="48"/>
      <c r="K670" s="48"/>
      <c r="L670" s="48"/>
      <c r="M670" s="48"/>
      <c r="N670" s="48"/>
      <c r="O670" s="48"/>
      <c r="P670" s="48"/>
      <c r="Q670" s="48"/>
      <c r="R670" s="48"/>
      <c r="S670" s="52"/>
      <c r="T670" s="48"/>
    </row>
    <row r="671" spans="1:20" ht="15.75" x14ac:dyDescent="0.25">
      <c r="A671" s="10"/>
      <c r="B671" s="10"/>
      <c r="C671" s="48"/>
      <c r="D671" s="49"/>
      <c r="E671" s="48"/>
      <c r="F671" s="48"/>
      <c r="G671" s="48"/>
      <c r="H671" s="48"/>
      <c r="I671" s="50"/>
      <c r="J671" s="48"/>
      <c r="K671" s="48"/>
      <c r="L671" s="48"/>
      <c r="M671" s="48"/>
      <c r="N671" s="48"/>
      <c r="O671" s="48"/>
      <c r="P671" s="48"/>
      <c r="Q671" s="48"/>
      <c r="R671" s="48"/>
      <c r="S671" s="52"/>
      <c r="T671" s="48"/>
    </row>
    <row r="672" spans="1:20" ht="15.75" x14ac:dyDescent="0.25">
      <c r="A672" s="10"/>
      <c r="B672" s="10"/>
      <c r="C672" s="48"/>
      <c r="D672" s="49"/>
      <c r="E672" s="48"/>
      <c r="F672" s="48"/>
      <c r="G672" s="48"/>
      <c r="H672" s="48"/>
      <c r="I672" s="50"/>
      <c r="J672" s="48"/>
      <c r="K672" s="48"/>
      <c r="L672" s="48"/>
      <c r="M672" s="48"/>
      <c r="N672" s="48"/>
      <c r="O672" s="48"/>
      <c r="P672" s="48"/>
      <c r="Q672" s="48"/>
      <c r="R672" s="48"/>
      <c r="S672" s="52"/>
      <c r="T672" s="48"/>
    </row>
    <row r="673" spans="1:20" ht="15.75" x14ac:dyDescent="0.25">
      <c r="A673" s="10"/>
      <c r="B673" s="10"/>
      <c r="C673" s="48"/>
      <c r="D673" s="49"/>
      <c r="E673" s="48"/>
      <c r="F673" s="48"/>
      <c r="G673" s="48"/>
      <c r="H673" s="48"/>
      <c r="I673" s="50"/>
      <c r="J673" s="48"/>
      <c r="K673" s="48"/>
      <c r="L673" s="48"/>
      <c r="M673" s="48"/>
      <c r="N673" s="48"/>
      <c r="O673" s="48"/>
      <c r="P673" s="48"/>
      <c r="Q673" s="48"/>
      <c r="R673" s="48"/>
      <c r="S673" s="52"/>
      <c r="T673" s="48"/>
    </row>
    <row r="674" spans="1:20" ht="15.75" x14ac:dyDescent="0.25">
      <c r="A674" s="10"/>
      <c r="B674" s="10"/>
      <c r="C674" s="48"/>
      <c r="D674" s="49"/>
      <c r="E674" s="48"/>
      <c r="F674" s="48"/>
      <c r="G674" s="48"/>
      <c r="H674" s="48"/>
      <c r="I674" s="50"/>
      <c r="J674" s="48"/>
      <c r="K674" s="48"/>
      <c r="L674" s="48"/>
      <c r="M674" s="48"/>
      <c r="N674" s="48"/>
      <c r="O674" s="48"/>
      <c r="P674" s="48"/>
      <c r="Q674" s="48"/>
      <c r="R674" s="48"/>
      <c r="S674" s="52"/>
      <c r="T674" s="48"/>
    </row>
    <row r="675" spans="1:20" ht="15.75" x14ac:dyDescent="0.25">
      <c r="A675" s="10"/>
      <c r="B675" s="10"/>
      <c r="C675" s="48"/>
      <c r="D675" s="49"/>
      <c r="E675" s="48"/>
      <c r="F675" s="48"/>
      <c r="G675" s="48"/>
      <c r="H675" s="48"/>
      <c r="I675" s="50"/>
      <c r="J675" s="48"/>
      <c r="K675" s="48"/>
      <c r="L675" s="48"/>
      <c r="M675" s="48"/>
      <c r="N675" s="48"/>
      <c r="O675" s="48"/>
      <c r="P675" s="48"/>
      <c r="Q675" s="48"/>
      <c r="R675" s="48"/>
      <c r="S675" s="52"/>
      <c r="T675" s="48"/>
    </row>
    <row r="676" spans="1:20" ht="15.75" x14ac:dyDescent="0.25">
      <c r="A676" s="10"/>
      <c r="B676" s="10"/>
      <c r="C676" s="48"/>
      <c r="D676" s="49"/>
      <c r="E676" s="48"/>
      <c r="F676" s="48"/>
      <c r="G676" s="48"/>
      <c r="H676" s="48"/>
      <c r="I676" s="50"/>
      <c r="J676" s="48"/>
      <c r="K676" s="48"/>
      <c r="L676" s="48"/>
      <c r="M676" s="48"/>
      <c r="N676" s="48"/>
      <c r="O676" s="48"/>
      <c r="P676" s="48"/>
      <c r="Q676" s="48"/>
      <c r="R676" s="48"/>
      <c r="S676" s="52"/>
      <c r="T676" s="48"/>
    </row>
    <row r="677" spans="1:20" ht="15.75" x14ac:dyDescent="0.25">
      <c r="A677" s="10"/>
      <c r="B677" s="10"/>
      <c r="C677" s="48"/>
      <c r="D677" s="49"/>
      <c r="E677" s="48"/>
      <c r="F677" s="48"/>
      <c r="G677" s="48"/>
      <c r="H677" s="48"/>
      <c r="I677" s="50"/>
      <c r="J677" s="48"/>
      <c r="K677" s="48"/>
      <c r="L677" s="48"/>
      <c r="M677" s="48"/>
      <c r="N677" s="48"/>
      <c r="O677" s="48"/>
      <c r="P677" s="48"/>
      <c r="Q677" s="48"/>
      <c r="R677" s="48"/>
      <c r="S677" s="52"/>
      <c r="T677" s="48"/>
    </row>
    <row r="678" spans="1:20" ht="15.75" x14ac:dyDescent="0.25">
      <c r="A678" s="10"/>
      <c r="B678" s="10"/>
      <c r="C678" s="48"/>
      <c r="D678" s="49"/>
      <c r="E678" s="48"/>
      <c r="F678" s="48"/>
      <c r="G678" s="48"/>
      <c r="H678" s="48"/>
      <c r="I678" s="50"/>
      <c r="J678" s="48"/>
      <c r="K678" s="48"/>
      <c r="L678" s="48"/>
      <c r="M678" s="48"/>
      <c r="N678" s="48"/>
      <c r="O678" s="48"/>
      <c r="P678" s="48"/>
      <c r="Q678" s="48"/>
      <c r="R678" s="48"/>
      <c r="S678" s="52"/>
      <c r="T678" s="48"/>
    </row>
    <row r="679" spans="1:20" ht="15.75" x14ac:dyDescent="0.25">
      <c r="A679" s="10"/>
      <c r="B679" s="10"/>
      <c r="C679" s="48"/>
      <c r="D679" s="49"/>
      <c r="E679" s="48"/>
      <c r="F679" s="48"/>
      <c r="G679" s="48"/>
      <c r="H679" s="48"/>
      <c r="I679" s="50"/>
      <c r="J679" s="48"/>
      <c r="K679" s="48"/>
      <c r="L679" s="48"/>
      <c r="M679" s="48"/>
      <c r="N679" s="48"/>
      <c r="O679" s="48"/>
      <c r="P679" s="48"/>
      <c r="Q679" s="48"/>
      <c r="R679" s="48"/>
      <c r="S679" s="52"/>
      <c r="T679" s="48"/>
    </row>
    <row r="680" spans="1:20" ht="15.75" x14ac:dyDescent="0.25">
      <c r="A680" s="10"/>
      <c r="B680" s="10"/>
      <c r="C680" s="48"/>
      <c r="D680" s="49"/>
      <c r="E680" s="48"/>
      <c r="F680" s="48"/>
      <c r="G680" s="48"/>
      <c r="H680" s="48"/>
      <c r="I680" s="50"/>
      <c r="J680" s="48"/>
      <c r="K680" s="48"/>
      <c r="L680" s="48"/>
      <c r="M680" s="48"/>
      <c r="N680" s="48"/>
      <c r="O680" s="48"/>
      <c r="P680" s="48"/>
      <c r="Q680" s="48"/>
      <c r="R680" s="48"/>
      <c r="S680" s="52"/>
      <c r="T680" s="48"/>
    </row>
    <row r="681" spans="1:20" ht="15.75" x14ac:dyDescent="0.25">
      <c r="A681" s="10"/>
      <c r="B681" s="10"/>
      <c r="C681" s="48"/>
      <c r="D681" s="49"/>
      <c r="E681" s="48"/>
      <c r="F681" s="48"/>
      <c r="G681" s="48"/>
      <c r="H681" s="48"/>
      <c r="I681" s="50"/>
      <c r="J681" s="48"/>
      <c r="K681" s="48"/>
      <c r="L681" s="48"/>
      <c r="M681" s="48"/>
      <c r="N681" s="48"/>
      <c r="O681" s="48"/>
      <c r="P681" s="48"/>
      <c r="Q681" s="48"/>
      <c r="R681" s="48"/>
      <c r="S681" s="52"/>
      <c r="T681" s="48"/>
    </row>
    <row r="682" spans="1:20" ht="15.75" x14ac:dyDescent="0.25">
      <c r="A682" s="10"/>
      <c r="B682" s="10"/>
      <c r="C682" s="48"/>
      <c r="D682" s="49"/>
      <c r="E682" s="48"/>
      <c r="F682" s="48"/>
      <c r="G682" s="48"/>
      <c r="H682" s="48"/>
      <c r="I682" s="50"/>
      <c r="J682" s="48"/>
      <c r="K682" s="48"/>
      <c r="L682" s="48"/>
      <c r="M682" s="48"/>
      <c r="N682" s="48"/>
      <c r="O682" s="48"/>
      <c r="P682" s="48"/>
      <c r="Q682" s="48"/>
      <c r="R682" s="48"/>
      <c r="S682" s="52"/>
      <c r="T682" s="48"/>
    </row>
    <row r="683" spans="1:20" ht="15.75" x14ac:dyDescent="0.25">
      <c r="A683" s="10"/>
      <c r="B683" s="10"/>
      <c r="C683" s="48"/>
      <c r="D683" s="49"/>
      <c r="E683" s="48"/>
      <c r="F683" s="48"/>
      <c r="G683" s="48"/>
      <c r="H683" s="48"/>
      <c r="I683" s="50"/>
      <c r="J683" s="48"/>
      <c r="K683" s="48"/>
      <c r="L683" s="48"/>
      <c r="M683" s="48"/>
      <c r="N683" s="48"/>
      <c r="O683" s="48"/>
      <c r="P683" s="48"/>
      <c r="Q683" s="48"/>
      <c r="R683" s="48"/>
      <c r="S683" s="52"/>
      <c r="T683" s="48"/>
    </row>
    <row r="684" spans="1:20" ht="15.75" x14ac:dyDescent="0.25">
      <c r="A684" s="10"/>
      <c r="B684" s="10"/>
      <c r="C684" s="48"/>
      <c r="D684" s="49"/>
      <c r="E684" s="48"/>
      <c r="F684" s="48"/>
      <c r="G684" s="48"/>
      <c r="H684" s="48"/>
      <c r="I684" s="50"/>
      <c r="J684" s="48"/>
      <c r="K684" s="48"/>
      <c r="L684" s="48"/>
      <c r="M684" s="48"/>
      <c r="N684" s="48"/>
      <c r="O684" s="48"/>
      <c r="P684" s="48"/>
      <c r="Q684" s="48"/>
      <c r="R684" s="48"/>
      <c r="S684" s="52"/>
      <c r="T684" s="48"/>
    </row>
    <row r="685" spans="1:20" ht="15.75" x14ac:dyDescent="0.25">
      <c r="A685" s="10"/>
      <c r="B685" s="10"/>
      <c r="C685" s="48"/>
      <c r="D685" s="49"/>
      <c r="E685" s="48"/>
      <c r="F685" s="48"/>
      <c r="G685" s="48"/>
      <c r="H685" s="48"/>
      <c r="I685" s="50"/>
      <c r="J685" s="48"/>
      <c r="K685" s="48"/>
      <c r="L685" s="48"/>
      <c r="M685" s="48"/>
      <c r="N685" s="48"/>
      <c r="O685" s="48"/>
      <c r="P685" s="48"/>
      <c r="Q685" s="48"/>
      <c r="R685" s="48"/>
      <c r="S685" s="52"/>
      <c r="T685" s="48"/>
    </row>
    <row r="686" spans="1:20" ht="15.75" x14ac:dyDescent="0.25">
      <c r="A686" s="10"/>
      <c r="B686" s="10"/>
      <c r="C686" s="48"/>
      <c r="D686" s="49"/>
      <c r="E686" s="48"/>
      <c r="F686" s="48"/>
      <c r="G686" s="48"/>
      <c r="H686" s="48"/>
      <c r="I686" s="50"/>
      <c r="J686" s="48"/>
      <c r="K686" s="48"/>
      <c r="L686" s="48"/>
      <c r="M686" s="48"/>
      <c r="N686" s="48"/>
      <c r="O686" s="48"/>
      <c r="P686" s="48"/>
      <c r="Q686" s="48"/>
      <c r="R686" s="48"/>
      <c r="S686" s="52"/>
      <c r="T686" s="48"/>
    </row>
    <row r="687" spans="1:20" ht="15.75" x14ac:dyDescent="0.25">
      <c r="A687" s="10"/>
      <c r="B687" s="10"/>
      <c r="C687" s="48"/>
      <c r="D687" s="49"/>
      <c r="E687" s="48"/>
      <c r="F687" s="48"/>
      <c r="G687" s="48"/>
      <c r="H687" s="48"/>
      <c r="I687" s="50"/>
      <c r="J687" s="48"/>
      <c r="K687" s="48"/>
      <c r="L687" s="48"/>
      <c r="M687" s="48"/>
      <c r="N687" s="48"/>
      <c r="O687" s="48"/>
      <c r="P687" s="48"/>
      <c r="Q687" s="48"/>
      <c r="R687" s="48"/>
      <c r="S687" s="52"/>
      <c r="T687" s="48"/>
    </row>
    <row r="688" spans="1:20" ht="15.75" x14ac:dyDescent="0.25">
      <c r="A688" s="10"/>
      <c r="B688" s="10"/>
      <c r="C688" s="48"/>
      <c r="D688" s="49"/>
      <c r="E688" s="48"/>
      <c r="F688" s="48"/>
      <c r="G688" s="48"/>
      <c r="H688" s="48"/>
      <c r="I688" s="50"/>
      <c r="J688" s="48"/>
      <c r="K688" s="48"/>
      <c r="L688" s="48"/>
      <c r="M688" s="48"/>
      <c r="N688" s="48"/>
      <c r="O688" s="48"/>
      <c r="P688" s="48"/>
      <c r="Q688" s="48"/>
      <c r="R688" s="48"/>
      <c r="S688" s="52"/>
      <c r="T688" s="48"/>
    </row>
    <row r="689" spans="1:20" ht="15.75" x14ac:dyDescent="0.25">
      <c r="A689" s="10"/>
      <c r="B689" s="10"/>
      <c r="C689" s="48"/>
      <c r="D689" s="49"/>
      <c r="E689" s="48"/>
      <c r="F689" s="48"/>
      <c r="G689" s="48"/>
      <c r="H689" s="48"/>
      <c r="I689" s="50"/>
      <c r="J689" s="48"/>
      <c r="K689" s="48"/>
      <c r="L689" s="48"/>
      <c r="M689" s="48"/>
      <c r="N689" s="48"/>
      <c r="O689" s="48"/>
      <c r="P689" s="48"/>
      <c r="Q689" s="48"/>
      <c r="R689" s="48"/>
      <c r="S689" s="52"/>
      <c r="T689" s="48"/>
    </row>
    <row r="690" spans="1:20" ht="15.75" x14ac:dyDescent="0.25">
      <c r="A690" s="10"/>
      <c r="B690" s="10"/>
      <c r="C690" s="48"/>
      <c r="D690" s="49"/>
      <c r="E690" s="48"/>
      <c r="F690" s="48"/>
      <c r="G690" s="48"/>
      <c r="H690" s="48"/>
      <c r="I690" s="50"/>
      <c r="J690" s="48"/>
      <c r="K690" s="48"/>
      <c r="L690" s="48"/>
      <c r="M690" s="48"/>
      <c r="N690" s="48"/>
      <c r="O690" s="48"/>
      <c r="P690" s="48"/>
      <c r="Q690" s="48"/>
      <c r="R690" s="48"/>
      <c r="S690" s="52"/>
      <c r="T690" s="48"/>
    </row>
    <row r="691" spans="1:20" ht="15.75" x14ac:dyDescent="0.25">
      <c r="A691" s="10"/>
      <c r="B691" s="10"/>
      <c r="C691" s="48"/>
      <c r="D691" s="49"/>
      <c r="E691" s="48"/>
      <c r="F691" s="48"/>
      <c r="G691" s="48"/>
      <c r="H691" s="48"/>
      <c r="I691" s="50"/>
      <c r="J691" s="48"/>
      <c r="K691" s="48"/>
      <c r="L691" s="48"/>
      <c r="M691" s="48"/>
      <c r="N691" s="48"/>
      <c r="O691" s="48"/>
      <c r="P691" s="48"/>
      <c r="Q691" s="48"/>
      <c r="R691" s="48"/>
      <c r="S691" s="52"/>
      <c r="T691" s="48"/>
    </row>
    <row r="692" spans="1:20" ht="15.75" x14ac:dyDescent="0.25">
      <c r="A692" s="10"/>
      <c r="B692" s="10"/>
      <c r="C692" s="48"/>
      <c r="D692" s="49"/>
      <c r="E692" s="48"/>
      <c r="F692" s="48"/>
      <c r="G692" s="48"/>
      <c r="H692" s="48"/>
      <c r="I692" s="50"/>
      <c r="J692" s="48"/>
      <c r="K692" s="48"/>
      <c r="L692" s="48"/>
      <c r="M692" s="48"/>
      <c r="N692" s="48"/>
      <c r="O692" s="48"/>
      <c r="P692" s="48"/>
      <c r="Q692" s="48"/>
      <c r="R692" s="48"/>
      <c r="S692" s="52"/>
      <c r="T692" s="48"/>
    </row>
    <row r="693" spans="1:20" ht="15.75" x14ac:dyDescent="0.25">
      <c r="A693" s="10"/>
      <c r="B693" s="10"/>
      <c r="C693" s="48"/>
      <c r="D693" s="49"/>
      <c r="E693" s="48"/>
      <c r="F693" s="48"/>
      <c r="G693" s="48"/>
      <c r="H693" s="48"/>
      <c r="I693" s="50"/>
      <c r="J693" s="48"/>
      <c r="K693" s="48"/>
      <c r="L693" s="48"/>
      <c r="M693" s="48"/>
      <c r="N693" s="48"/>
      <c r="O693" s="48"/>
      <c r="P693" s="48"/>
      <c r="Q693" s="48"/>
      <c r="R693" s="48"/>
      <c r="S693" s="52"/>
      <c r="T693" s="48"/>
    </row>
    <row r="694" spans="1:20" ht="15.75" x14ac:dyDescent="0.25">
      <c r="A694" s="10"/>
      <c r="B694" s="10"/>
      <c r="C694" s="48"/>
      <c r="D694" s="49"/>
      <c r="E694" s="48"/>
      <c r="F694" s="48"/>
      <c r="G694" s="48"/>
      <c r="H694" s="48"/>
      <c r="I694" s="50"/>
      <c r="J694" s="48"/>
      <c r="K694" s="48"/>
      <c r="L694" s="48"/>
      <c r="M694" s="48"/>
      <c r="N694" s="48"/>
      <c r="O694" s="48"/>
      <c r="P694" s="48"/>
      <c r="Q694" s="48"/>
      <c r="R694" s="48"/>
      <c r="S694" s="52"/>
      <c r="T694" s="48"/>
    </row>
    <row r="695" spans="1:20" ht="15.75" x14ac:dyDescent="0.25">
      <c r="A695" s="10"/>
      <c r="B695" s="10"/>
      <c r="C695" s="48"/>
      <c r="D695" s="49"/>
      <c r="E695" s="48"/>
      <c r="F695" s="48"/>
      <c r="G695" s="48"/>
      <c r="H695" s="48"/>
      <c r="I695" s="50"/>
      <c r="J695" s="48"/>
      <c r="K695" s="48"/>
      <c r="L695" s="48"/>
      <c r="M695" s="48"/>
      <c r="N695" s="48"/>
      <c r="O695" s="48"/>
      <c r="P695" s="48"/>
      <c r="Q695" s="48"/>
      <c r="R695" s="48"/>
      <c r="S695" s="52"/>
      <c r="T695" s="48"/>
    </row>
    <row r="696" spans="1:20" ht="15.75" x14ac:dyDescent="0.25">
      <c r="A696" s="10"/>
      <c r="B696" s="10"/>
      <c r="C696" s="48"/>
      <c r="D696" s="49"/>
      <c r="E696" s="48"/>
      <c r="F696" s="48"/>
      <c r="G696" s="48"/>
      <c r="H696" s="48"/>
      <c r="I696" s="50"/>
      <c r="J696" s="48"/>
      <c r="K696" s="48"/>
      <c r="L696" s="48"/>
      <c r="M696" s="48"/>
      <c r="N696" s="48"/>
      <c r="O696" s="48"/>
      <c r="P696" s="48"/>
      <c r="Q696" s="48"/>
      <c r="R696" s="48"/>
      <c r="S696" s="52"/>
      <c r="T696" s="48"/>
    </row>
    <row r="697" spans="1:20" ht="15.75" x14ac:dyDescent="0.25">
      <c r="A697" s="10"/>
      <c r="B697" s="10"/>
      <c r="C697" s="48"/>
      <c r="D697" s="49"/>
      <c r="E697" s="48"/>
      <c r="F697" s="48"/>
      <c r="G697" s="48"/>
      <c r="H697" s="48"/>
      <c r="I697" s="50"/>
      <c r="J697" s="48"/>
      <c r="K697" s="48"/>
      <c r="L697" s="48"/>
      <c r="M697" s="48"/>
      <c r="N697" s="48"/>
      <c r="O697" s="48"/>
      <c r="P697" s="48"/>
      <c r="Q697" s="48"/>
      <c r="R697" s="48"/>
      <c r="S697" s="52"/>
      <c r="T697" s="48"/>
    </row>
    <row r="698" spans="1:20" ht="15.75" x14ac:dyDescent="0.25">
      <c r="A698" s="10"/>
      <c r="B698" s="10"/>
      <c r="C698" s="48"/>
      <c r="D698" s="49"/>
      <c r="E698" s="48"/>
      <c r="F698" s="48"/>
      <c r="G698" s="48"/>
      <c r="H698" s="48"/>
      <c r="I698" s="50"/>
      <c r="J698" s="48"/>
      <c r="K698" s="48"/>
      <c r="L698" s="48"/>
      <c r="M698" s="48"/>
      <c r="N698" s="48"/>
      <c r="O698" s="48"/>
      <c r="P698" s="48"/>
      <c r="Q698" s="48"/>
      <c r="R698" s="48"/>
      <c r="S698" s="52"/>
      <c r="T698" s="48"/>
    </row>
    <row r="699" spans="1:20" ht="15.75" x14ac:dyDescent="0.25">
      <c r="A699" s="10"/>
      <c r="B699" s="10"/>
      <c r="C699" s="48"/>
      <c r="D699" s="49"/>
      <c r="E699" s="48"/>
      <c r="F699" s="48"/>
      <c r="G699" s="48"/>
      <c r="H699" s="48"/>
      <c r="I699" s="50"/>
      <c r="J699" s="48"/>
      <c r="K699" s="48"/>
      <c r="L699" s="48"/>
      <c r="M699" s="48"/>
      <c r="N699" s="48"/>
      <c r="O699" s="48"/>
      <c r="P699" s="48"/>
      <c r="Q699" s="48"/>
      <c r="R699" s="48"/>
      <c r="S699" s="52"/>
      <c r="T699" s="48"/>
    </row>
    <row r="700" spans="1:20" ht="15.75" x14ac:dyDescent="0.25">
      <c r="A700" s="10"/>
      <c r="B700" s="10"/>
      <c r="C700" s="48"/>
      <c r="D700" s="49"/>
      <c r="E700" s="48"/>
      <c r="F700" s="48"/>
      <c r="G700" s="48"/>
      <c r="H700" s="48"/>
      <c r="I700" s="50"/>
      <c r="J700" s="48"/>
      <c r="K700" s="48"/>
      <c r="L700" s="48"/>
      <c r="M700" s="48"/>
      <c r="N700" s="48"/>
      <c r="O700" s="48"/>
      <c r="P700" s="48"/>
      <c r="Q700" s="48"/>
      <c r="R700" s="48"/>
      <c r="S700" s="52"/>
      <c r="T700" s="48"/>
    </row>
    <row r="701" spans="1:20" ht="15.75" x14ac:dyDescent="0.25">
      <c r="A701" s="10"/>
      <c r="B701" s="10"/>
      <c r="C701" s="48"/>
      <c r="D701" s="49"/>
      <c r="E701" s="48"/>
      <c r="F701" s="48"/>
      <c r="G701" s="48"/>
      <c r="H701" s="48"/>
      <c r="I701" s="50"/>
      <c r="J701" s="48"/>
      <c r="K701" s="48"/>
      <c r="L701" s="48"/>
      <c r="M701" s="48"/>
      <c r="N701" s="48"/>
      <c r="O701" s="48"/>
      <c r="P701" s="48"/>
      <c r="Q701" s="48"/>
      <c r="R701" s="48"/>
      <c r="S701" s="52"/>
      <c r="T701" s="48"/>
    </row>
    <row r="702" spans="1:20" ht="15.75" x14ac:dyDescent="0.25">
      <c r="A702" s="10"/>
      <c r="B702" s="10"/>
      <c r="C702" s="48"/>
      <c r="D702" s="49"/>
      <c r="E702" s="48"/>
      <c r="F702" s="48"/>
      <c r="G702" s="48"/>
      <c r="H702" s="48"/>
      <c r="I702" s="50"/>
      <c r="J702" s="48"/>
      <c r="K702" s="48"/>
      <c r="L702" s="48"/>
      <c r="M702" s="48"/>
      <c r="N702" s="48"/>
      <c r="O702" s="48"/>
      <c r="P702" s="48"/>
      <c r="Q702" s="48"/>
      <c r="R702" s="48"/>
      <c r="S702" s="52"/>
      <c r="T702" s="48"/>
    </row>
    <row r="703" spans="1:20" ht="15.75" x14ac:dyDescent="0.25">
      <c r="A703" s="10"/>
      <c r="B703" s="10"/>
      <c r="C703" s="48"/>
      <c r="D703" s="49"/>
      <c r="E703" s="48"/>
      <c r="F703" s="48"/>
      <c r="G703" s="48"/>
      <c r="H703" s="48"/>
      <c r="I703" s="50"/>
      <c r="J703" s="48"/>
      <c r="K703" s="48"/>
      <c r="L703" s="48"/>
      <c r="M703" s="48"/>
      <c r="N703" s="48"/>
      <c r="O703" s="48"/>
      <c r="P703" s="48"/>
      <c r="Q703" s="48"/>
      <c r="R703" s="48"/>
      <c r="S703" s="52"/>
      <c r="T703" s="48"/>
    </row>
    <row r="704" spans="1:20" ht="15.75" x14ac:dyDescent="0.25">
      <c r="A704" s="10"/>
      <c r="B704" s="10"/>
      <c r="C704" s="48"/>
      <c r="D704" s="49"/>
      <c r="E704" s="48"/>
      <c r="F704" s="48"/>
      <c r="G704" s="48"/>
      <c r="H704" s="48"/>
      <c r="I704" s="50"/>
      <c r="J704" s="48"/>
      <c r="K704" s="48"/>
      <c r="L704" s="48"/>
      <c r="M704" s="48"/>
      <c r="N704" s="48"/>
      <c r="O704" s="48"/>
      <c r="P704" s="48"/>
      <c r="Q704" s="48"/>
      <c r="R704" s="48"/>
      <c r="S704" s="52"/>
      <c r="T704" s="48"/>
    </row>
    <row r="705" spans="1:20" ht="15.75" x14ac:dyDescent="0.25">
      <c r="A705" s="10"/>
      <c r="B705" s="10"/>
      <c r="C705" s="48"/>
      <c r="D705" s="49"/>
      <c r="E705" s="48"/>
      <c r="F705" s="48"/>
      <c r="G705" s="48"/>
      <c r="H705" s="48"/>
      <c r="I705" s="50"/>
      <c r="J705" s="48"/>
      <c r="K705" s="48"/>
      <c r="L705" s="48"/>
      <c r="M705" s="48"/>
      <c r="N705" s="48"/>
      <c r="O705" s="48"/>
      <c r="P705" s="48"/>
      <c r="Q705" s="48"/>
      <c r="R705" s="48"/>
      <c r="S705" s="52"/>
      <c r="T705" s="48"/>
    </row>
    <row r="706" spans="1:20" ht="15.75" x14ac:dyDescent="0.25">
      <c r="A706" s="10"/>
      <c r="B706" s="10"/>
      <c r="C706" s="48"/>
      <c r="D706" s="49"/>
      <c r="E706" s="48"/>
      <c r="F706" s="48"/>
      <c r="G706" s="48"/>
      <c r="H706" s="48"/>
      <c r="I706" s="50"/>
      <c r="J706" s="48"/>
      <c r="K706" s="48"/>
      <c r="L706" s="48"/>
      <c r="M706" s="48"/>
      <c r="N706" s="48"/>
      <c r="O706" s="48"/>
      <c r="P706" s="48"/>
      <c r="Q706" s="48"/>
      <c r="R706" s="48"/>
      <c r="S706" s="52"/>
      <c r="T706" s="48"/>
    </row>
    <row r="707" spans="1:20" ht="15.75" x14ac:dyDescent="0.25">
      <c r="A707" s="10"/>
      <c r="B707" s="10"/>
      <c r="C707" s="48"/>
      <c r="D707" s="49"/>
      <c r="E707" s="48"/>
      <c r="F707" s="48"/>
      <c r="G707" s="48"/>
      <c r="H707" s="48"/>
      <c r="I707" s="50"/>
      <c r="J707" s="48"/>
      <c r="K707" s="48"/>
      <c r="L707" s="48"/>
      <c r="M707" s="48"/>
      <c r="N707" s="48"/>
      <c r="O707" s="48"/>
      <c r="P707" s="48"/>
      <c r="Q707" s="48"/>
      <c r="R707" s="48"/>
      <c r="S707" s="52"/>
      <c r="T707" s="48"/>
    </row>
    <row r="708" spans="1:20" ht="15.75" x14ac:dyDescent="0.25">
      <c r="A708" s="10"/>
      <c r="B708" s="10"/>
      <c r="C708" s="48"/>
      <c r="D708" s="49"/>
      <c r="E708" s="48"/>
      <c r="F708" s="48"/>
      <c r="G708" s="48"/>
      <c r="H708" s="48"/>
      <c r="I708" s="50"/>
      <c r="J708" s="48"/>
      <c r="K708" s="48"/>
      <c r="L708" s="48"/>
      <c r="M708" s="48"/>
      <c r="N708" s="48"/>
      <c r="O708" s="48"/>
      <c r="P708" s="48"/>
      <c r="Q708" s="48"/>
      <c r="R708" s="48"/>
      <c r="S708" s="52"/>
      <c r="T708" s="48"/>
    </row>
    <row r="709" spans="1:20" ht="15.75" x14ac:dyDescent="0.25">
      <c r="A709" s="10"/>
      <c r="B709" s="10"/>
      <c r="C709" s="48"/>
      <c r="D709" s="49"/>
      <c r="E709" s="48"/>
      <c r="F709" s="48"/>
      <c r="G709" s="48"/>
      <c r="H709" s="48"/>
      <c r="I709" s="50"/>
      <c r="J709" s="48"/>
      <c r="K709" s="48"/>
      <c r="L709" s="48"/>
      <c r="M709" s="48"/>
      <c r="N709" s="48"/>
      <c r="O709" s="48"/>
      <c r="P709" s="48"/>
      <c r="Q709" s="48"/>
      <c r="R709" s="48"/>
      <c r="S709" s="52"/>
      <c r="T709" s="48"/>
    </row>
    <row r="710" spans="1:20" ht="15.75" x14ac:dyDescent="0.25">
      <c r="A710" s="10"/>
      <c r="B710" s="10"/>
      <c r="C710" s="48"/>
      <c r="D710" s="49"/>
      <c r="E710" s="48"/>
      <c r="F710" s="48"/>
      <c r="G710" s="48"/>
      <c r="H710" s="48"/>
      <c r="I710" s="50"/>
      <c r="J710" s="48"/>
      <c r="K710" s="48"/>
      <c r="L710" s="48"/>
      <c r="M710" s="48"/>
      <c r="N710" s="48"/>
      <c r="O710" s="48"/>
      <c r="P710" s="48"/>
      <c r="Q710" s="48"/>
      <c r="R710" s="48"/>
      <c r="S710" s="52"/>
      <c r="T710" s="48"/>
    </row>
    <row r="711" spans="1:20" ht="15.75" x14ac:dyDescent="0.25">
      <c r="A711" s="10"/>
      <c r="B711" s="10"/>
      <c r="C711" s="48"/>
      <c r="D711" s="49"/>
      <c r="E711" s="48"/>
      <c r="F711" s="48"/>
      <c r="G711" s="48"/>
      <c r="H711" s="48"/>
      <c r="I711" s="50"/>
      <c r="J711" s="48"/>
      <c r="K711" s="48"/>
      <c r="L711" s="48"/>
      <c r="M711" s="48"/>
      <c r="N711" s="48"/>
      <c r="O711" s="48"/>
      <c r="P711" s="48"/>
      <c r="Q711" s="48"/>
      <c r="R711" s="48"/>
      <c r="S711" s="52"/>
      <c r="T711" s="48"/>
    </row>
    <row r="712" spans="1:20" ht="15.75" x14ac:dyDescent="0.25">
      <c r="A712" s="10"/>
      <c r="B712" s="10"/>
      <c r="C712" s="48"/>
      <c r="D712" s="49"/>
      <c r="E712" s="48"/>
      <c r="F712" s="48"/>
      <c r="G712" s="48"/>
      <c r="H712" s="48"/>
      <c r="I712" s="50"/>
      <c r="J712" s="48"/>
      <c r="K712" s="48"/>
      <c r="L712" s="48"/>
      <c r="M712" s="48"/>
      <c r="N712" s="48"/>
      <c r="O712" s="48"/>
      <c r="P712" s="48"/>
      <c r="Q712" s="48"/>
      <c r="R712" s="48"/>
      <c r="S712" s="52"/>
      <c r="T712" s="48"/>
    </row>
    <row r="713" spans="1:20" ht="15.75" x14ac:dyDescent="0.25">
      <c r="A713" s="10"/>
      <c r="B713" s="10"/>
      <c r="C713" s="48"/>
      <c r="D713" s="49"/>
      <c r="E713" s="48"/>
      <c r="F713" s="48"/>
      <c r="G713" s="48"/>
      <c r="H713" s="48"/>
      <c r="I713" s="50"/>
      <c r="J713" s="48"/>
      <c r="K713" s="48"/>
      <c r="L713" s="48"/>
      <c r="M713" s="48"/>
      <c r="N713" s="48"/>
      <c r="O713" s="48"/>
      <c r="P713" s="48"/>
      <c r="Q713" s="48"/>
      <c r="R713" s="48"/>
      <c r="S713" s="52"/>
      <c r="T713" s="48"/>
    </row>
    <row r="714" spans="1:20" ht="15.75" x14ac:dyDescent="0.25">
      <c r="A714" s="10"/>
      <c r="B714" s="10"/>
      <c r="C714" s="48"/>
      <c r="D714" s="49"/>
      <c r="E714" s="48"/>
      <c r="F714" s="48"/>
      <c r="G714" s="48"/>
      <c r="H714" s="48"/>
      <c r="I714" s="50"/>
      <c r="J714" s="48"/>
      <c r="K714" s="48"/>
      <c r="L714" s="48"/>
      <c r="M714" s="48"/>
      <c r="N714" s="48"/>
      <c r="O714" s="48"/>
      <c r="P714" s="48"/>
      <c r="Q714" s="48"/>
      <c r="R714" s="48"/>
      <c r="S714" s="52"/>
      <c r="T714" s="48"/>
    </row>
    <row r="715" spans="1:20" ht="15.75" x14ac:dyDescent="0.25">
      <c r="A715" s="10"/>
      <c r="B715" s="10"/>
      <c r="C715" s="48"/>
      <c r="D715" s="49"/>
      <c r="E715" s="48"/>
      <c r="F715" s="48"/>
      <c r="G715" s="48"/>
      <c r="H715" s="48"/>
      <c r="I715" s="50"/>
      <c r="J715" s="48"/>
      <c r="K715" s="48"/>
      <c r="L715" s="48"/>
      <c r="M715" s="48"/>
      <c r="N715" s="48"/>
      <c r="O715" s="48"/>
      <c r="P715" s="48"/>
      <c r="Q715" s="48"/>
      <c r="R715" s="48"/>
      <c r="S715" s="52"/>
      <c r="T715" s="48"/>
    </row>
    <row r="716" spans="1:20" ht="15.75" x14ac:dyDescent="0.25">
      <c r="A716" s="10"/>
      <c r="B716" s="10"/>
      <c r="C716" s="48"/>
      <c r="D716" s="49"/>
      <c r="E716" s="48"/>
      <c r="F716" s="48"/>
      <c r="G716" s="48"/>
      <c r="H716" s="48"/>
      <c r="I716" s="50"/>
      <c r="J716" s="48"/>
      <c r="K716" s="48"/>
      <c r="L716" s="48"/>
      <c r="M716" s="48"/>
      <c r="N716" s="48"/>
      <c r="O716" s="48"/>
      <c r="P716" s="48"/>
      <c r="Q716" s="48"/>
      <c r="R716" s="48"/>
      <c r="S716" s="52"/>
      <c r="T716" s="48"/>
    </row>
    <row r="717" spans="1:20" ht="15.75" x14ac:dyDescent="0.25">
      <c r="A717" s="10"/>
      <c r="B717" s="10"/>
      <c r="C717" s="48"/>
      <c r="D717" s="49"/>
      <c r="E717" s="48"/>
      <c r="F717" s="48"/>
      <c r="G717" s="48"/>
      <c r="H717" s="48"/>
      <c r="I717" s="50"/>
      <c r="J717" s="48"/>
      <c r="K717" s="48"/>
      <c r="L717" s="48"/>
      <c r="M717" s="48"/>
      <c r="N717" s="48"/>
      <c r="O717" s="48"/>
      <c r="P717" s="48"/>
      <c r="Q717" s="48"/>
      <c r="R717" s="48"/>
      <c r="S717" s="52"/>
      <c r="T717" s="48"/>
    </row>
    <row r="718" spans="1:20" ht="15.75" x14ac:dyDescent="0.25">
      <c r="A718" s="10"/>
      <c r="B718" s="10"/>
      <c r="C718" s="48"/>
      <c r="D718" s="49"/>
      <c r="E718" s="48"/>
      <c r="F718" s="48"/>
      <c r="G718" s="48"/>
      <c r="H718" s="48"/>
      <c r="I718" s="50"/>
      <c r="J718" s="48"/>
      <c r="K718" s="48"/>
      <c r="L718" s="48"/>
      <c r="M718" s="48"/>
      <c r="N718" s="48"/>
      <c r="O718" s="48"/>
      <c r="P718" s="48"/>
      <c r="Q718" s="48"/>
      <c r="R718" s="48"/>
      <c r="S718" s="52"/>
      <c r="T718" s="48"/>
    </row>
    <row r="719" spans="1:20" ht="15.75" x14ac:dyDescent="0.25">
      <c r="A719" s="10"/>
      <c r="B719" s="10"/>
      <c r="C719" s="48"/>
      <c r="D719" s="49"/>
      <c r="E719" s="48"/>
      <c r="F719" s="48"/>
      <c r="G719" s="48"/>
      <c r="H719" s="48"/>
      <c r="I719" s="50"/>
      <c r="J719" s="48"/>
      <c r="K719" s="48"/>
      <c r="L719" s="48"/>
      <c r="M719" s="48"/>
      <c r="N719" s="48"/>
      <c r="O719" s="48"/>
      <c r="P719" s="48"/>
      <c r="Q719" s="48"/>
      <c r="R719" s="48"/>
      <c r="S719" s="52"/>
      <c r="T719" s="48"/>
    </row>
    <row r="720" spans="1:20" ht="15.75" x14ac:dyDescent="0.25">
      <c r="A720" s="10"/>
      <c r="B720" s="10"/>
      <c r="C720" s="48"/>
      <c r="D720" s="49"/>
      <c r="E720" s="48"/>
      <c r="F720" s="48"/>
      <c r="G720" s="48"/>
      <c r="H720" s="48"/>
      <c r="I720" s="50"/>
      <c r="J720" s="48"/>
      <c r="K720" s="48"/>
      <c r="L720" s="48"/>
      <c r="M720" s="48"/>
      <c r="N720" s="48"/>
      <c r="O720" s="48"/>
      <c r="P720" s="48"/>
      <c r="Q720" s="48"/>
      <c r="R720" s="48"/>
      <c r="S720" s="52"/>
      <c r="T720" s="48"/>
    </row>
    <row r="721" spans="1:20" ht="15.75" x14ac:dyDescent="0.25">
      <c r="A721" s="10"/>
      <c r="B721" s="10"/>
      <c r="C721" s="48"/>
      <c r="D721" s="49"/>
      <c r="E721" s="48"/>
      <c r="F721" s="48"/>
      <c r="G721" s="48"/>
      <c r="H721" s="48"/>
      <c r="I721" s="50"/>
      <c r="J721" s="48"/>
      <c r="K721" s="48"/>
      <c r="L721" s="48"/>
      <c r="M721" s="48"/>
      <c r="N721" s="48"/>
      <c r="O721" s="48"/>
      <c r="P721" s="48"/>
      <c r="Q721" s="48"/>
      <c r="R721" s="48"/>
      <c r="S721" s="52"/>
      <c r="T721" s="48"/>
    </row>
    <row r="722" spans="1:20" ht="15.75" x14ac:dyDescent="0.25">
      <c r="A722" s="10"/>
      <c r="B722" s="10"/>
      <c r="C722" s="48"/>
      <c r="D722" s="49"/>
      <c r="E722" s="48"/>
      <c r="F722" s="48"/>
      <c r="G722" s="48"/>
      <c r="H722" s="48"/>
      <c r="I722" s="50"/>
      <c r="J722" s="48"/>
      <c r="K722" s="48"/>
      <c r="L722" s="48"/>
      <c r="M722" s="48"/>
      <c r="N722" s="48"/>
      <c r="O722" s="48"/>
      <c r="P722" s="48"/>
      <c r="Q722" s="48"/>
      <c r="R722" s="48"/>
      <c r="S722" s="52"/>
      <c r="T722" s="48"/>
    </row>
    <row r="723" spans="1:20" ht="15.75" x14ac:dyDescent="0.25">
      <c r="A723" s="10"/>
      <c r="B723" s="10"/>
      <c r="C723" s="48"/>
      <c r="D723" s="49"/>
      <c r="E723" s="48"/>
      <c r="F723" s="48"/>
      <c r="G723" s="48"/>
      <c r="H723" s="48"/>
      <c r="I723" s="50"/>
      <c r="J723" s="48"/>
      <c r="K723" s="48"/>
      <c r="L723" s="48"/>
      <c r="M723" s="48"/>
      <c r="N723" s="48"/>
      <c r="O723" s="48"/>
      <c r="P723" s="48"/>
      <c r="Q723" s="48"/>
      <c r="R723" s="48"/>
      <c r="S723" s="52"/>
      <c r="T723" s="48"/>
    </row>
    <row r="724" spans="1:20" ht="15.75" x14ac:dyDescent="0.25">
      <c r="A724" s="10"/>
      <c r="B724" s="10"/>
      <c r="C724" s="48"/>
      <c r="D724" s="49"/>
      <c r="E724" s="48"/>
      <c r="F724" s="48"/>
      <c r="G724" s="48"/>
      <c r="H724" s="48"/>
      <c r="I724" s="50"/>
      <c r="J724" s="48"/>
      <c r="K724" s="48"/>
      <c r="L724" s="48"/>
      <c r="M724" s="48"/>
      <c r="N724" s="48"/>
      <c r="O724" s="48"/>
      <c r="P724" s="48"/>
      <c r="Q724" s="48"/>
      <c r="R724" s="48"/>
      <c r="S724" s="52"/>
      <c r="T724" s="48"/>
    </row>
    <row r="725" spans="1:20" ht="15.75" x14ac:dyDescent="0.25">
      <c r="A725" s="10"/>
      <c r="B725" s="10"/>
      <c r="C725" s="48"/>
      <c r="D725" s="49"/>
      <c r="E725" s="48"/>
      <c r="F725" s="48"/>
      <c r="G725" s="48"/>
      <c r="H725" s="48"/>
      <c r="I725" s="50"/>
      <c r="J725" s="48"/>
      <c r="K725" s="48"/>
      <c r="L725" s="48"/>
      <c r="M725" s="48"/>
      <c r="N725" s="48"/>
      <c r="O725" s="48"/>
      <c r="P725" s="48"/>
      <c r="Q725" s="48"/>
      <c r="R725" s="48"/>
      <c r="S725" s="52"/>
      <c r="T725" s="48"/>
    </row>
    <row r="726" spans="1:20" ht="15.75" x14ac:dyDescent="0.25">
      <c r="A726" s="10"/>
      <c r="B726" s="10"/>
      <c r="C726" s="48"/>
      <c r="D726" s="49"/>
      <c r="E726" s="48"/>
      <c r="F726" s="48"/>
      <c r="G726" s="48"/>
      <c r="H726" s="48"/>
      <c r="I726" s="50"/>
      <c r="J726" s="48"/>
      <c r="K726" s="48"/>
      <c r="L726" s="48"/>
      <c r="M726" s="48"/>
      <c r="N726" s="48"/>
      <c r="O726" s="48"/>
      <c r="P726" s="48"/>
      <c r="Q726" s="48"/>
      <c r="R726" s="48"/>
      <c r="S726" s="52"/>
      <c r="T726" s="48"/>
    </row>
    <row r="727" spans="1:20" ht="15.75" x14ac:dyDescent="0.25">
      <c r="A727" s="10"/>
      <c r="B727" s="10"/>
      <c r="C727" s="48"/>
      <c r="D727" s="49"/>
      <c r="E727" s="48"/>
      <c r="F727" s="48"/>
      <c r="G727" s="48"/>
      <c r="H727" s="48"/>
      <c r="I727" s="50"/>
      <c r="J727" s="48"/>
      <c r="K727" s="48"/>
      <c r="L727" s="48"/>
      <c r="M727" s="48"/>
      <c r="N727" s="48"/>
      <c r="O727" s="48"/>
      <c r="P727" s="48"/>
      <c r="Q727" s="48"/>
      <c r="R727" s="48"/>
      <c r="S727" s="52"/>
      <c r="T727" s="48"/>
    </row>
    <row r="728" spans="1:20" ht="15.75" x14ac:dyDescent="0.25">
      <c r="A728" s="10"/>
      <c r="B728" s="10"/>
      <c r="C728" s="48"/>
      <c r="D728" s="49"/>
      <c r="E728" s="48"/>
      <c r="F728" s="48"/>
      <c r="G728" s="48"/>
      <c r="H728" s="48"/>
      <c r="I728" s="50"/>
      <c r="J728" s="48"/>
      <c r="K728" s="48"/>
      <c r="L728" s="48"/>
      <c r="M728" s="48"/>
      <c r="N728" s="48"/>
      <c r="O728" s="48"/>
      <c r="P728" s="48"/>
      <c r="Q728" s="48"/>
      <c r="R728" s="48"/>
      <c r="S728" s="52"/>
      <c r="T728" s="48"/>
    </row>
    <row r="729" spans="1:20" ht="15.75" x14ac:dyDescent="0.25">
      <c r="A729" s="10"/>
      <c r="B729" s="10"/>
      <c r="C729" s="48"/>
      <c r="D729" s="49"/>
      <c r="E729" s="48"/>
      <c r="F729" s="48"/>
      <c r="G729" s="48"/>
      <c r="H729" s="48"/>
      <c r="I729" s="50"/>
      <c r="J729" s="48"/>
      <c r="K729" s="48"/>
      <c r="L729" s="48"/>
      <c r="M729" s="48"/>
      <c r="N729" s="48"/>
      <c r="O729" s="48"/>
      <c r="P729" s="48"/>
      <c r="Q729" s="48"/>
      <c r="R729" s="48"/>
      <c r="S729" s="52"/>
      <c r="T729" s="48"/>
    </row>
    <row r="730" spans="1:20" ht="15.75" x14ac:dyDescent="0.25">
      <c r="A730" s="10"/>
      <c r="B730" s="10"/>
      <c r="C730" s="48"/>
      <c r="D730" s="49"/>
      <c r="E730" s="48"/>
      <c r="F730" s="48"/>
      <c r="G730" s="48"/>
      <c r="H730" s="48"/>
      <c r="I730" s="50"/>
      <c r="J730" s="48"/>
      <c r="K730" s="48"/>
      <c r="L730" s="48"/>
      <c r="M730" s="48"/>
      <c r="N730" s="48"/>
      <c r="O730" s="48"/>
      <c r="P730" s="48"/>
      <c r="Q730" s="48"/>
      <c r="R730" s="48"/>
      <c r="S730" s="52"/>
      <c r="T730" s="48"/>
    </row>
    <row r="731" spans="1:20" ht="15.75" x14ac:dyDescent="0.25">
      <c r="A731" s="10"/>
      <c r="B731" s="10"/>
      <c r="C731" s="48"/>
      <c r="D731" s="49"/>
      <c r="E731" s="48"/>
      <c r="F731" s="48"/>
      <c r="G731" s="48"/>
      <c r="H731" s="48"/>
      <c r="I731" s="50"/>
      <c r="J731" s="48"/>
      <c r="K731" s="48"/>
      <c r="L731" s="48"/>
      <c r="M731" s="48"/>
      <c r="N731" s="48"/>
      <c r="O731" s="48"/>
      <c r="P731" s="48"/>
      <c r="Q731" s="48"/>
      <c r="R731" s="48"/>
      <c r="S731" s="52"/>
      <c r="T731" s="48"/>
    </row>
    <row r="732" spans="1:20" ht="15.75" x14ac:dyDescent="0.25">
      <c r="A732" s="10"/>
      <c r="B732" s="10"/>
      <c r="C732" s="48"/>
      <c r="D732" s="49"/>
      <c r="E732" s="48"/>
      <c r="F732" s="48"/>
      <c r="G732" s="48"/>
      <c r="H732" s="48"/>
      <c r="I732" s="50"/>
      <c r="J732" s="48"/>
      <c r="K732" s="48"/>
      <c r="L732" s="48"/>
      <c r="M732" s="48"/>
      <c r="N732" s="48"/>
      <c r="O732" s="48"/>
      <c r="P732" s="48"/>
      <c r="Q732" s="48"/>
      <c r="R732" s="48"/>
      <c r="S732" s="52"/>
      <c r="T732" s="48"/>
    </row>
    <row r="733" spans="1:20" ht="15.75" x14ac:dyDescent="0.25">
      <c r="A733" s="10"/>
      <c r="B733" s="10"/>
      <c r="C733" s="48"/>
      <c r="D733" s="49"/>
      <c r="E733" s="48"/>
      <c r="F733" s="48"/>
      <c r="G733" s="48"/>
      <c r="H733" s="48"/>
      <c r="I733" s="50"/>
      <c r="J733" s="48"/>
      <c r="K733" s="48"/>
      <c r="L733" s="48"/>
      <c r="M733" s="48"/>
      <c r="N733" s="48"/>
      <c r="O733" s="48"/>
      <c r="P733" s="48"/>
      <c r="Q733" s="48"/>
      <c r="R733" s="48"/>
      <c r="S733" s="52"/>
      <c r="T733" s="48"/>
    </row>
    <row r="734" spans="1:20" ht="15.75" x14ac:dyDescent="0.25">
      <c r="A734" s="10"/>
      <c r="B734" s="10"/>
      <c r="C734" s="48"/>
      <c r="D734" s="49"/>
      <c r="E734" s="48"/>
      <c r="F734" s="48"/>
      <c r="G734" s="48"/>
      <c r="H734" s="48"/>
      <c r="I734" s="50"/>
      <c r="J734" s="48"/>
      <c r="K734" s="48"/>
      <c r="L734" s="48"/>
      <c r="M734" s="48"/>
      <c r="N734" s="48"/>
      <c r="O734" s="48"/>
      <c r="P734" s="48"/>
      <c r="Q734" s="48"/>
      <c r="R734" s="48"/>
      <c r="S734" s="52"/>
      <c r="T734" s="48"/>
    </row>
    <row r="735" spans="1:20" ht="15.75" x14ac:dyDescent="0.25">
      <c r="A735" s="10"/>
      <c r="B735" s="10"/>
      <c r="C735" s="48"/>
      <c r="D735" s="49"/>
      <c r="E735" s="48"/>
      <c r="F735" s="48"/>
      <c r="G735" s="48"/>
      <c r="H735" s="48"/>
      <c r="I735" s="50"/>
      <c r="J735" s="48"/>
      <c r="K735" s="48"/>
      <c r="L735" s="48"/>
      <c r="M735" s="48"/>
      <c r="N735" s="48"/>
      <c r="O735" s="48"/>
      <c r="P735" s="48"/>
      <c r="Q735" s="48"/>
      <c r="R735" s="48"/>
      <c r="S735" s="52"/>
      <c r="T735" s="48"/>
    </row>
    <row r="736" spans="1:20" ht="15.75" x14ac:dyDescent="0.25">
      <c r="A736" s="10"/>
      <c r="B736" s="10"/>
      <c r="C736" s="48"/>
      <c r="D736" s="49"/>
      <c r="E736" s="48"/>
      <c r="F736" s="48"/>
      <c r="G736" s="48"/>
      <c r="H736" s="48"/>
      <c r="I736" s="50"/>
      <c r="J736" s="48"/>
      <c r="K736" s="48"/>
      <c r="L736" s="48"/>
      <c r="M736" s="48"/>
      <c r="N736" s="48"/>
      <c r="O736" s="48"/>
      <c r="P736" s="48"/>
      <c r="Q736" s="48"/>
      <c r="R736" s="48"/>
      <c r="S736" s="52"/>
      <c r="T736" s="48"/>
    </row>
    <row r="737" spans="1:20" ht="15.75" x14ac:dyDescent="0.25">
      <c r="A737" s="10"/>
      <c r="B737" s="10"/>
      <c r="C737" s="48"/>
      <c r="D737" s="49"/>
      <c r="E737" s="48"/>
      <c r="F737" s="48"/>
      <c r="G737" s="48"/>
      <c r="H737" s="48"/>
      <c r="I737" s="50"/>
      <c r="J737" s="48"/>
      <c r="K737" s="48"/>
      <c r="L737" s="48"/>
      <c r="M737" s="48"/>
      <c r="N737" s="48"/>
      <c r="O737" s="48"/>
      <c r="P737" s="48"/>
      <c r="Q737" s="48"/>
      <c r="R737" s="48"/>
      <c r="S737" s="52"/>
      <c r="T737" s="48"/>
    </row>
    <row r="738" spans="1:20" ht="15.75" x14ac:dyDescent="0.25">
      <c r="A738" s="10"/>
      <c r="B738" s="10"/>
      <c r="C738" s="48"/>
      <c r="D738" s="49"/>
      <c r="E738" s="48"/>
      <c r="F738" s="48"/>
      <c r="G738" s="48"/>
      <c r="H738" s="48"/>
      <c r="I738" s="50"/>
      <c r="J738" s="48"/>
      <c r="K738" s="48"/>
      <c r="L738" s="48"/>
      <c r="M738" s="48"/>
      <c r="N738" s="48"/>
      <c r="O738" s="48"/>
      <c r="P738" s="48"/>
      <c r="Q738" s="48"/>
      <c r="R738" s="48"/>
      <c r="S738" s="52"/>
      <c r="T738" s="48"/>
    </row>
    <row r="739" spans="1:20" ht="15.75" x14ac:dyDescent="0.25">
      <c r="A739" s="10"/>
      <c r="B739" s="10"/>
      <c r="C739" s="48"/>
      <c r="D739" s="49"/>
      <c r="E739" s="48"/>
      <c r="F739" s="48"/>
      <c r="G739" s="48"/>
      <c r="H739" s="48"/>
      <c r="I739" s="50"/>
      <c r="J739" s="48"/>
      <c r="K739" s="48"/>
      <c r="L739" s="48"/>
      <c r="M739" s="48"/>
      <c r="N739" s="48"/>
      <c r="O739" s="48"/>
      <c r="P739" s="48"/>
      <c r="Q739" s="48"/>
      <c r="R739" s="48"/>
      <c r="S739" s="52"/>
      <c r="T739" s="48"/>
    </row>
    <row r="740" spans="1:20" ht="15.75" x14ac:dyDescent="0.25">
      <c r="A740" s="10"/>
      <c r="B740" s="10"/>
      <c r="C740" s="48"/>
      <c r="D740" s="49"/>
      <c r="E740" s="48"/>
      <c r="F740" s="48"/>
      <c r="G740" s="48"/>
      <c r="H740" s="48"/>
      <c r="I740" s="50"/>
      <c r="J740" s="48"/>
      <c r="K740" s="48"/>
      <c r="L740" s="48"/>
      <c r="M740" s="48"/>
      <c r="N740" s="48"/>
      <c r="O740" s="48"/>
      <c r="P740" s="48"/>
      <c r="Q740" s="48"/>
      <c r="R740" s="48"/>
      <c r="S740" s="52"/>
      <c r="T740" s="48"/>
    </row>
    <row r="741" spans="1:20" ht="15.75" x14ac:dyDescent="0.25">
      <c r="A741" s="10"/>
      <c r="B741" s="10"/>
      <c r="C741" s="48"/>
      <c r="D741" s="49"/>
      <c r="E741" s="48"/>
      <c r="F741" s="48"/>
      <c r="G741" s="48"/>
      <c r="H741" s="48"/>
      <c r="I741" s="50"/>
      <c r="J741" s="48"/>
      <c r="K741" s="48"/>
      <c r="L741" s="48"/>
      <c r="M741" s="48"/>
      <c r="N741" s="48"/>
      <c r="O741" s="48"/>
      <c r="P741" s="48"/>
      <c r="Q741" s="48"/>
      <c r="R741" s="48"/>
      <c r="S741" s="52"/>
      <c r="T741" s="48"/>
    </row>
    <row r="742" spans="1:20" ht="15.75" x14ac:dyDescent="0.25">
      <c r="A742" s="10"/>
      <c r="B742" s="10"/>
      <c r="C742" s="48"/>
      <c r="D742" s="49"/>
      <c r="E742" s="48"/>
      <c r="F742" s="48"/>
      <c r="G742" s="48"/>
      <c r="H742" s="48"/>
      <c r="I742" s="50"/>
      <c r="J742" s="48"/>
      <c r="K742" s="48"/>
      <c r="L742" s="48"/>
      <c r="M742" s="48"/>
      <c r="N742" s="48"/>
      <c r="O742" s="48"/>
      <c r="P742" s="48"/>
      <c r="Q742" s="48"/>
      <c r="R742" s="48"/>
      <c r="S742" s="52"/>
      <c r="T742" s="48"/>
    </row>
    <row r="743" spans="1:20" ht="15.75" x14ac:dyDescent="0.25">
      <c r="A743" s="10"/>
      <c r="B743" s="10"/>
      <c r="C743" s="48"/>
      <c r="D743" s="49"/>
      <c r="E743" s="48"/>
      <c r="F743" s="48"/>
      <c r="G743" s="48"/>
      <c r="H743" s="48"/>
      <c r="I743" s="50"/>
      <c r="J743" s="48"/>
      <c r="K743" s="48"/>
      <c r="L743" s="48"/>
      <c r="M743" s="48"/>
      <c r="N743" s="48"/>
      <c r="O743" s="48"/>
      <c r="P743" s="48"/>
      <c r="Q743" s="48"/>
      <c r="R743" s="48"/>
      <c r="S743" s="52"/>
      <c r="T743" s="48"/>
    </row>
    <row r="744" spans="1:20" ht="15.75" x14ac:dyDescent="0.25">
      <c r="A744" s="10"/>
      <c r="B744" s="10"/>
      <c r="C744" s="48"/>
      <c r="D744" s="49"/>
      <c r="E744" s="48"/>
      <c r="F744" s="48"/>
      <c r="G744" s="48"/>
      <c r="H744" s="48"/>
      <c r="I744" s="50"/>
      <c r="J744" s="48"/>
      <c r="K744" s="48"/>
      <c r="L744" s="48"/>
      <c r="M744" s="48"/>
      <c r="N744" s="48"/>
      <c r="O744" s="48"/>
      <c r="P744" s="48"/>
      <c r="Q744" s="48"/>
      <c r="R744" s="48"/>
      <c r="S744" s="52"/>
      <c r="T744" s="48"/>
    </row>
    <row r="745" spans="1:20" ht="15.75" x14ac:dyDescent="0.25">
      <c r="A745" s="10"/>
      <c r="B745" s="10"/>
      <c r="C745" s="48"/>
      <c r="D745" s="49"/>
      <c r="E745" s="48"/>
      <c r="F745" s="48"/>
      <c r="G745" s="48"/>
      <c r="H745" s="48"/>
      <c r="I745" s="50"/>
      <c r="J745" s="48"/>
      <c r="K745" s="48"/>
      <c r="L745" s="48"/>
      <c r="M745" s="48"/>
      <c r="N745" s="48"/>
      <c r="O745" s="48"/>
      <c r="P745" s="48"/>
      <c r="Q745" s="48"/>
      <c r="R745" s="48"/>
      <c r="S745" s="52"/>
      <c r="T745" s="48"/>
    </row>
    <row r="746" spans="1:20" ht="15.75" x14ac:dyDescent="0.25">
      <c r="A746" s="10"/>
      <c r="B746" s="10"/>
      <c r="C746" s="48"/>
      <c r="D746" s="49"/>
      <c r="E746" s="48"/>
      <c r="F746" s="48"/>
      <c r="G746" s="48"/>
      <c r="H746" s="48"/>
      <c r="I746" s="50"/>
      <c r="J746" s="48"/>
      <c r="K746" s="48"/>
      <c r="L746" s="48"/>
      <c r="M746" s="48"/>
      <c r="N746" s="48"/>
      <c r="O746" s="48"/>
      <c r="P746" s="48"/>
      <c r="Q746" s="48"/>
      <c r="R746" s="48"/>
      <c r="S746" s="52"/>
      <c r="T746" s="48"/>
    </row>
    <row r="747" spans="1:20" ht="15.75" x14ac:dyDescent="0.25">
      <c r="A747" s="10"/>
      <c r="B747" s="10"/>
      <c r="C747" s="48"/>
      <c r="D747" s="49"/>
      <c r="E747" s="48"/>
      <c r="F747" s="48"/>
      <c r="G747" s="48"/>
      <c r="H747" s="48"/>
      <c r="I747" s="50"/>
      <c r="J747" s="48"/>
      <c r="K747" s="48"/>
      <c r="L747" s="48"/>
      <c r="M747" s="48"/>
      <c r="N747" s="48"/>
      <c r="O747" s="48"/>
      <c r="P747" s="48"/>
      <c r="Q747" s="48"/>
      <c r="R747" s="48"/>
      <c r="S747" s="52"/>
      <c r="T747" s="48"/>
    </row>
    <row r="748" spans="1:20" ht="15.75" x14ac:dyDescent="0.25">
      <c r="A748" s="10"/>
      <c r="B748" s="10"/>
      <c r="C748" s="48"/>
      <c r="D748" s="49"/>
      <c r="E748" s="48"/>
      <c r="F748" s="48"/>
      <c r="G748" s="48"/>
      <c r="H748" s="48"/>
      <c r="I748" s="50"/>
      <c r="J748" s="48"/>
      <c r="K748" s="48"/>
      <c r="L748" s="48"/>
      <c r="M748" s="48"/>
      <c r="N748" s="48"/>
      <c r="O748" s="48"/>
      <c r="P748" s="48"/>
      <c r="Q748" s="48"/>
      <c r="R748" s="48"/>
      <c r="S748" s="52"/>
      <c r="T748" s="48"/>
    </row>
    <row r="749" spans="1:20" ht="15.75" x14ac:dyDescent="0.25">
      <c r="A749" s="10"/>
      <c r="B749" s="10"/>
      <c r="C749" s="48"/>
      <c r="D749" s="49"/>
      <c r="E749" s="48"/>
      <c r="F749" s="48"/>
      <c r="G749" s="48"/>
      <c r="H749" s="48"/>
      <c r="I749" s="50"/>
      <c r="J749" s="48"/>
      <c r="K749" s="48"/>
      <c r="L749" s="48"/>
      <c r="M749" s="48"/>
      <c r="N749" s="48"/>
      <c r="O749" s="48"/>
      <c r="P749" s="48"/>
      <c r="Q749" s="48"/>
      <c r="R749" s="48"/>
      <c r="S749" s="52"/>
      <c r="T749" s="48"/>
    </row>
    <row r="750" spans="1:20" ht="15.75" x14ac:dyDescent="0.25">
      <c r="A750" s="10"/>
      <c r="B750" s="10"/>
      <c r="C750" s="48"/>
      <c r="D750" s="49"/>
      <c r="E750" s="48"/>
      <c r="F750" s="48"/>
      <c r="G750" s="48"/>
      <c r="H750" s="48"/>
      <c r="I750" s="50"/>
      <c r="J750" s="48"/>
      <c r="K750" s="48"/>
      <c r="L750" s="48"/>
      <c r="M750" s="48"/>
      <c r="N750" s="48"/>
      <c r="O750" s="48"/>
      <c r="P750" s="48"/>
      <c r="Q750" s="48"/>
      <c r="R750" s="48"/>
      <c r="S750" s="52"/>
      <c r="T750" s="48"/>
    </row>
    <row r="751" spans="1:20" ht="15.75" x14ac:dyDescent="0.25">
      <c r="A751" s="10"/>
      <c r="B751" s="10"/>
      <c r="C751" s="48"/>
      <c r="D751" s="49"/>
      <c r="E751" s="48"/>
      <c r="F751" s="48"/>
      <c r="G751" s="48"/>
      <c r="H751" s="48"/>
      <c r="I751" s="50"/>
      <c r="J751" s="48"/>
      <c r="K751" s="48"/>
      <c r="L751" s="48"/>
      <c r="M751" s="48"/>
      <c r="N751" s="48"/>
      <c r="O751" s="48"/>
      <c r="P751" s="48"/>
      <c r="Q751" s="48"/>
      <c r="R751" s="48"/>
      <c r="S751" s="52"/>
      <c r="T751" s="48"/>
    </row>
    <row r="752" spans="1:20" ht="15.75" x14ac:dyDescent="0.25">
      <c r="A752" s="10"/>
      <c r="B752" s="10"/>
      <c r="C752" s="48"/>
      <c r="D752" s="49"/>
      <c r="E752" s="48"/>
      <c r="F752" s="48"/>
      <c r="G752" s="48"/>
      <c r="H752" s="48"/>
      <c r="I752" s="50"/>
      <c r="J752" s="48"/>
      <c r="K752" s="48"/>
      <c r="L752" s="48"/>
      <c r="M752" s="48"/>
      <c r="N752" s="48"/>
      <c r="O752" s="48"/>
      <c r="P752" s="48"/>
      <c r="Q752" s="48"/>
      <c r="R752" s="48"/>
      <c r="S752" s="52"/>
      <c r="T752" s="48"/>
    </row>
    <row r="753" spans="1:20" ht="15.75" x14ac:dyDescent="0.25">
      <c r="A753" s="10"/>
      <c r="B753" s="10"/>
      <c r="C753" s="48"/>
      <c r="D753" s="49"/>
      <c r="E753" s="48"/>
      <c r="F753" s="48"/>
      <c r="G753" s="48"/>
      <c r="H753" s="48"/>
      <c r="I753" s="50"/>
      <c r="J753" s="48"/>
      <c r="K753" s="48"/>
      <c r="L753" s="48"/>
      <c r="M753" s="48"/>
      <c r="N753" s="48"/>
      <c r="O753" s="48"/>
      <c r="P753" s="48"/>
      <c r="Q753" s="48"/>
      <c r="R753" s="48"/>
      <c r="S753" s="52"/>
      <c r="T753" s="48"/>
    </row>
    <row r="754" spans="1:20" ht="15.75" x14ac:dyDescent="0.25">
      <c r="A754" s="10"/>
      <c r="B754" s="10"/>
      <c r="C754" s="48"/>
      <c r="D754" s="49"/>
      <c r="E754" s="48"/>
      <c r="F754" s="48"/>
      <c r="G754" s="48"/>
      <c r="H754" s="48"/>
      <c r="I754" s="50"/>
      <c r="J754" s="48"/>
      <c r="K754" s="48"/>
      <c r="L754" s="48"/>
      <c r="M754" s="48"/>
      <c r="N754" s="48"/>
      <c r="O754" s="48"/>
      <c r="P754" s="48"/>
      <c r="Q754" s="48"/>
      <c r="R754" s="48"/>
      <c r="S754" s="52"/>
      <c r="T754" s="48"/>
    </row>
    <row r="755" spans="1:20" ht="15.75" x14ac:dyDescent="0.25">
      <c r="A755" s="10"/>
      <c r="B755" s="10"/>
      <c r="C755" s="48"/>
      <c r="D755" s="49"/>
      <c r="E755" s="48"/>
      <c r="F755" s="48"/>
      <c r="G755" s="48"/>
      <c r="H755" s="48"/>
      <c r="I755" s="50"/>
      <c r="J755" s="48"/>
      <c r="K755" s="48"/>
      <c r="L755" s="48"/>
      <c r="M755" s="48"/>
      <c r="N755" s="48"/>
      <c r="O755" s="48"/>
      <c r="P755" s="48"/>
      <c r="Q755" s="48"/>
      <c r="R755" s="48"/>
      <c r="S755" s="52"/>
      <c r="T755" s="48"/>
    </row>
    <row r="756" spans="1:20" ht="15.75" x14ac:dyDescent="0.25">
      <c r="A756" s="10"/>
      <c r="B756" s="10"/>
      <c r="C756" s="48"/>
      <c r="D756" s="49"/>
      <c r="E756" s="48"/>
      <c r="F756" s="48"/>
      <c r="G756" s="48"/>
      <c r="H756" s="48"/>
      <c r="I756" s="50"/>
      <c r="J756" s="48"/>
      <c r="K756" s="48"/>
      <c r="L756" s="48"/>
      <c r="M756" s="48"/>
      <c r="N756" s="48"/>
      <c r="O756" s="48"/>
      <c r="P756" s="48"/>
      <c r="Q756" s="48"/>
      <c r="R756" s="48"/>
      <c r="S756" s="52"/>
      <c r="T756" s="48"/>
    </row>
    <row r="757" spans="1:20" ht="15.75" x14ac:dyDescent="0.25">
      <c r="A757" s="10"/>
      <c r="B757" s="10"/>
      <c r="C757" s="48"/>
      <c r="D757" s="49"/>
      <c r="E757" s="48"/>
      <c r="F757" s="48"/>
      <c r="G757" s="48"/>
      <c r="H757" s="48"/>
      <c r="I757" s="50"/>
      <c r="J757" s="48"/>
      <c r="K757" s="48"/>
      <c r="L757" s="48"/>
      <c r="M757" s="48"/>
      <c r="N757" s="48"/>
      <c r="O757" s="48"/>
      <c r="P757" s="48"/>
      <c r="Q757" s="48"/>
      <c r="R757" s="48"/>
      <c r="S757" s="52"/>
      <c r="T757" s="48"/>
    </row>
    <row r="758" spans="1:20" ht="15.75" x14ac:dyDescent="0.25">
      <c r="A758" s="10"/>
      <c r="B758" s="10"/>
      <c r="C758" s="48"/>
      <c r="D758" s="49"/>
      <c r="E758" s="48"/>
      <c r="F758" s="48"/>
      <c r="G758" s="48"/>
      <c r="H758" s="48"/>
      <c r="I758" s="50"/>
      <c r="J758" s="48"/>
      <c r="K758" s="48"/>
      <c r="L758" s="48"/>
      <c r="M758" s="48"/>
      <c r="N758" s="48"/>
      <c r="O758" s="48"/>
      <c r="P758" s="48"/>
      <c r="Q758" s="48"/>
      <c r="R758" s="48"/>
      <c r="S758" s="52"/>
      <c r="T758" s="48"/>
    </row>
    <row r="759" spans="1:20" ht="15.75" x14ac:dyDescent="0.25">
      <c r="A759" s="10"/>
      <c r="B759" s="10"/>
      <c r="C759" s="48"/>
      <c r="D759" s="49"/>
      <c r="E759" s="48"/>
      <c r="F759" s="48"/>
      <c r="G759" s="48"/>
      <c r="H759" s="48"/>
      <c r="I759" s="50"/>
      <c r="J759" s="48"/>
      <c r="K759" s="48"/>
      <c r="L759" s="48"/>
      <c r="M759" s="48"/>
      <c r="N759" s="48"/>
      <c r="O759" s="48"/>
      <c r="P759" s="48"/>
      <c r="Q759" s="48"/>
      <c r="R759" s="48"/>
      <c r="S759" s="52"/>
      <c r="T759" s="48"/>
    </row>
    <row r="760" spans="1:20" ht="15.75" x14ac:dyDescent="0.25">
      <c r="A760" s="10"/>
      <c r="B760" s="10"/>
      <c r="C760" s="48"/>
      <c r="D760" s="49"/>
      <c r="E760" s="48"/>
      <c r="F760" s="48"/>
      <c r="G760" s="48"/>
      <c r="H760" s="48"/>
      <c r="I760" s="50"/>
      <c r="J760" s="48"/>
      <c r="K760" s="48"/>
      <c r="L760" s="48"/>
      <c r="M760" s="48"/>
      <c r="N760" s="48"/>
      <c r="O760" s="48"/>
      <c r="P760" s="48"/>
      <c r="Q760" s="48"/>
      <c r="R760" s="48"/>
      <c r="S760" s="52"/>
      <c r="T760" s="48"/>
    </row>
    <row r="761" spans="1:20" ht="15.75" x14ac:dyDescent="0.25">
      <c r="A761" s="10"/>
      <c r="B761" s="10"/>
      <c r="C761" s="48"/>
      <c r="D761" s="49"/>
      <c r="E761" s="48"/>
      <c r="F761" s="48"/>
      <c r="G761" s="48"/>
      <c r="H761" s="48"/>
      <c r="I761" s="50"/>
      <c r="J761" s="48"/>
      <c r="K761" s="48"/>
      <c r="L761" s="48"/>
      <c r="M761" s="48"/>
      <c r="N761" s="48"/>
      <c r="O761" s="48"/>
      <c r="P761" s="48"/>
      <c r="Q761" s="48"/>
      <c r="R761" s="48"/>
      <c r="S761" s="52"/>
      <c r="T761" s="48"/>
    </row>
    <row r="762" spans="1:20" ht="15.75" x14ac:dyDescent="0.25">
      <c r="A762" s="10"/>
      <c r="B762" s="10"/>
      <c r="C762" s="48"/>
      <c r="D762" s="49"/>
      <c r="E762" s="48"/>
      <c r="F762" s="48"/>
      <c r="G762" s="48"/>
      <c r="H762" s="48"/>
      <c r="I762" s="50"/>
      <c r="J762" s="48"/>
      <c r="K762" s="48"/>
      <c r="L762" s="48"/>
      <c r="M762" s="48"/>
      <c r="N762" s="48"/>
      <c r="O762" s="48"/>
      <c r="P762" s="48"/>
      <c r="Q762" s="48"/>
      <c r="R762" s="48"/>
      <c r="S762" s="52"/>
      <c r="T762" s="48"/>
    </row>
    <row r="763" spans="1:20" ht="15.75" x14ac:dyDescent="0.25">
      <c r="A763" s="10"/>
      <c r="B763" s="10"/>
      <c r="C763" s="48"/>
      <c r="D763" s="49"/>
      <c r="E763" s="48"/>
      <c r="F763" s="48"/>
      <c r="G763" s="48"/>
      <c r="H763" s="48"/>
      <c r="I763" s="50"/>
      <c r="J763" s="48"/>
      <c r="K763" s="48"/>
      <c r="L763" s="48"/>
      <c r="M763" s="48"/>
      <c r="N763" s="48"/>
      <c r="O763" s="48"/>
      <c r="P763" s="48"/>
      <c r="Q763" s="48"/>
      <c r="R763" s="48"/>
      <c r="S763" s="52"/>
      <c r="T763" s="48"/>
    </row>
    <row r="764" spans="1:20" ht="15.75" x14ac:dyDescent="0.25">
      <c r="A764" s="10"/>
      <c r="B764" s="10"/>
      <c r="C764" s="48"/>
      <c r="D764" s="49"/>
      <c r="E764" s="48"/>
      <c r="F764" s="48"/>
      <c r="G764" s="48"/>
      <c r="H764" s="48"/>
      <c r="I764" s="50"/>
      <c r="J764" s="48"/>
      <c r="K764" s="48"/>
      <c r="L764" s="48"/>
      <c r="M764" s="48"/>
      <c r="N764" s="48"/>
      <c r="O764" s="48"/>
      <c r="P764" s="48"/>
      <c r="Q764" s="48"/>
      <c r="R764" s="48"/>
      <c r="S764" s="52"/>
      <c r="T764" s="48"/>
    </row>
    <row r="765" spans="1:20" ht="15.75" x14ac:dyDescent="0.25">
      <c r="A765" s="10"/>
      <c r="B765" s="10"/>
      <c r="C765" s="48"/>
      <c r="D765" s="49"/>
      <c r="E765" s="48"/>
      <c r="F765" s="48"/>
      <c r="G765" s="48"/>
      <c r="H765" s="48"/>
      <c r="I765" s="50"/>
      <c r="J765" s="48"/>
      <c r="K765" s="48"/>
      <c r="L765" s="48"/>
      <c r="M765" s="48"/>
      <c r="N765" s="48"/>
      <c r="O765" s="48"/>
      <c r="P765" s="48"/>
      <c r="Q765" s="48"/>
      <c r="R765" s="48"/>
      <c r="S765" s="52"/>
      <c r="T765" s="48"/>
    </row>
    <row r="766" spans="1:20" ht="15.75" x14ac:dyDescent="0.25">
      <c r="A766" s="10"/>
      <c r="B766" s="10"/>
      <c r="C766" s="48"/>
      <c r="D766" s="49"/>
      <c r="E766" s="48"/>
      <c r="F766" s="48"/>
      <c r="G766" s="48"/>
      <c r="H766" s="48"/>
      <c r="I766" s="50"/>
      <c r="J766" s="48"/>
      <c r="K766" s="48"/>
      <c r="L766" s="48"/>
      <c r="M766" s="48"/>
      <c r="N766" s="48"/>
      <c r="O766" s="48"/>
      <c r="P766" s="48"/>
      <c r="Q766" s="48"/>
      <c r="R766" s="48"/>
      <c r="S766" s="52"/>
      <c r="T766" s="48"/>
    </row>
    <row r="767" spans="1:20" ht="15.75" x14ac:dyDescent="0.25">
      <c r="A767" s="10"/>
      <c r="B767" s="10"/>
      <c r="C767" s="48"/>
      <c r="D767" s="49"/>
      <c r="E767" s="48"/>
      <c r="F767" s="48"/>
      <c r="G767" s="48"/>
      <c r="H767" s="48"/>
      <c r="I767" s="50"/>
      <c r="J767" s="48"/>
      <c r="K767" s="48"/>
      <c r="L767" s="48"/>
      <c r="M767" s="48"/>
      <c r="N767" s="48"/>
      <c r="O767" s="48"/>
      <c r="P767" s="48"/>
      <c r="Q767" s="48"/>
      <c r="R767" s="48"/>
      <c r="S767" s="52"/>
      <c r="T767" s="48"/>
    </row>
    <row r="768" spans="1:20" ht="15.75" x14ac:dyDescent="0.25">
      <c r="A768" s="10"/>
      <c r="B768" s="10"/>
      <c r="C768" s="48"/>
      <c r="D768" s="49"/>
      <c r="E768" s="48"/>
      <c r="F768" s="48"/>
      <c r="G768" s="48"/>
      <c r="H768" s="48"/>
      <c r="I768" s="50"/>
      <c r="J768" s="48"/>
      <c r="K768" s="48"/>
      <c r="L768" s="48"/>
      <c r="M768" s="48"/>
      <c r="N768" s="48"/>
      <c r="O768" s="48"/>
      <c r="P768" s="48"/>
      <c r="Q768" s="48"/>
      <c r="R768" s="48"/>
      <c r="S768" s="52"/>
      <c r="T768" s="48"/>
    </row>
    <row r="769" spans="1:20" ht="15.75" x14ac:dyDescent="0.25">
      <c r="A769" s="10"/>
      <c r="B769" s="10"/>
      <c r="C769" s="48"/>
      <c r="D769" s="49"/>
      <c r="E769" s="48"/>
      <c r="F769" s="48"/>
      <c r="G769" s="48"/>
      <c r="H769" s="48"/>
      <c r="I769" s="50"/>
      <c r="J769" s="48"/>
      <c r="K769" s="48"/>
      <c r="L769" s="48"/>
      <c r="M769" s="48"/>
      <c r="N769" s="48"/>
      <c r="O769" s="48"/>
      <c r="P769" s="48"/>
      <c r="Q769" s="48"/>
      <c r="R769" s="48"/>
      <c r="S769" s="52"/>
      <c r="T769" s="48"/>
    </row>
    <row r="770" spans="1:20" ht="15.75" x14ac:dyDescent="0.25">
      <c r="A770" s="10"/>
      <c r="B770" s="10"/>
      <c r="C770" s="48"/>
      <c r="D770" s="49"/>
      <c r="E770" s="48"/>
      <c r="F770" s="48"/>
      <c r="G770" s="48"/>
      <c r="H770" s="48"/>
      <c r="I770" s="50"/>
      <c r="J770" s="48"/>
      <c r="K770" s="48"/>
      <c r="L770" s="48"/>
      <c r="M770" s="48"/>
      <c r="N770" s="48"/>
      <c r="O770" s="48"/>
      <c r="P770" s="48"/>
      <c r="Q770" s="48"/>
      <c r="R770" s="48"/>
      <c r="S770" s="52"/>
      <c r="T770" s="48"/>
    </row>
    <row r="771" spans="1:20" ht="15.75" x14ac:dyDescent="0.25">
      <c r="A771" s="10"/>
      <c r="B771" s="10"/>
      <c r="C771" s="48"/>
      <c r="D771" s="49"/>
      <c r="E771" s="48"/>
      <c r="F771" s="48"/>
      <c r="G771" s="48"/>
      <c r="H771" s="48"/>
      <c r="I771" s="50"/>
      <c r="J771" s="48"/>
      <c r="K771" s="48"/>
      <c r="L771" s="48"/>
      <c r="M771" s="48"/>
      <c r="N771" s="48"/>
      <c r="O771" s="48"/>
      <c r="P771" s="48"/>
      <c r="Q771" s="48"/>
      <c r="R771" s="48"/>
      <c r="S771" s="52"/>
      <c r="T771" s="48"/>
    </row>
    <row r="772" spans="1:20" ht="15.75" x14ac:dyDescent="0.25">
      <c r="A772" s="10"/>
      <c r="B772" s="10"/>
      <c r="C772" s="48"/>
      <c r="D772" s="49"/>
      <c r="E772" s="48"/>
      <c r="F772" s="48"/>
      <c r="G772" s="48"/>
      <c r="H772" s="48"/>
      <c r="I772" s="50"/>
      <c r="J772" s="48"/>
      <c r="K772" s="48"/>
      <c r="L772" s="48"/>
      <c r="M772" s="48"/>
      <c r="N772" s="48"/>
      <c r="O772" s="48"/>
      <c r="P772" s="48"/>
      <c r="Q772" s="48"/>
      <c r="R772" s="48"/>
      <c r="S772" s="52"/>
      <c r="T772" s="48"/>
    </row>
    <row r="773" spans="1:20" ht="15.75" x14ac:dyDescent="0.25">
      <c r="A773" s="10"/>
      <c r="B773" s="10"/>
      <c r="C773" s="48"/>
      <c r="D773" s="49"/>
      <c r="E773" s="48"/>
      <c r="F773" s="48"/>
      <c r="G773" s="48"/>
      <c r="H773" s="48"/>
      <c r="I773" s="50"/>
      <c r="J773" s="48"/>
      <c r="K773" s="48"/>
      <c r="L773" s="48"/>
      <c r="M773" s="48"/>
      <c r="N773" s="48"/>
      <c r="O773" s="48"/>
      <c r="P773" s="48"/>
      <c r="Q773" s="48"/>
      <c r="R773" s="48"/>
      <c r="S773" s="52"/>
      <c r="T773" s="48"/>
    </row>
    <row r="774" spans="1:20" ht="15.75" x14ac:dyDescent="0.25">
      <c r="A774" s="10"/>
      <c r="B774" s="10"/>
      <c r="C774" s="48"/>
      <c r="D774" s="49"/>
      <c r="E774" s="48"/>
      <c r="F774" s="48"/>
      <c r="G774" s="48"/>
      <c r="H774" s="48"/>
      <c r="I774" s="50"/>
      <c r="J774" s="48"/>
      <c r="K774" s="48"/>
      <c r="L774" s="48"/>
      <c r="M774" s="48"/>
      <c r="N774" s="48"/>
      <c r="O774" s="48"/>
      <c r="P774" s="48"/>
      <c r="Q774" s="48"/>
      <c r="R774" s="48"/>
      <c r="S774" s="52"/>
      <c r="T774" s="48"/>
    </row>
    <row r="775" spans="1:20" ht="15.75" x14ac:dyDescent="0.25">
      <c r="A775" s="10"/>
      <c r="B775" s="10"/>
      <c r="C775" s="48"/>
      <c r="D775" s="49"/>
      <c r="E775" s="48"/>
      <c r="F775" s="48"/>
      <c r="G775" s="48"/>
      <c r="H775" s="48"/>
      <c r="I775" s="50"/>
      <c r="J775" s="48"/>
      <c r="K775" s="48"/>
      <c r="L775" s="48"/>
      <c r="M775" s="48"/>
      <c r="N775" s="48"/>
      <c r="O775" s="48"/>
      <c r="P775" s="48"/>
      <c r="Q775" s="48"/>
      <c r="R775" s="48"/>
      <c r="S775" s="52"/>
      <c r="T775" s="48"/>
    </row>
    <row r="776" spans="1:20" ht="15.75" x14ac:dyDescent="0.25">
      <c r="A776" s="10"/>
      <c r="B776" s="10"/>
      <c r="C776" s="48"/>
      <c r="D776" s="49"/>
      <c r="E776" s="48"/>
      <c r="F776" s="48"/>
      <c r="G776" s="48"/>
      <c r="H776" s="48"/>
      <c r="I776" s="50"/>
      <c r="J776" s="48"/>
      <c r="K776" s="48"/>
      <c r="L776" s="48"/>
      <c r="M776" s="48"/>
      <c r="N776" s="48"/>
      <c r="O776" s="48"/>
      <c r="P776" s="48"/>
      <c r="Q776" s="48"/>
      <c r="R776" s="48"/>
      <c r="S776" s="52"/>
      <c r="T776" s="48"/>
    </row>
    <row r="777" spans="1:20" ht="15.75" x14ac:dyDescent="0.25">
      <c r="A777" s="10"/>
      <c r="B777" s="10"/>
      <c r="C777" s="48"/>
      <c r="D777" s="49"/>
      <c r="E777" s="48"/>
      <c r="F777" s="48"/>
      <c r="G777" s="48"/>
      <c r="H777" s="48"/>
      <c r="I777" s="50"/>
      <c r="J777" s="48"/>
      <c r="K777" s="48"/>
      <c r="L777" s="48"/>
      <c r="M777" s="48"/>
      <c r="N777" s="48"/>
      <c r="O777" s="48"/>
      <c r="P777" s="48"/>
      <c r="Q777" s="48"/>
      <c r="R777" s="48"/>
      <c r="S777" s="52"/>
      <c r="T777" s="48"/>
    </row>
    <row r="778" spans="1:20" ht="15.75" x14ac:dyDescent="0.25">
      <c r="A778" s="10"/>
      <c r="B778" s="10"/>
      <c r="C778" s="48"/>
      <c r="D778" s="49"/>
      <c r="E778" s="48"/>
      <c r="F778" s="48"/>
      <c r="G778" s="48"/>
      <c r="H778" s="48"/>
      <c r="I778" s="50"/>
      <c r="J778" s="48"/>
      <c r="K778" s="48"/>
      <c r="L778" s="48"/>
      <c r="M778" s="48"/>
      <c r="N778" s="48"/>
      <c r="O778" s="48"/>
      <c r="P778" s="48"/>
      <c r="Q778" s="48"/>
      <c r="R778" s="48"/>
      <c r="S778" s="52"/>
      <c r="T778" s="48"/>
    </row>
    <row r="779" spans="1:20" ht="15.75" x14ac:dyDescent="0.25">
      <c r="A779" s="10"/>
      <c r="B779" s="10"/>
      <c r="C779" s="48"/>
      <c r="D779" s="49"/>
      <c r="E779" s="48"/>
      <c r="F779" s="48"/>
      <c r="G779" s="48"/>
      <c r="H779" s="48"/>
      <c r="I779" s="50"/>
      <c r="J779" s="48"/>
      <c r="K779" s="48"/>
      <c r="L779" s="48"/>
      <c r="M779" s="48"/>
      <c r="N779" s="48"/>
      <c r="O779" s="48"/>
      <c r="P779" s="48"/>
      <c r="Q779" s="48"/>
      <c r="R779" s="48"/>
      <c r="S779" s="52"/>
      <c r="T779" s="48"/>
    </row>
    <row r="780" spans="1:20" ht="15.75" x14ac:dyDescent="0.25">
      <c r="A780" s="10"/>
      <c r="B780" s="10"/>
      <c r="C780" s="48"/>
      <c r="D780" s="49"/>
      <c r="E780" s="48"/>
      <c r="F780" s="48"/>
      <c r="G780" s="48"/>
      <c r="H780" s="48"/>
      <c r="I780" s="50"/>
      <c r="J780" s="48"/>
      <c r="K780" s="48"/>
      <c r="L780" s="48"/>
      <c r="M780" s="48"/>
      <c r="N780" s="48"/>
      <c r="O780" s="48"/>
      <c r="P780" s="48"/>
      <c r="Q780" s="48"/>
      <c r="R780" s="48"/>
      <c r="S780" s="52"/>
      <c r="T780" s="48"/>
    </row>
    <row r="781" spans="1:20" ht="15.75" x14ac:dyDescent="0.25">
      <c r="A781" s="10"/>
      <c r="B781" s="10"/>
      <c r="C781" s="48"/>
      <c r="D781" s="49"/>
      <c r="E781" s="48"/>
      <c r="F781" s="48"/>
      <c r="G781" s="48"/>
      <c r="H781" s="48"/>
      <c r="I781" s="50"/>
      <c r="J781" s="48"/>
      <c r="K781" s="48"/>
      <c r="L781" s="48"/>
      <c r="M781" s="48"/>
      <c r="N781" s="48"/>
      <c r="O781" s="48"/>
      <c r="P781" s="48"/>
      <c r="Q781" s="48"/>
      <c r="R781" s="48"/>
      <c r="S781" s="52"/>
      <c r="T781" s="48"/>
    </row>
    <row r="782" spans="1:20" ht="15.75" x14ac:dyDescent="0.25">
      <c r="A782" s="10"/>
      <c r="B782" s="10"/>
      <c r="C782" s="48"/>
      <c r="D782" s="49"/>
      <c r="E782" s="48"/>
      <c r="F782" s="48"/>
      <c r="G782" s="48"/>
      <c r="H782" s="48"/>
      <c r="I782" s="50"/>
      <c r="J782" s="48"/>
      <c r="K782" s="48"/>
      <c r="L782" s="48"/>
      <c r="M782" s="48"/>
      <c r="N782" s="48"/>
      <c r="O782" s="48"/>
      <c r="P782" s="48"/>
      <c r="Q782" s="48"/>
      <c r="R782" s="48"/>
      <c r="S782" s="52"/>
      <c r="T782" s="48"/>
    </row>
    <row r="783" spans="1:20" ht="15.75" x14ac:dyDescent="0.25">
      <c r="A783" s="10"/>
      <c r="B783" s="10"/>
      <c r="C783" s="48"/>
      <c r="D783" s="49"/>
      <c r="E783" s="48"/>
      <c r="F783" s="48"/>
      <c r="G783" s="48"/>
      <c r="H783" s="48"/>
      <c r="I783" s="50"/>
      <c r="J783" s="48"/>
      <c r="K783" s="48"/>
      <c r="L783" s="48"/>
      <c r="M783" s="48"/>
      <c r="N783" s="48"/>
      <c r="O783" s="48"/>
      <c r="P783" s="48"/>
      <c r="Q783" s="48"/>
      <c r="R783" s="48"/>
      <c r="S783" s="52"/>
      <c r="T783" s="48"/>
    </row>
    <row r="784" spans="1:20" ht="15.75" x14ac:dyDescent="0.25">
      <c r="A784" s="10"/>
      <c r="B784" s="10"/>
      <c r="C784" s="48"/>
      <c r="D784" s="49"/>
      <c r="E784" s="48"/>
      <c r="F784" s="48"/>
      <c r="G784" s="48"/>
      <c r="H784" s="48"/>
      <c r="I784" s="50"/>
      <c r="J784" s="48"/>
      <c r="K784" s="48"/>
      <c r="L784" s="48"/>
      <c r="M784" s="48"/>
      <c r="N784" s="48"/>
      <c r="O784" s="48"/>
      <c r="P784" s="48"/>
      <c r="Q784" s="48"/>
      <c r="R784" s="48"/>
      <c r="S784" s="52"/>
      <c r="T784" s="48"/>
    </row>
    <row r="785" spans="1:20" ht="15.75" x14ac:dyDescent="0.25">
      <c r="A785" s="10"/>
      <c r="B785" s="10"/>
      <c r="C785" s="48"/>
      <c r="D785" s="49"/>
      <c r="E785" s="48"/>
      <c r="F785" s="48"/>
      <c r="G785" s="48"/>
      <c r="H785" s="48"/>
      <c r="I785" s="50"/>
      <c r="J785" s="48"/>
      <c r="K785" s="48"/>
      <c r="L785" s="48"/>
      <c r="M785" s="48"/>
      <c r="N785" s="48"/>
      <c r="O785" s="48"/>
      <c r="P785" s="48"/>
      <c r="Q785" s="48"/>
      <c r="R785" s="48"/>
      <c r="S785" s="52"/>
      <c r="T785" s="48"/>
    </row>
    <row r="786" spans="1:20" ht="15.75" x14ac:dyDescent="0.25">
      <c r="A786" s="10"/>
      <c r="B786" s="10"/>
      <c r="C786" s="48"/>
      <c r="D786" s="49"/>
      <c r="E786" s="48"/>
      <c r="F786" s="48"/>
      <c r="G786" s="48"/>
      <c r="H786" s="48"/>
      <c r="I786" s="50"/>
      <c r="J786" s="48"/>
      <c r="K786" s="48"/>
      <c r="L786" s="48"/>
      <c r="M786" s="48"/>
      <c r="N786" s="48"/>
      <c r="O786" s="48"/>
      <c r="P786" s="48"/>
      <c r="Q786" s="48"/>
      <c r="R786" s="48"/>
      <c r="S786" s="52"/>
      <c r="T786" s="48"/>
    </row>
    <row r="787" spans="1:20" ht="15.75" x14ac:dyDescent="0.25">
      <c r="A787" s="10"/>
      <c r="B787" s="10"/>
      <c r="C787" s="48"/>
      <c r="D787" s="49"/>
      <c r="E787" s="48"/>
      <c r="F787" s="48"/>
      <c r="G787" s="48"/>
      <c r="H787" s="48"/>
      <c r="I787" s="50"/>
      <c r="J787" s="48"/>
      <c r="K787" s="48"/>
      <c r="L787" s="48"/>
      <c r="M787" s="48"/>
      <c r="N787" s="48"/>
      <c r="O787" s="48"/>
      <c r="P787" s="48"/>
      <c r="Q787" s="48"/>
      <c r="R787" s="48"/>
      <c r="S787" s="52"/>
      <c r="T787" s="48"/>
    </row>
  </sheetData>
  <autoFilter ref="A2:T423"/>
  <mergeCells count="1">
    <mergeCell ref="A1:R1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F146"/>
  <sheetViews>
    <sheetView zoomScale="80" zoomScaleNormal="80" workbookViewId="0">
      <pane ySplit="2" topLeftCell="A58" activePane="bottomLeft" state="frozen"/>
      <selection pane="bottomLeft" activeCell="S72" sqref="S72"/>
    </sheetView>
  </sheetViews>
  <sheetFormatPr defaultRowHeight="15" x14ac:dyDescent="0.25"/>
  <cols>
    <col min="1" max="1" width="6.5703125" customWidth="1"/>
    <col min="2" max="2" width="7.140625" customWidth="1"/>
    <col min="3" max="3" width="21.5703125" customWidth="1"/>
    <col min="4" max="4" width="14.28515625" customWidth="1"/>
    <col min="5" max="5" width="5.7109375" customWidth="1"/>
    <col min="6" max="6" width="7.85546875" customWidth="1"/>
    <col min="7" max="7" width="9.28515625" customWidth="1"/>
    <col min="8" max="8" width="11.7109375" customWidth="1"/>
    <col min="9" max="10" width="12" customWidth="1"/>
    <col min="11" max="11" width="8.42578125" customWidth="1"/>
    <col min="12" max="12" width="7.28515625" customWidth="1"/>
    <col min="13" max="13" width="8.28515625" customWidth="1"/>
    <col min="14" max="14" width="7.5703125" customWidth="1"/>
    <col min="15" max="15" width="5.5703125" customWidth="1"/>
    <col min="16" max="17" width="9.42578125" customWidth="1"/>
    <col min="18" max="18" width="14.5703125" customWidth="1"/>
    <col min="19" max="21" width="12.140625" customWidth="1"/>
    <col min="22" max="22" width="10.7109375" customWidth="1"/>
    <col min="23" max="23" width="13.28515625" customWidth="1"/>
    <col min="24" max="25" width="9" customWidth="1"/>
    <col min="26" max="26" width="10.28515625" customWidth="1"/>
    <col min="27" max="27" width="15.140625" customWidth="1"/>
    <col min="28" max="28" width="16.85546875" customWidth="1"/>
    <col min="29" max="29" width="20.7109375" customWidth="1"/>
    <col min="30" max="31" width="18.5703125" customWidth="1"/>
    <col min="32" max="32" width="9.140625" style="2"/>
  </cols>
  <sheetData>
    <row r="1" spans="1:32" ht="25.5" customHeight="1" x14ac:dyDescent="0.35">
      <c r="A1" s="76" t="s">
        <v>48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2"/>
    </row>
    <row r="2" spans="1:32" ht="47.25" x14ac:dyDescent="0.25">
      <c r="A2" s="1" t="s">
        <v>0</v>
      </c>
      <c r="B2" s="1" t="s">
        <v>9</v>
      </c>
      <c r="C2" s="1" t="s">
        <v>10</v>
      </c>
      <c r="D2" s="1" t="s">
        <v>15</v>
      </c>
      <c r="E2" s="1" t="s">
        <v>7</v>
      </c>
      <c r="F2" s="1" t="s">
        <v>16</v>
      </c>
      <c r="G2" s="1" t="s">
        <v>6</v>
      </c>
      <c r="H2" s="1" t="s">
        <v>17</v>
      </c>
      <c r="I2" s="1" t="s">
        <v>5</v>
      </c>
      <c r="J2" s="1" t="s">
        <v>2744</v>
      </c>
      <c r="K2" s="1" t="s">
        <v>4</v>
      </c>
      <c r="L2" s="1" t="s">
        <v>3</v>
      </c>
      <c r="M2" s="1" t="s">
        <v>1</v>
      </c>
      <c r="N2" s="1" t="s">
        <v>19</v>
      </c>
      <c r="O2" s="1" t="s">
        <v>11</v>
      </c>
      <c r="P2" s="1" t="s">
        <v>12</v>
      </c>
      <c r="Q2" s="1" t="s">
        <v>52</v>
      </c>
      <c r="R2" s="1" t="s">
        <v>2</v>
      </c>
      <c r="S2" s="1" t="s">
        <v>20</v>
      </c>
      <c r="T2" s="1" t="s">
        <v>29</v>
      </c>
      <c r="U2" s="1" t="s">
        <v>30</v>
      </c>
      <c r="V2" s="1" t="s">
        <v>31</v>
      </c>
      <c r="W2" s="1" t="s">
        <v>22</v>
      </c>
      <c r="X2" s="1" t="s">
        <v>21</v>
      </c>
      <c r="Y2" s="1" t="s">
        <v>23</v>
      </c>
      <c r="Z2" s="1" t="s">
        <v>24</v>
      </c>
      <c r="AA2" s="1" t="s">
        <v>14</v>
      </c>
      <c r="AB2" s="1" t="s">
        <v>13</v>
      </c>
      <c r="AC2" s="1" t="s">
        <v>18</v>
      </c>
      <c r="AD2" s="1" t="s">
        <v>8</v>
      </c>
      <c r="AE2" s="1" t="s">
        <v>35</v>
      </c>
    </row>
    <row r="3" spans="1:32" s="10" customFormat="1" ht="31.5" customHeight="1" x14ac:dyDescent="0.25">
      <c r="A3" s="3">
        <v>1</v>
      </c>
      <c r="B3" s="3" t="s">
        <v>36</v>
      </c>
      <c r="C3" s="5" t="s">
        <v>49</v>
      </c>
      <c r="D3" s="4" t="s">
        <v>50</v>
      </c>
      <c r="E3" s="6">
        <v>19</v>
      </c>
      <c r="F3" s="6">
        <v>254</v>
      </c>
      <c r="G3" s="3">
        <v>1154.9000000000001</v>
      </c>
      <c r="H3" s="3" t="s">
        <v>51</v>
      </c>
      <c r="I3" s="7">
        <v>45293</v>
      </c>
      <c r="J3" s="7"/>
      <c r="K3" s="3"/>
      <c r="L3" s="3" t="s">
        <v>62</v>
      </c>
      <c r="M3" s="3"/>
      <c r="N3" s="3"/>
      <c r="O3" s="3"/>
      <c r="P3" s="3"/>
      <c r="Q3" s="3"/>
      <c r="R3" s="6" t="s">
        <v>101</v>
      </c>
      <c r="S3" s="7">
        <v>45671</v>
      </c>
      <c r="T3" s="7">
        <v>45730</v>
      </c>
      <c r="U3" s="7">
        <v>45730</v>
      </c>
      <c r="V3" s="8">
        <v>1460</v>
      </c>
      <c r="W3" s="11">
        <v>1019155</v>
      </c>
      <c r="X3" s="6"/>
      <c r="Y3" s="6"/>
      <c r="Z3" s="8"/>
      <c r="AA3" s="8" t="s">
        <v>1707</v>
      </c>
      <c r="AB3" s="8" t="s">
        <v>1708</v>
      </c>
      <c r="AC3" s="6"/>
      <c r="AD3" s="8"/>
      <c r="AE3" s="6"/>
      <c r="AF3" s="9"/>
    </row>
    <row r="4" spans="1:32" s="10" customFormat="1" ht="47.25" x14ac:dyDescent="0.25">
      <c r="A4" s="3">
        <v>2</v>
      </c>
      <c r="B4" s="3" t="s">
        <v>36</v>
      </c>
      <c r="C4" s="5" t="s">
        <v>68</v>
      </c>
      <c r="D4" s="4" t="s">
        <v>307</v>
      </c>
      <c r="E4" s="6">
        <v>13</v>
      </c>
      <c r="F4" s="6" t="s">
        <v>69</v>
      </c>
      <c r="G4" s="6" t="s">
        <v>70</v>
      </c>
      <c r="H4" s="3" t="s">
        <v>51</v>
      </c>
      <c r="I4" s="7" t="s">
        <v>97</v>
      </c>
      <c r="J4" s="7"/>
      <c r="K4" s="3"/>
      <c r="L4" s="3" t="s">
        <v>62</v>
      </c>
      <c r="M4" s="3"/>
      <c r="N4" s="3"/>
      <c r="O4" s="3"/>
      <c r="P4" s="3"/>
      <c r="Q4" s="3"/>
      <c r="R4" s="6" t="s">
        <v>101</v>
      </c>
      <c r="S4" s="7">
        <v>45671</v>
      </c>
      <c r="T4" s="7">
        <v>45677</v>
      </c>
      <c r="U4" s="7">
        <v>45677</v>
      </c>
      <c r="V4" s="6">
        <v>375</v>
      </c>
      <c r="W4" s="11">
        <v>2429180</v>
      </c>
      <c r="X4" s="6"/>
      <c r="Y4" s="6"/>
      <c r="Z4" s="6"/>
      <c r="AA4" s="6" t="s">
        <v>792</v>
      </c>
      <c r="AB4" s="8" t="s">
        <v>793</v>
      </c>
      <c r="AC4" s="8"/>
      <c r="AD4" s="6"/>
      <c r="AE4" s="6"/>
      <c r="AF4" s="9"/>
    </row>
    <row r="5" spans="1:32" ht="16.5" x14ac:dyDescent="0.25">
      <c r="A5" s="12"/>
      <c r="B5" s="73" t="s">
        <v>37</v>
      </c>
      <c r="C5" s="74"/>
      <c r="D5" s="74"/>
      <c r="E5" s="74"/>
      <c r="F5" s="74"/>
      <c r="G5" s="74"/>
      <c r="H5" s="75"/>
      <c r="I5" s="13"/>
      <c r="J5" s="13"/>
      <c r="K5" s="14">
        <f ca="1">COUNTIF(K4:K5,"CQ")+COUNTIF(K3:K4,"CN")+COUNTIF(K4,"TK")</f>
        <v>0</v>
      </c>
      <c r="L5" s="14">
        <f>COUNTIF(L3:L4,"CMĐ")</f>
        <v>2</v>
      </c>
      <c r="M5" s="14">
        <f>COUNTIF(M4,"XMDT")+COUNTIF(M4,"Mốc")</f>
        <v>0</v>
      </c>
      <c r="N5" s="14">
        <f>COUNTIF(N4,"THÁn")</f>
        <v>0</v>
      </c>
      <c r="O5" s="14">
        <f>COUNTIF(O4,"TÒA")</f>
        <v>0</v>
      </c>
      <c r="P5" s="14" t="e">
        <f>COUNTIF(#REF!,"Cấp GCN")</f>
        <v>#REF!</v>
      </c>
      <c r="Q5" s="14" t="e">
        <f>COUNTIF(#REF!,"SHN")</f>
        <v>#REF!</v>
      </c>
      <c r="R5" s="15"/>
      <c r="S5" s="13"/>
      <c r="T5" s="15"/>
      <c r="U5" s="15"/>
      <c r="V5" s="16"/>
      <c r="W5" s="11"/>
      <c r="X5" s="17"/>
      <c r="Y5" s="2"/>
      <c r="AE5" s="14">
        <f>COUNTIF(AE4,"kt")</f>
        <v>0</v>
      </c>
    </row>
    <row r="6" spans="1:32" s="10" customFormat="1" ht="31.5" x14ac:dyDescent="0.25">
      <c r="A6" s="3">
        <v>3</v>
      </c>
      <c r="B6" s="3" t="s">
        <v>36</v>
      </c>
      <c r="C6" s="5" t="s">
        <v>390</v>
      </c>
      <c r="D6" s="4" t="s">
        <v>391</v>
      </c>
      <c r="E6" s="6">
        <v>28</v>
      </c>
      <c r="F6" s="6">
        <v>153</v>
      </c>
      <c r="G6" s="3">
        <v>440.6</v>
      </c>
      <c r="H6" s="3" t="s">
        <v>51</v>
      </c>
      <c r="I6" s="7">
        <v>45693</v>
      </c>
      <c r="J6" s="7"/>
      <c r="K6" s="3"/>
      <c r="L6" s="3" t="s">
        <v>62</v>
      </c>
      <c r="M6" s="3"/>
      <c r="N6" s="3"/>
      <c r="O6" s="3"/>
      <c r="P6" s="3"/>
      <c r="Q6" s="3"/>
      <c r="R6" s="6" t="s">
        <v>101</v>
      </c>
      <c r="S6" s="7">
        <v>45701</v>
      </c>
      <c r="T6" s="7">
        <v>45702</v>
      </c>
      <c r="U6" s="7">
        <v>45702</v>
      </c>
      <c r="V6" s="6">
        <v>805</v>
      </c>
      <c r="W6" s="11">
        <v>961551</v>
      </c>
      <c r="X6" s="6"/>
      <c r="Y6" s="6"/>
      <c r="Z6" s="6"/>
      <c r="AA6" s="6" t="s">
        <v>1222</v>
      </c>
      <c r="AB6" s="8" t="s">
        <v>1223</v>
      </c>
      <c r="AC6" s="8"/>
      <c r="AD6" s="6"/>
      <c r="AE6" s="6"/>
      <c r="AF6" s="9"/>
    </row>
    <row r="7" spans="1:32" s="10" customFormat="1" ht="35.25" customHeight="1" x14ac:dyDescent="0.25">
      <c r="A7" s="3">
        <v>4</v>
      </c>
      <c r="B7" s="3" t="s">
        <v>36</v>
      </c>
      <c r="C7" s="5" t="s">
        <v>396</v>
      </c>
      <c r="D7" s="4" t="s">
        <v>397</v>
      </c>
      <c r="E7" s="6">
        <v>36</v>
      </c>
      <c r="F7" s="6">
        <v>214</v>
      </c>
      <c r="G7" s="3">
        <v>196</v>
      </c>
      <c r="H7" s="3" t="s">
        <v>75</v>
      </c>
      <c r="I7" s="7">
        <v>45694</v>
      </c>
      <c r="J7" s="7"/>
      <c r="K7" s="3"/>
      <c r="L7" s="3"/>
      <c r="M7" s="3" t="s">
        <v>98</v>
      </c>
      <c r="N7" s="3"/>
      <c r="O7" s="3"/>
      <c r="P7" s="3"/>
      <c r="Q7" s="3"/>
      <c r="R7" s="6" t="s">
        <v>101</v>
      </c>
      <c r="S7" s="7">
        <v>45695</v>
      </c>
      <c r="T7" s="7">
        <v>45700</v>
      </c>
      <c r="U7" s="7">
        <v>45700</v>
      </c>
      <c r="V7" s="6">
        <v>727</v>
      </c>
      <c r="W7" s="11">
        <v>3630766</v>
      </c>
      <c r="X7" s="6"/>
      <c r="Y7" s="6"/>
      <c r="Z7" s="6"/>
      <c r="AA7" s="6"/>
      <c r="AB7" s="8"/>
      <c r="AC7" s="8"/>
      <c r="AD7" s="6"/>
      <c r="AE7" s="6"/>
      <c r="AF7" s="9"/>
    </row>
    <row r="8" spans="1:32" s="10" customFormat="1" ht="31.5" x14ac:dyDescent="0.25">
      <c r="A8" s="3">
        <v>5</v>
      </c>
      <c r="B8" s="3" t="s">
        <v>36</v>
      </c>
      <c r="C8" s="5" t="s">
        <v>398</v>
      </c>
      <c r="D8" s="4" t="s">
        <v>399</v>
      </c>
      <c r="E8" s="6">
        <v>29</v>
      </c>
      <c r="F8" s="6">
        <v>142</v>
      </c>
      <c r="G8" s="3">
        <v>299</v>
      </c>
      <c r="H8" s="3" t="s">
        <v>51</v>
      </c>
      <c r="I8" s="7">
        <v>45694</v>
      </c>
      <c r="J8" s="7"/>
      <c r="K8" s="3"/>
      <c r="L8" s="3" t="s">
        <v>62</v>
      </c>
      <c r="M8" s="3"/>
      <c r="N8" s="3"/>
      <c r="O8" s="3"/>
      <c r="P8" s="3"/>
      <c r="Q8" s="3"/>
      <c r="R8" s="6" t="s">
        <v>101</v>
      </c>
      <c r="S8" s="7">
        <v>45702</v>
      </c>
      <c r="T8" s="7">
        <v>45702</v>
      </c>
      <c r="U8" s="7">
        <v>45702</v>
      </c>
      <c r="V8" s="6">
        <v>794</v>
      </c>
      <c r="W8" s="11">
        <v>809727</v>
      </c>
      <c r="X8" s="6"/>
      <c r="Y8" s="6"/>
      <c r="Z8" s="6"/>
      <c r="AA8" s="6" t="s">
        <v>1302</v>
      </c>
      <c r="AB8" s="8" t="s">
        <v>1303</v>
      </c>
      <c r="AC8" s="8"/>
      <c r="AD8" s="6"/>
      <c r="AE8" s="6"/>
      <c r="AF8" s="9"/>
    </row>
    <row r="9" spans="1:32" s="10" customFormat="1" ht="31.5" x14ac:dyDescent="0.25">
      <c r="A9" s="3">
        <v>6</v>
      </c>
      <c r="B9" s="3" t="s">
        <v>36</v>
      </c>
      <c r="C9" s="5" t="s">
        <v>127</v>
      </c>
      <c r="D9" s="4" t="s">
        <v>416</v>
      </c>
      <c r="E9" s="6">
        <v>13</v>
      </c>
      <c r="F9" s="6">
        <v>233</v>
      </c>
      <c r="G9" s="3">
        <v>453.2</v>
      </c>
      <c r="H9" s="3" t="s">
        <v>51</v>
      </c>
      <c r="I9" s="7">
        <v>45695</v>
      </c>
      <c r="J9" s="7"/>
      <c r="K9" s="3"/>
      <c r="L9" s="3" t="s">
        <v>62</v>
      </c>
      <c r="M9" s="3"/>
      <c r="N9" s="3"/>
      <c r="O9" s="3"/>
      <c r="P9" s="3"/>
      <c r="Q9" s="3"/>
      <c r="R9" s="6" t="s">
        <v>101</v>
      </c>
      <c r="S9" s="7">
        <v>45699</v>
      </c>
      <c r="T9" s="7">
        <v>45701</v>
      </c>
      <c r="U9" s="7">
        <v>45701</v>
      </c>
      <c r="V9" s="6">
        <v>778</v>
      </c>
      <c r="W9" s="11">
        <v>961551</v>
      </c>
      <c r="X9" s="6"/>
      <c r="Y9" s="6"/>
      <c r="Z9" s="6"/>
      <c r="AA9" s="6" t="s">
        <v>967</v>
      </c>
      <c r="AB9" s="8" t="s">
        <v>968</v>
      </c>
      <c r="AC9" s="8"/>
      <c r="AD9" s="6"/>
      <c r="AE9" s="6"/>
      <c r="AF9" s="9"/>
    </row>
    <row r="10" spans="1:32" s="10" customFormat="1" ht="47.25" x14ac:dyDescent="0.25">
      <c r="A10" s="3">
        <v>7</v>
      </c>
      <c r="B10" s="3" t="s">
        <v>36</v>
      </c>
      <c r="C10" s="5" t="s">
        <v>419</v>
      </c>
      <c r="D10" s="4" t="s">
        <v>420</v>
      </c>
      <c r="E10" s="6">
        <v>6</v>
      </c>
      <c r="F10" s="6" t="s">
        <v>421</v>
      </c>
      <c r="G10" s="6" t="s">
        <v>422</v>
      </c>
      <c r="H10" s="6" t="s">
        <v>423</v>
      </c>
      <c r="I10" s="7">
        <v>45695</v>
      </c>
      <c r="J10" s="7"/>
      <c r="K10" s="3"/>
      <c r="L10" s="3"/>
      <c r="M10" s="3" t="s">
        <v>1</v>
      </c>
      <c r="N10" s="3"/>
      <c r="O10" s="3"/>
      <c r="P10" s="3"/>
      <c r="Q10" s="3"/>
      <c r="R10" s="6" t="s">
        <v>101</v>
      </c>
      <c r="S10" s="6"/>
      <c r="T10" s="6"/>
      <c r="U10" s="6"/>
      <c r="V10" s="6"/>
      <c r="W10" s="11"/>
      <c r="X10" s="6"/>
      <c r="Y10" s="6"/>
      <c r="Z10" s="6"/>
      <c r="AA10" s="6"/>
      <c r="AB10" s="8"/>
      <c r="AC10" s="8"/>
      <c r="AD10" s="6"/>
      <c r="AE10" s="6"/>
      <c r="AF10" s="9"/>
    </row>
    <row r="11" spans="1:32" s="10" customFormat="1" ht="31.5" x14ac:dyDescent="0.25">
      <c r="A11" s="3">
        <v>8</v>
      </c>
      <c r="B11" s="3" t="s">
        <v>36</v>
      </c>
      <c r="C11" s="5" t="s">
        <v>441</v>
      </c>
      <c r="D11" s="4" t="s">
        <v>324</v>
      </c>
      <c r="E11" s="6">
        <v>20</v>
      </c>
      <c r="F11" s="6">
        <v>179</v>
      </c>
      <c r="G11" s="6">
        <v>2997.1</v>
      </c>
      <c r="H11" s="6" t="s">
        <v>51</v>
      </c>
      <c r="I11" s="7"/>
      <c r="J11" s="7"/>
      <c r="K11" s="3"/>
      <c r="L11" s="3"/>
      <c r="M11" s="3"/>
      <c r="N11" s="3"/>
      <c r="O11" s="3"/>
      <c r="P11" s="3"/>
      <c r="Q11" s="3"/>
      <c r="R11" s="15" t="s">
        <v>190</v>
      </c>
      <c r="S11" s="7">
        <v>45646</v>
      </c>
      <c r="T11" s="6"/>
      <c r="U11" s="6"/>
      <c r="V11" s="6"/>
      <c r="W11" s="11"/>
      <c r="X11" s="6"/>
      <c r="Y11" s="6"/>
      <c r="Z11" s="6"/>
      <c r="AA11" s="6" t="s">
        <v>442</v>
      </c>
      <c r="AB11" s="8" t="s">
        <v>443</v>
      </c>
      <c r="AC11" s="8"/>
      <c r="AD11" s="6"/>
      <c r="AE11" s="6"/>
      <c r="AF11" s="9"/>
    </row>
    <row r="12" spans="1:32" s="10" customFormat="1" ht="31.5" x14ac:dyDescent="0.25">
      <c r="A12" s="3">
        <v>9</v>
      </c>
      <c r="B12" s="3" t="s">
        <v>36</v>
      </c>
      <c r="C12" s="5" t="s">
        <v>444</v>
      </c>
      <c r="D12" s="4"/>
      <c r="E12" s="6">
        <v>14</v>
      </c>
      <c r="F12" s="6">
        <v>219</v>
      </c>
      <c r="G12" s="6">
        <v>678.8</v>
      </c>
      <c r="H12" s="6" t="s">
        <v>51</v>
      </c>
      <c r="I12" s="7"/>
      <c r="J12" s="7"/>
      <c r="K12" s="3"/>
      <c r="L12" s="3"/>
      <c r="M12" s="3"/>
      <c r="N12" s="3"/>
      <c r="O12" s="3"/>
      <c r="P12" s="3"/>
      <c r="Q12" s="3"/>
      <c r="R12" s="15" t="s">
        <v>190</v>
      </c>
      <c r="S12" s="7">
        <v>45643</v>
      </c>
      <c r="T12" s="6"/>
      <c r="U12" s="6"/>
      <c r="V12" s="6"/>
      <c r="W12" s="11"/>
      <c r="X12" s="6"/>
      <c r="Y12" s="6"/>
      <c r="Z12" s="6"/>
      <c r="AA12" s="6" t="s">
        <v>442</v>
      </c>
      <c r="AB12" s="8" t="s">
        <v>443</v>
      </c>
      <c r="AC12" s="8"/>
      <c r="AD12" s="6"/>
      <c r="AE12" s="6"/>
      <c r="AF12" s="9"/>
    </row>
    <row r="13" spans="1:32" s="10" customFormat="1" ht="31.5" x14ac:dyDescent="0.25">
      <c r="A13" s="3">
        <v>10</v>
      </c>
      <c r="B13" s="3" t="s">
        <v>36</v>
      </c>
      <c r="C13" s="5" t="s">
        <v>493</v>
      </c>
      <c r="D13" s="4" t="s">
        <v>494</v>
      </c>
      <c r="E13" s="6">
        <v>18</v>
      </c>
      <c r="F13" s="6">
        <v>323</v>
      </c>
      <c r="G13" s="6">
        <v>1001.8</v>
      </c>
      <c r="H13" s="6" t="s">
        <v>51</v>
      </c>
      <c r="I13" s="7">
        <v>45700</v>
      </c>
      <c r="J13" s="7"/>
      <c r="K13" s="3" t="s">
        <v>60</v>
      </c>
      <c r="L13" s="3"/>
      <c r="M13" s="3"/>
      <c r="N13" s="3"/>
      <c r="O13" s="3"/>
      <c r="P13" s="3"/>
      <c r="Q13" s="3"/>
      <c r="R13" s="15" t="s">
        <v>101</v>
      </c>
      <c r="S13" s="7">
        <v>45722</v>
      </c>
      <c r="T13" s="7">
        <v>45726</v>
      </c>
      <c r="U13" s="7">
        <v>45726</v>
      </c>
      <c r="V13" s="6" t="s">
        <v>951</v>
      </c>
      <c r="W13" s="11" t="s">
        <v>950</v>
      </c>
      <c r="X13" s="6"/>
      <c r="Y13" s="6"/>
      <c r="Z13" s="6"/>
      <c r="AA13" s="6" t="s">
        <v>2089</v>
      </c>
      <c r="AB13" s="8" t="s">
        <v>2077</v>
      </c>
      <c r="AC13" s="8"/>
      <c r="AD13" s="6"/>
      <c r="AE13" s="6"/>
      <c r="AF13" s="9"/>
    </row>
    <row r="14" spans="1:32" s="10" customFormat="1" ht="16.5" x14ac:dyDescent="0.25">
      <c r="A14" s="3">
        <v>11</v>
      </c>
      <c r="B14" s="3" t="s">
        <v>36</v>
      </c>
      <c r="C14" s="5" t="s">
        <v>526</v>
      </c>
      <c r="D14" s="4" t="s">
        <v>527</v>
      </c>
      <c r="E14" s="6">
        <v>17</v>
      </c>
      <c r="F14" s="6">
        <v>7</v>
      </c>
      <c r="G14" s="6">
        <v>5078</v>
      </c>
      <c r="H14" s="6" t="s">
        <v>75</v>
      </c>
      <c r="I14" s="7">
        <v>45701</v>
      </c>
      <c r="J14" s="7"/>
      <c r="K14" s="3" t="s">
        <v>60</v>
      </c>
      <c r="L14" s="3"/>
      <c r="M14" s="3"/>
      <c r="N14" s="3"/>
      <c r="O14" s="3"/>
      <c r="P14" s="3"/>
      <c r="Q14" s="3"/>
      <c r="R14" s="15" t="s">
        <v>101</v>
      </c>
      <c r="S14" s="6"/>
      <c r="T14" s="6"/>
      <c r="U14" s="6"/>
      <c r="V14" s="6"/>
      <c r="W14" s="11"/>
      <c r="X14" s="6"/>
      <c r="Y14" s="6"/>
      <c r="Z14" s="6"/>
      <c r="AA14" s="6"/>
      <c r="AB14" s="8"/>
      <c r="AC14" s="8"/>
      <c r="AD14" s="6"/>
      <c r="AE14" s="6"/>
      <c r="AF14" s="9"/>
    </row>
    <row r="15" spans="1:32" s="10" customFormat="1" ht="31.5" x14ac:dyDescent="0.25">
      <c r="A15" s="3">
        <v>12</v>
      </c>
      <c r="B15" s="3" t="s">
        <v>36</v>
      </c>
      <c r="C15" s="5" t="s">
        <v>538</v>
      </c>
      <c r="D15" s="4" t="s">
        <v>539</v>
      </c>
      <c r="E15" s="6">
        <v>25</v>
      </c>
      <c r="F15" s="6">
        <v>166</v>
      </c>
      <c r="G15" s="6">
        <v>866.4</v>
      </c>
      <c r="H15" s="6" t="s">
        <v>51</v>
      </c>
      <c r="I15" s="7">
        <v>45702</v>
      </c>
      <c r="J15" s="7"/>
      <c r="K15" s="3"/>
      <c r="L15" s="3" t="s">
        <v>62</v>
      </c>
      <c r="M15" s="3"/>
      <c r="N15" s="3"/>
      <c r="O15" s="3"/>
      <c r="P15" s="3"/>
      <c r="Q15" s="3"/>
      <c r="R15" s="15" t="s">
        <v>101</v>
      </c>
      <c r="S15" s="7">
        <v>45715</v>
      </c>
      <c r="T15" s="7">
        <v>45716</v>
      </c>
      <c r="U15" s="7">
        <v>45716</v>
      </c>
      <c r="V15" s="6">
        <v>1138</v>
      </c>
      <c r="W15" s="11">
        <v>961551</v>
      </c>
      <c r="X15" s="6"/>
      <c r="Y15" s="6"/>
      <c r="Z15" s="6"/>
      <c r="AA15" s="6" t="s">
        <v>1387</v>
      </c>
      <c r="AB15" s="8" t="s">
        <v>1396</v>
      </c>
      <c r="AC15" s="8"/>
      <c r="AD15" s="6"/>
      <c r="AE15" s="6"/>
      <c r="AF15" s="9"/>
    </row>
    <row r="16" spans="1:32" s="10" customFormat="1" ht="31.5" x14ac:dyDescent="0.25">
      <c r="A16" s="3">
        <v>13</v>
      </c>
      <c r="B16" s="6" t="s">
        <v>36</v>
      </c>
      <c r="C16" s="5" t="s">
        <v>645</v>
      </c>
      <c r="D16" s="4" t="s">
        <v>646</v>
      </c>
      <c r="E16" s="6">
        <v>29</v>
      </c>
      <c r="F16" s="6">
        <v>131</v>
      </c>
      <c r="G16" s="6">
        <v>1642.9</v>
      </c>
      <c r="H16" s="6" t="s">
        <v>51</v>
      </c>
      <c r="I16" s="7"/>
      <c r="J16" s="7"/>
      <c r="K16" s="3"/>
      <c r="L16" s="3"/>
      <c r="M16" s="3"/>
      <c r="N16" s="3"/>
      <c r="O16" s="3"/>
      <c r="P16" s="3"/>
      <c r="Q16" s="3"/>
      <c r="R16" s="15" t="s">
        <v>190</v>
      </c>
      <c r="S16" s="7">
        <v>45955</v>
      </c>
      <c r="T16" s="6"/>
      <c r="U16" s="6"/>
      <c r="V16" s="6"/>
      <c r="W16" s="11"/>
      <c r="X16" s="6"/>
      <c r="Y16" s="6"/>
      <c r="Z16" s="6"/>
      <c r="AA16" s="6" t="s">
        <v>642</v>
      </c>
      <c r="AB16" s="8" t="s">
        <v>643</v>
      </c>
      <c r="AC16" s="8"/>
      <c r="AD16" s="6"/>
      <c r="AE16" s="6"/>
      <c r="AF16" s="9"/>
    </row>
    <row r="17" spans="1:32" s="10" customFormat="1" ht="31.5" x14ac:dyDescent="0.25">
      <c r="A17" s="3">
        <v>14</v>
      </c>
      <c r="B17" s="6" t="s">
        <v>36</v>
      </c>
      <c r="C17" s="5" t="s">
        <v>657</v>
      </c>
      <c r="D17" s="4" t="s">
        <v>658</v>
      </c>
      <c r="E17" s="6">
        <v>19</v>
      </c>
      <c r="F17" s="6">
        <v>86</v>
      </c>
      <c r="G17" s="6">
        <v>3368.8</v>
      </c>
      <c r="H17" s="6" t="s">
        <v>199</v>
      </c>
      <c r="I17" s="7">
        <v>45712</v>
      </c>
      <c r="J17" s="7"/>
      <c r="K17" s="3"/>
      <c r="L17" s="3" t="s">
        <v>62</v>
      </c>
      <c r="M17" s="3"/>
      <c r="N17" s="3"/>
      <c r="O17" s="3"/>
      <c r="P17" s="3"/>
      <c r="Q17" s="3"/>
      <c r="R17" s="15" t="s">
        <v>101</v>
      </c>
      <c r="S17" s="7">
        <v>45716</v>
      </c>
      <c r="T17" s="7">
        <v>45720</v>
      </c>
      <c r="U17" s="7">
        <v>45720</v>
      </c>
      <c r="V17" s="6">
        <v>1218</v>
      </c>
      <c r="W17" s="11">
        <v>2675225</v>
      </c>
      <c r="X17" s="6"/>
      <c r="Y17" s="6"/>
      <c r="Z17" s="6"/>
      <c r="AA17" s="6" t="s">
        <v>981</v>
      </c>
      <c r="AB17" s="8" t="s">
        <v>982</v>
      </c>
      <c r="AC17" s="8"/>
      <c r="AD17" s="6"/>
      <c r="AE17" s="6"/>
      <c r="AF17" s="9"/>
    </row>
    <row r="18" spans="1:32" ht="16.5" x14ac:dyDescent="0.25">
      <c r="A18" s="12"/>
      <c r="B18" s="73" t="s">
        <v>706</v>
      </c>
      <c r="C18" s="74"/>
      <c r="D18" s="74"/>
      <c r="E18" s="74"/>
      <c r="F18" s="74"/>
      <c r="G18" s="74"/>
      <c r="H18" s="75"/>
      <c r="I18" s="13"/>
      <c r="J18" s="13"/>
      <c r="K18" s="14">
        <f>COUNTIF(K6:K17,"CN")+COUNTIF(K16:K17,"CN")+COUNTIF(K17,"TK")</f>
        <v>2</v>
      </c>
      <c r="L18" s="14">
        <f>COUNTIF(L6:L17,"CMĐ")</f>
        <v>5</v>
      </c>
      <c r="M18" s="14">
        <f>COUNTIF(M6:M17,"XMDT")+COUNTIF(M6:M17,"Mốc")</f>
        <v>2</v>
      </c>
      <c r="N18" s="14">
        <f>COUNTIF(N17,"THÁn")</f>
        <v>0</v>
      </c>
      <c r="O18" s="14">
        <f>COUNTIF(O17,"TÒA")</f>
        <v>0</v>
      </c>
      <c r="P18" s="14">
        <f>COUNTIF(P6:P17,"Cấp GCN")</f>
        <v>0</v>
      </c>
      <c r="Q18" s="14">
        <f>COUNTIF(Q6:Q17,"SHN")</f>
        <v>0</v>
      </c>
      <c r="R18" s="15"/>
      <c r="S18" s="13"/>
      <c r="T18" s="15"/>
      <c r="U18" s="15"/>
      <c r="V18" s="16"/>
      <c r="W18" s="11"/>
      <c r="X18" s="17"/>
      <c r="Y18" s="2"/>
      <c r="AE18" s="14">
        <f>COUNTIF(AE17,"kt")</f>
        <v>0</v>
      </c>
    </row>
    <row r="19" spans="1:32" s="10" customFormat="1" ht="31.5" x14ac:dyDescent="0.25">
      <c r="A19" s="3">
        <v>15</v>
      </c>
      <c r="B19" s="5" t="s">
        <v>36</v>
      </c>
      <c r="C19" s="5" t="s">
        <v>751</v>
      </c>
      <c r="D19" s="4" t="s">
        <v>752</v>
      </c>
      <c r="E19" s="6">
        <v>9</v>
      </c>
      <c r="F19" s="6">
        <v>206</v>
      </c>
      <c r="G19" s="6">
        <v>569.79999999999995</v>
      </c>
      <c r="H19" s="6" t="s">
        <v>51</v>
      </c>
      <c r="I19" s="7">
        <v>45715</v>
      </c>
      <c r="J19" s="7"/>
      <c r="K19" s="3"/>
      <c r="L19" s="3" t="s">
        <v>62</v>
      </c>
      <c r="M19" s="3"/>
      <c r="N19" s="3"/>
      <c r="O19" s="3"/>
      <c r="P19" s="3"/>
      <c r="Q19" s="3"/>
      <c r="R19" s="15" t="s">
        <v>101</v>
      </c>
      <c r="S19" s="7">
        <v>45722</v>
      </c>
      <c r="T19" s="7">
        <v>45728</v>
      </c>
      <c r="U19" s="7">
        <v>45728</v>
      </c>
      <c r="V19" s="6">
        <v>1398</v>
      </c>
      <c r="W19" s="11">
        <v>961551</v>
      </c>
      <c r="X19" s="6"/>
      <c r="Y19" s="6"/>
      <c r="Z19" s="6"/>
      <c r="AA19" s="8" t="s">
        <v>1707</v>
      </c>
      <c r="AB19" s="8" t="s">
        <v>1708</v>
      </c>
      <c r="AC19" s="8"/>
      <c r="AD19" s="6"/>
      <c r="AE19" s="6"/>
      <c r="AF19" s="9"/>
    </row>
    <row r="20" spans="1:32" s="10" customFormat="1" ht="47.25" x14ac:dyDescent="0.25">
      <c r="A20" s="3">
        <v>16</v>
      </c>
      <c r="B20" s="5" t="s">
        <v>36</v>
      </c>
      <c r="C20" s="5" t="s">
        <v>1832</v>
      </c>
      <c r="D20" s="4" t="s">
        <v>763</v>
      </c>
      <c r="E20" s="6">
        <v>30</v>
      </c>
      <c r="F20" s="6">
        <v>2</v>
      </c>
      <c r="G20" s="6"/>
      <c r="H20" s="6"/>
      <c r="I20" s="7">
        <v>45715</v>
      </c>
      <c r="J20" s="7"/>
      <c r="K20" s="3"/>
      <c r="L20" s="3"/>
      <c r="M20" s="3"/>
      <c r="N20" s="3"/>
      <c r="O20" s="3"/>
      <c r="P20" s="3" t="s">
        <v>81</v>
      </c>
      <c r="Q20" s="3"/>
      <c r="R20" s="15" t="s">
        <v>101</v>
      </c>
      <c r="S20" s="7">
        <v>45782</v>
      </c>
      <c r="T20" s="7">
        <v>45783</v>
      </c>
      <c r="U20" s="7">
        <v>45783</v>
      </c>
      <c r="V20" s="20">
        <v>391</v>
      </c>
      <c r="W20" s="11">
        <v>1713674</v>
      </c>
      <c r="X20" s="6"/>
      <c r="Y20" s="6"/>
      <c r="Z20" s="6"/>
      <c r="AA20" s="6"/>
      <c r="AB20" s="8"/>
      <c r="AC20" s="8"/>
      <c r="AD20" s="6"/>
      <c r="AE20" s="6"/>
      <c r="AF20" s="9"/>
    </row>
    <row r="21" spans="1:32" s="10" customFormat="1" ht="31.5" x14ac:dyDescent="0.25">
      <c r="A21" s="3">
        <v>17</v>
      </c>
      <c r="B21" s="5" t="s">
        <v>36</v>
      </c>
      <c r="C21" s="5" t="s">
        <v>764</v>
      </c>
      <c r="D21" s="4" t="s">
        <v>765</v>
      </c>
      <c r="E21" s="6">
        <v>30</v>
      </c>
      <c r="F21" s="6">
        <v>54</v>
      </c>
      <c r="G21" s="6"/>
      <c r="H21" s="6"/>
      <c r="I21" s="7">
        <v>45715</v>
      </c>
      <c r="J21" s="7"/>
      <c r="K21" s="3"/>
      <c r="L21" s="3"/>
      <c r="M21" s="3"/>
      <c r="N21" s="3"/>
      <c r="O21" s="3"/>
      <c r="P21" s="3" t="s">
        <v>81</v>
      </c>
      <c r="Q21" s="3"/>
      <c r="R21" s="15" t="s">
        <v>101</v>
      </c>
      <c r="S21" s="7">
        <v>45782</v>
      </c>
      <c r="T21" s="7">
        <v>45783</v>
      </c>
      <c r="U21" s="7">
        <v>45783</v>
      </c>
      <c r="V21" s="20">
        <v>388</v>
      </c>
      <c r="W21" s="11">
        <v>1713674</v>
      </c>
      <c r="X21" s="6"/>
      <c r="Y21" s="6"/>
      <c r="Z21" s="6"/>
      <c r="AA21" s="6"/>
      <c r="AB21" s="8"/>
      <c r="AC21" s="8"/>
      <c r="AD21" s="6" t="s">
        <v>2587</v>
      </c>
      <c r="AE21" s="6"/>
      <c r="AF21" s="9"/>
    </row>
    <row r="22" spans="1:32" s="10" customFormat="1" ht="68.25" customHeight="1" x14ac:dyDescent="0.25">
      <c r="A22" s="3">
        <v>18</v>
      </c>
      <c r="B22" s="5" t="s">
        <v>36</v>
      </c>
      <c r="C22" s="5" t="s">
        <v>766</v>
      </c>
      <c r="D22" s="4" t="s">
        <v>767</v>
      </c>
      <c r="E22" s="6">
        <v>30</v>
      </c>
      <c r="F22" s="6">
        <v>3</v>
      </c>
      <c r="G22" s="6"/>
      <c r="H22" s="6"/>
      <c r="I22" s="7">
        <v>45715</v>
      </c>
      <c r="J22" s="7"/>
      <c r="K22" s="3"/>
      <c r="L22" s="3"/>
      <c r="M22" s="3"/>
      <c r="N22" s="3"/>
      <c r="O22" s="3"/>
      <c r="P22" s="3" t="s">
        <v>81</v>
      </c>
      <c r="Q22" s="3"/>
      <c r="R22" s="15" t="s">
        <v>101</v>
      </c>
      <c r="S22" s="7">
        <v>45782</v>
      </c>
      <c r="T22" s="7">
        <v>45783</v>
      </c>
      <c r="U22" s="7">
        <v>45783</v>
      </c>
      <c r="V22" s="20">
        <v>390</v>
      </c>
      <c r="W22" s="11">
        <v>1248329</v>
      </c>
      <c r="X22" s="6"/>
      <c r="Y22" s="6"/>
      <c r="Z22" s="6"/>
      <c r="AA22" s="6"/>
      <c r="AB22" s="8"/>
      <c r="AC22" s="8"/>
      <c r="AD22" s="6"/>
      <c r="AE22" s="6"/>
      <c r="AF22" s="9"/>
    </row>
    <row r="23" spans="1:32" s="10" customFormat="1" ht="57" customHeight="1" x14ac:dyDescent="0.25">
      <c r="A23" s="3">
        <v>19</v>
      </c>
      <c r="B23" s="5" t="s">
        <v>36</v>
      </c>
      <c r="C23" s="5" t="s">
        <v>801</v>
      </c>
      <c r="D23" s="4" t="s">
        <v>802</v>
      </c>
      <c r="E23" s="6">
        <v>17</v>
      </c>
      <c r="F23" s="6">
        <v>88</v>
      </c>
      <c r="G23" s="6">
        <v>497.9</v>
      </c>
      <c r="H23" s="6" t="s">
        <v>75</v>
      </c>
      <c r="I23" s="7" t="s">
        <v>985</v>
      </c>
      <c r="J23" s="7"/>
      <c r="K23" s="3"/>
      <c r="L23" s="3"/>
      <c r="M23" s="3" t="s">
        <v>1</v>
      </c>
      <c r="N23" s="3"/>
      <c r="O23" s="3"/>
      <c r="P23" s="3"/>
      <c r="Q23" s="3"/>
      <c r="R23" s="15" t="s">
        <v>101</v>
      </c>
      <c r="S23" s="7">
        <v>45786</v>
      </c>
      <c r="T23" s="7">
        <v>45786</v>
      </c>
      <c r="U23" s="7">
        <v>45786</v>
      </c>
      <c r="V23" s="6">
        <v>483</v>
      </c>
      <c r="W23" s="11">
        <v>1248329</v>
      </c>
      <c r="X23" s="6"/>
      <c r="Y23" s="6"/>
      <c r="Z23" s="6"/>
      <c r="AA23" s="6"/>
      <c r="AB23" s="8"/>
      <c r="AC23" s="8" t="s">
        <v>1924</v>
      </c>
      <c r="AD23" s="6" t="s">
        <v>878</v>
      </c>
      <c r="AE23" s="6"/>
      <c r="AF23" s="9"/>
    </row>
    <row r="24" spans="1:32" s="10" customFormat="1" ht="31.5" x14ac:dyDescent="0.25">
      <c r="A24" s="3">
        <v>20</v>
      </c>
      <c r="B24" s="5" t="s">
        <v>36</v>
      </c>
      <c r="C24" s="5" t="s">
        <v>824</v>
      </c>
      <c r="D24" s="4" t="s">
        <v>825</v>
      </c>
      <c r="E24" s="6">
        <v>10</v>
      </c>
      <c r="F24" s="6">
        <v>134</v>
      </c>
      <c r="G24" s="6">
        <v>127.5</v>
      </c>
      <c r="H24" s="6" t="s">
        <v>75</v>
      </c>
      <c r="I24" s="7">
        <v>45719</v>
      </c>
      <c r="J24" s="7"/>
      <c r="K24" s="3"/>
      <c r="L24" s="3"/>
      <c r="M24" s="3" t="s">
        <v>1</v>
      </c>
      <c r="N24" s="3"/>
      <c r="O24" s="3"/>
      <c r="P24" s="3"/>
      <c r="Q24" s="3"/>
      <c r="R24" s="15" t="s">
        <v>101</v>
      </c>
      <c r="S24" s="7">
        <v>45772</v>
      </c>
      <c r="T24" s="6"/>
      <c r="U24" s="6"/>
      <c r="V24" s="6"/>
      <c r="W24" s="11"/>
      <c r="X24" s="6"/>
      <c r="Y24" s="6"/>
      <c r="Z24" s="6"/>
      <c r="AA24" s="6"/>
      <c r="AB24" s="8"/>
      <c r="AC24" s="8"/>
      <c r="AD24" s="6"/>
      <c r="AE24" s="6"/>
      <c r="AF24" s="9"/>
    </row>
    <row r="25" spans="1:32" s="10" customFormat="1" ht="31.5" x14ac:dyDescent="0.25">
      <c r="A25" s="3">
        <v>21</v>
      </c>
      <c r="B25" s="5" t="s">
        <v>36</v>
      </c>
      <c r="C25" s="5" t="s">
        <v>880</v>
      </c>
      <c r="D25" s="4" t="s">
        <v>881</v>
      </c>
      <c r="E25" s="6">
        <v>16</v>
      </c>
      <c r="F25" s="6">
        <v>78</v>
      </c>
      <c r="G25" s="6">
        <v>1296.2</v>
      </c>
      <c r="H25" s="6" t="s">
        <v>55</v>
      </c>
      <c r="I25" s="7">
        <v>45722</v>
      </c>
      <c r="J25" s="7"/>
      <c r="K25" s="3" t="s">
        <v>153</v>
      </c>
      <c r="L25" s="3"/>
      <c r="M25" s="3"/>
      <c r="N25" s="3"/>
      <c r="O25" s="3"/>
      <c r="P25" s="3"/>
      <c r="Q25" s="3"/>
      <c r="R25" s="15" t="s">
        <v>101</v>
      </c>
      <c r="S25" s="7">
        <v>45736</v>
      </c>
      <c r="T25" s="7">
        <v>45736</v>
      </c>
      <c r="U25" s="7">
        <v>45736</v>
      </c>
      <c r="V25" s="6">
        <v>1633</v>
      </c>
      <c r="W25" s="11">
        <v>1248329</v>
      </c>
      <c r="X25" s="6"/>
      <c r="Y25" s="6"/>
      <c r="Z25" s="6"/>
      <c r="AA25" s="6" t="s">
        <v>1197</v>
      </c>
      <c r="AB25" s="8" t="s">
        <v>1198</v>
      </c>
      <c r="AC25" s="8"/>
      <c r="AD25" s="6"/>
      <c r="AE25" s="6"/>
      <c r="AF25" s="9"/>
    </row>
    <row r="26" spans="1:32" s="10" customFormat="1" ht="78.75" x14ac:dyDescent="0.25">
      <c r="A26" s="3">
        <v>22</v>
      </c>
      <c r="B26" s="5" t="s">
        <v>36</v>
      </c>
      <c r="C26" s="5" t="s">
        <v>899</v>
      </c>
      <c r="D26" s="4" t="s">
        <v>765</v>
      </c>
      <c r="E26" s="6" t="s">
        <v>901</v>
      </c>
      <c r="F26" s="6" t="s">
        <v>900</v>
      </c>
      <c r="G26" s="6" t="s">
        <v>902</v>
      </c>
      <c r="H26" s="6" t="s">
        <v>903</v>
      </c>
      <c r="I26" s="7">
        <v>45722</v>
      </c>
      <c r="J26" s="7"/>
      <c r="K26" s="3"/>
      <c r="L26" s="3"/>
      <c r="M26" s="3" t="s">
        <v>1</v>
      </c>
      <c r="N26" s="3"/>
      <c r="O26" s="3"/>
      <c r="P26" s="3"/>
      <c r="Q26" s="3"/>
      <c r="R26" s="15" t="s">
        <v>101</v>
      </c>
      <c r="S26" s="6"/>
      <c r="T26" s="6"/>
      <c r="U26" s="6"/>
      <c r="V26" s="6"/>
      <c r="W26" s="11"/>
      <c r="X26" s="6"/>
      <c r="Y26" s="6"/>
      <c r="Z26" s="6"/>
      <c r="AA26" s="6"/>
      <c r="AB26" s="8"/>
      <c r="AC26" s="8"/>
      <c r="AD26" s="6" t="s">
        <v>943</v>
      </c>
      <c r="AE26" s="6"/>
      <c r="AF26" s="9"/>
    </row>
    <row r="27" spans="1:32" s="10" customFormat="1" ht="42.75" customHeight="1" x14ac:dyDescent="0.25">
      <c r="A27" s="3">
        <v>23</v>
      </c>
      <c r="B27" s="5" t="s">
        <v>36</v>
      </c>
      <c r="C27" s="5" t="s">
        <v>904</v>
      </c>
      <c r="D27" s="4" t="s">
        <v>905</v>
      </c>
      <c r="E27" s="6">
        <v>19</v>
      </c>
      <c r="F27" s="6">
        <v>249</v>
      </c>
      <c r="G27" s="6">
        <v>3969.4</v>
      </c>
      <c r="H27" s="6" t="s">
        <v>75</v>
      </c>
      <c r="I27" s="7">
        <v>45723</v>
      </c>
      <c r="J27" s="7"/>
      <c r="K27" s="3" t="s">
        <v>76</v>
      </c>
      <c r="L27" s="3"/>
      <c r="M27" s="3"/>
      <c r="N27" s="3"/>
      <c r="O27" s="3"/>
      <c r="P27" s="3"/>
      <c r="Q27" s="3"/>
      <c r="R27" s="15" t="s">
        <v>101</v>
      </c>
      <c r="S27" s="7">
        <v>45756</v>
      </c>
      <c r="T27" s="7">
        <v>45758</v>
      </c>
      <c r="U27" s="7">
        <v>45758</v>
      </c>
      <c r="V27" s="6">
        <v>2145</v>
      </c>
      <c r="W27" s="11">
        <v>961551</v>
      </c>
      <c r="X27" s="6"/>
      <c r="Y27" s="6"/>
      <c r="Z27" s="6"/>
      <c r="AA27" s="6"/>
      <c r="AB27" s="8"/>
      <c r="AC27" s="8"/>
      <c r="AD27" s="6"/>
      <c r="AE27" s="6"/>
      <c r="AF27" s="9"/>
    </row>
    <row r="28" spans="1:32" s="10" customFormat="1" ht="63" x14ac:dyDescent="0.25">
      <c r="A28" s="3">
        <v>24</v>
      </c>
      <c r="B28" s="5" t="s">
        <v>36</v>
      </c>
      <c r="C28" s="5" t="s">
        <v>909</v>
      </c>
      <c r="D28" s="4" t="s">
        <v>54</v>
      </c>
      <c r="E28" s="6" t="s">
        <v>910</v>
      </c>
      <c r="F28" s="6" t="s">
        <v>911</v>
      </c>
      <c r="G28" s="6" t="s">
        <v>912</v>
      </c>
      <c r="H28" s="6" t="s">
        <v>75</v>
      </c>
      <c r="I28" s="7">
        <v>45719</v>
      </c>
      <c r="J28" s="7"/>
      <c r="K28" s="3"/>
      <c r="L28" s="3"/>
      <c r="M28" s="3"/>
      <c r="N28" s="3"/>
      <c r="O28" s="3" t="s">
        <v>56</v>
      </c>
      <c r="P28" s="3"/>
      <c r="Q28" s="3"/>
      <c r="R28" s="15" t="s">
        <v>101</v>
      </c>
      <c r="S28" s="6"/>
      <c r="T28" s="6"/>
      <c r="U28" s="6"/>
      <c r="V28" s="6"/>
      <c r="W28" s="11"/>
      <c r="X28" s="6"/>
      <c r="Y28" s="6"/>
      <c r="Z28" s="6"/>
      <c r="AA28" s="6"/>
      <c r="AB28" s="8"/>
      <c r="AC28" s="8"/>
      <c r="AD28" s="6" t="s">
        <v>913</v>
      </c>
      <c r="AE28" s="6"/>
      <c r="AF28" s="9"/>
    </row>
    <row r="29" spans="1:32" s="10" customFormat="1" ht="63" x14ac:dyDescent="0.25">
      <c r="A29" s="3">
        <v>25</v>
      </c>
      <c r="B29" s="5" t="s">
        <v>36</v>
      </c>
      <c r="C29" s="5" t="s">
        <v>916</v>
      </c>
      <c r="D29" s="4" t="s">
        <v>54</v>
      </c>
      <c r="E29" s="6">
        <v>9</v>
      </c>
      <c r="F29" s="6">
        <v>6</v>
      </c>
      <c r="G29" s="6"/>
      <c r="H29" s="6"/>
      <c r="I29" s="7">
        <v>45719</v>
      </c>
      <c r="J29" s="7"/>
      <c r="K29" s="3"/>
      <c r="L29" s="3"/>
      <c r="M29" s="3"/>
      <c r="N29" s="3"/>
      <c r="O29" s="3" t="s">
        <v>56</v>
      </c>
      <c r="P29" s="3"/>
      <c r="Q29" s="3"/>
      <c r="R29" s="15" t="s">
        <v>101</v>
      </c>
      <c r="S29" s="6"/>
      <c r="T29" s="6"/>
      <c r="U29" s="6"/>
      <c r="V29" s="6"/>
      <c r="W29" s="11"/>
      <c r="X29" s="6"/>
      <c r="Y29" s="6"/>
      <c r="Z29" s="6"/>
      <c r="AA29" s="6"/>
      <c r="AB29" s="8"/>
      <c r="AC29" s="8"/>
      <c r="AD29" s="6" t="s">
        <v>917</v>
      </c>
      <c r="AE29" s="6"/>
      <c r="AF29" s="9"/>
    </row>
    <row r="30" spans="1:32" s="10" customFormat="1" ht="63" x14ac:dyDescent="0.25">
      <c r="A30" s="3">
        <v>26</v>
      </c>
      <c r="B30" s="5" t="s">
        <v>36</v>
      </c>
      <c r="C30" s="5" t="s">
        <v>924</v>
      </c>
      <c r="D30" s="4" t="s">
        <v>491</v>
      </c>
      <c r="E30" s="6">
        <v>38</v>
      </c>
      <c r="F30" s="6">
        <v>8</v>
      </c>
      <c r="G30" s="6">
        <v>3129.5</v>
      </c>
      <c r="H30" s="6" t="s">
        <v>75</v>
      </c>
      <c r="I30" s="7">
        <v>45721</v>
      </c>
      <c r="J30" s="7"/>
      <c r="K30" s="3"/>
      <c r="L30" s="3"/>
      <c r="M30" s="3"/>
      <c r="N30" s="3" t="s">
        <v>491</v>
      </c>
      <c r="O30" s="3"/>
      <c r="P30" s="3"/>
      <c r="Q30" s="3"/>
      <c r="R30" s="15" t="s">
        <v>101</v>
      </c>
      <c r="S30" s="6"/>
      <c r="T30" s="6"/>
      <c r="U30" s="6"/>
      <c r="V30" s="6"/>
      <c r="W30" s="11"/>
      <c r="X30" s="6"/>
      <c r="Y30" s="6"/>
      <c r="Z30" s="6"/>
      <c r="AA30" s="6"/>
      <c r="AB30" s="8"/>
      <c r="AC30" s="8"/>
      <c r="AD30" s="6" t="s">
        <v>923</v>
      </c>
      <c r="AE30" s="6"/>
      <c r="AF30" s="9"/>
    </row>
    <row r="31" spans="1:32" s="10" customFormat="1" ht="31.5" x14ac:dyDescent="0.25">
      <c r="A31" s="3">
        <v>27</v>
      </c>
      <c r="B31" s="5" t="s">
        <v>36</v>
      </c>
      <c r="C31" s="5" t="s">
        <v>954</v>
      </c>
      <c r="D31" s="4" t="s">
        <v>955</v>
      </c>
      <c r="E31" s="6">
        <v>2</v>
      </c>
      <c r="F31" s="6">
        <v>84</v>
      </c>
      <c r="G31" s="6">
        <v>2179.6</v>
      </c>
      <c r="H31" s="6" t="s">
        <v>75</v>
      </c>
      <c r="I31" s="7">
        <v>45727</v>
      </c>
      <c r="J31" s="7"/>
      <c r="K31" s="3"/>
      <c r="L31" s="3"/>
      <c r="M31" s="3" t="s">
        <v>1</v>
      </c>
      <c r="N31" s="3"/>
      <c r="O31" s="3"/>
      <c r="P31" s="3"/>
      <c r="Q31" s="3"/>
      <c r="R31" s="15" t="s">
        <v>101</v>
      </c>
      <c r="S31" s="7">
        <v>45791</v>
      </c>
      <c r="T31" s="7">
        <v>45793</v>
      </c>
      <c r="U31" s="7">
        <v>45793</v>
      </c>
      <c r="V31" s="6">
        <v>691</v>
      </c>
      <c r="W31" s="11">
        <v>1713674</v>
      </c>
      <c r="X31" s="6"/>
      <c r="Y31" s="6"/>
      <c r="Z31" s="6"/>
      <c r="AA31" s="6"/>
      <c r="AB31" s="8"/>
      <c r="AC31" s="8"/>
      <c r="AD31" s="6" t="s">
        <v>2221</v>
      </c>
      <c r="AE31" s="6"/>
      <c r="AF31" s="9"/>
    </row>
    <row r="32" spans="1:32" s="10" customFormat="1" ht="31.5" x14ac:dyDescent="0.25">
      <c r="A32" s="3">
        <v>28</v>
      </c>
      <c r="B32" s="5" t="s">
        <v>36</v>
      </c>
      <c r="C32" s="5" t="s">
        <v>959</v>
      </c>
      <c r="D32" s="4" t="s">
        <v>960</v>
      </c>
      <c r="E32" s="6">
        <v>39</v>
      </c>
      <c r="F32" s="6">
        <v>46</v>
      </c>
      <c r="G32" s="6">
        <v>120.4</v>
      </c>
      <c r="H32" s="6" t="s">
        <v>55</v>
      </c>
      <c r="I32" s="7">
        <v>45727</v>
      </c>
      <c r="J32" s="7"/>
      <c r="K32" s="3"/>
      <c r="L32" s="3"/>
      <c r="M32" s="3"/>
      <c r="N32" s="3"/>
      <c r="O32" s="3"/>
      <c r="P32" s="3"/>
      <c r="Q32" s="3" t="s">
        <v>52</v>
      </c>
      <c r="R32" s="15" t="s">
        <v>101</v>
      </c>
      <c r="S32" s="7">
        <v>45817</v>
      </c>
      <c r="T32" s="7">
        <v>45818</v>
      </c>
      <c r="U32" s="7">
        <v>45818</v>
      </c>
      <c r="V32" s="6">
        <v>1422</v>
      </c>
      <c r="W32" s="11">
        <v>1416978</v>
      </c>
      <c r="X32" s="6"/>
      <c r="Y32" s="6"/>
      <c r="Z32" s="6"/>
      <c r="AA32" s="6"/>
      <c r="AB32" s="8"/>
      <c r="AC32" s="8"/>
      <c r="AD32" s="6" t="s">
        <v>2496</v>
      </c>
      <c r="AE32" s="6"/>
      <c r="AF32" s="9"/>
    </row>
    <row r="33" spans="1:32" s="10" customFormat="1" ht="31.5" x14ac:dyDescent="0.25">
      <c r="A33" s="3">
        <v>29</v>
      </c>
      <c r="B33" s="5" t="s">
        <v>36</v>
      </c>
      <c r="C33" s="5" t="s">
        <v>1016</v>
      </c>
      <c r="D33" s="4" t="s">
        <v>1017</v>
      </c>
      <c r="E33" s="6">
        <v>24</v>
      </c>
      <c r="F33" s="6">
        <v>69</v>
      </c>
      <c r="G33" s="6">
        <v>996.5</v>
      </c>
      <c r="H33" s="6" t="s">
        <v>75</v>
      </c>
      <c r="I33" s="7">
        <v>45729</v>
      </c>
      <c r="J33" s="7"/>
      <c r="K33" s="3" t="s">
        <v>153</v>
      </c>
      <c r="L33" s="3"/>
      <c r="M33" s="3"/>
      <c r="N33" s="3"/>
      <c r="O33" s="3"/>
      <c r="P33" s="3"/>
      <c r="Q33" s="3"/>
      <c r="R33" s="15" t="s">
        <v>101</v>
      </c>
      <c r="S33" s="7">
        <v>45748</v>
      </c>
      <c r="T33" s="7">
        <v>45748</v>
      </c>
      <c r="U33" s="7">
        <v>45748</v>
      </c>
      <c r="V33" s="6">
        <v>1898</v>
      </c>
      <c r="W33" s="11">
        <v>961551</v>
      </c>
      <c r="X33" s="6"/>
      <c r="Y33" s="6"/>
      <c r="Z33" s="6"/>
      <c r="AA33" s="6" t="s">
        <v>1431</v>
      </c>
      <c r="AB33" s="8" t="s">
        <v>1432</v>
      </c>
      <c r="AC33" s="8"/>
      <c r="AD33" s="6"/>
      <c r="AE33" s="6"/>
      <c r="AF33" s="9"/>
    </row>
    <row r="34" spans="1:32" s="10" customFormat="1" ht="16.5" x14ac:dyDescent="0.25">
      <c r="A34" s="3">
        <v>30</v>
      </c>
      <c r="B34" s="5" t="s">
        <v>36</v>
      </c>
      <c r="C34" s="5" t="s">
        <v>1099</v>
      </c>
      <c r="D34" s="4" t="s">
        <v>1100</v>
      </c>
      <c r="E34" s="6">
        <v>20</v>
      </c>
      <c r="F34" s="6">
        <v>65</v>
      </c>
      <c r="G34" s="6">
        <v>1868.8</v>
      </c>
      <c r="H34" s="6" t="s">
        <v>51</v>
      </c>
      <c r="I34" s="7">
        <v>45735</v>
      </c>
      <c r="J34" s="7"/>
      <c r="K34" s="3"/>
      <c r="L34" s="3"/>
      <c r="M34" s="3" t="s">
        <v>1</v>
      </c>
      <c r="N34" s="3"/>
      <c r="O34" s="3"/>
      <c r="P34" s="3"/>
      <c r="Q34" s="3"/>
      <c r="R34" s="15" t="s">
        <v>101</v>
      </c>
      <c r="S34" s="6"/>
      <c r="T34" s="6"/>
      <c r="U34" s="6"/>
      <c r="V34" s="6"/>
      <c r="W34" s="11"/>
      <c r="X34" s="6"/>
      <c r="Y34" s="6"/>
      <c r="Z34" s="6"/>
      <c r="AA34" s="6"/>
      <c r="AB34" s="8"/>
      <c r="AC34" s="8"/>
      <c r="AD34" s="6"/>
      <c r="AE34" s="6"/>
      <c r="AF34" s="9"/>
    </row>
    <row r="35" spans="1:32" s="10" customFormat="1" ht="31.5" x14ac:dyDescent="0.25">
      <c r="A35" s="3">
        <v>31</v>
      </c>
      <c r="B35" s="5" t="s">
        <v>36</v>
      </c>
      <c r="C35" s="5" t="s">
        <v>1183</v>
      </c>
      <c r="D35" s="4" t="s">
        <v>607</v>
      </c>
      <c r="E35" s="6">
        <v>15</v>
      </c>
      <c r="F35" s="6">
        <v>300</v>
      </c>
      <c r="G35" s="6">
        <v>1531.9</v>
      </c>
      <c r="H35" s="6" t="s">
        <v>51</v>
      </c>
      <c r="I35" s="7">
        <v>45740</v>
      </c>
      <c r="J35" s="7"/>
      <c r="K35" s="3"/>
      <c r="L35" s="3" t="s">
        <v>62</v>
      </c>
      <c r="M35" s="3"/>
      <c r="N35" s="3"/>
      <c r="O35" s="3"/>
      <c r="P35" s="3"/>
      <c r="Q35" s="3"/>
      <c r="R35" s="15" t="s">
        <v>101</v>
      </c>
      <c r="S35" s="7">
        <v>45758</v>
      </c>
      <c r="T35" s="7">
        <v>45759</v>
      </c>
      <c r="U35" s="7">
        <v>45759</v>
      </c>
      <c r="V35" s="6">
        <v>2195</v>
      </c>
      <c r="W35" s="11">
        <v>961551</v>
      </c>
      <c r="X35" s="6"/>
      <c r="Y35" s="6"/>
      <c r="Z35" s="6"/>
      <c r="AA35" s="6" t="s">
        <v>1965</v>
      </c>
      <c r="AB35" s="8" t="s">
        <v>1966</v>
      </c>
      <c r="AC35" s="8"/>
      <c r="AD35" s="6"/>
      <c r="AE35" s="6"/>
      <c r="AF35" s="9"/>
    </row>
    <row r="36" spans="1:32" s="10" customFormat="1" ht="31.5" x14ac:dyDescent="0.25">
      <c r="A36" s="3">
        <v>32</v>
      </c>
      <c r="B36" s="5" t="s">
        <v>36</v>
      </c>
      <c r="C36" s="5" t="s">
        <v>1184</v>
      </c>
      <c r="D36" s="4" t="s">
        <v>802</v>
      </c>
      <c r="E36" s="6">
        <v>11</v>
      </c>
      <c r="F36" s="6">
        <v>35</v>
      </c>
      <c r="G36" s="6">
        <v>1168.8</v>
      </c>
      <c r="H36" s="6" t="s">
        <v>51</v>
      </c>
      <c r="I36" s="7">
        <v>45740</v>
      </c>
      <c r="J36" s="7"/>
      <c r="K36" s="3"/>
      <c r="L36" s="3" t="s">
        <v>62</v>
      </c>
      <c r="M36" s="3"/>
      <c r="N36" s="3"/>
      <c r="O36" s="3"/>
      <c r="P36" s="3"/>
      <c r="Q36" s="3"/>
      <c r="R36" s="15" t="s">
        <v>101</v>
      </c>
      <c r="S36" s="7">
        <v>45758</v>
      </c>
      <c r="T36" s="7">
        <v>45761</v>
      </c>
      <c r="U36" s="7">
        <v>45761</v>
      </c>
      <c r="V36" s="6">
        <v>2248</v>
      </c>
      <c r="W36" s="11">
        <v>961551</v>
      </c>
      <c r="X36" s="6"/>
      <c r="Y36" s="6"/>
      <c r="Z36" s="6"/>
      <c r="AA36" s="6" t="s">
        <v>2277</v>
      </c>
      <c r="AB36" s="8" t="s">
        <v>2278</v>
      </c>
      <c r="AC36" s="8"/>
      <c r="AD36" s="6"/>
      <c r="AE36" s="6"/>
      <c r="AF36" s="9"/>
    </row>
    <row r="37" spans="1:32" s="10" customFormat="1" ht="16.5" x14ac:dyDescent="0.25">
      <c r="A37" s="3">
        <v>33</v>
      </c>
      <c r="B37" s="5" t="s">
        <v>36</v>
      </c>
      <c r="C37" s="5" t="s">
        <v>1185</v>
      </c>
      <c r="D37" s="4" t="s">
        <v>1186</v>
      </c>
      <c r="E37" s="6">
        <v>13</v>
      </c>
      <c r="F37" s="6">
        <v>244</v>
      </c>
      <c r="G37" s="6">
        <v>5213.1000000000004</v>
      </c>
      <c r="H37" s="6" t="s">
        <v>1187</v>
      </c>
      <c r="I37" s="7">
        <v>45740</v>
      </c>
      <c r="J37" s="7"/>
      <c r="K37" s="3" t="s">
        <v>823</v>
      </c>
      <c r="L37" s="3"/>
      <c r="M37" s="3"/>
      <c r="N37" s="3"/>
      <c r="O37" s="3"/>
      <c r="P37" s="3"/>
      <c r="Q37" s="3"/>
      <c r="R37" s="15" t="s">
        <v>101</v>
      </c>
      <c r="S37" s="7">
        <v>45741</v>
      </c>
      <c r="T37" s="7">
        <v>45742</v>
      </c>
      <c r="U37" s="7">
        <v>45742</v>
      </c>
      <c r="V37" s="6">
        <v>1760</v>
      </c>
      <c r="W37" s="11">
        <v>1019155</v>
      </c>
      <c r="X37" s="6"/>
      <c r="Y37" s="6"/>
      <c r="Z37" s="6"/>
      <c r="AA37" s="6" t="s">
        <v>1247</v>
      </c>
      <c r="AB37" s="8" t="s">
        <v>1248</v>
      </c>
      <c r="AC37" s="8"/>
      <c r="AD37" s="6"/>
      <c r="AE37" s="6"/>
      <c r="AF37" s="9"/>
    </row>
    <row r="38" spans="1:32" s="10" customFormat="1" ht="47.25" x14ac:dyDescent="0.25">
      <c r="A38" s="3">
        <v>34</v>
      </c>
      <c r="B38" s="5" t="s">
        <v>36</v>
      </c>
      <c r="C38" s="5" t="s">
        <v>1211</v>
      </c>
      <c r="D38" s="4" t="s">
        <v>1212</v>
      </c>
      <c r="E38" s="6">
        <v>4</v>
      </c>
      <c r="F38" s="6">
        <v>31</v>
      </c>
      <c r="G38" s="6">
        <v>1224.4000000000001</v>
      </c>
      <c r="H38" s="6" t="s">
        <v>75</v>
      </c>
      <c r="I38" s="7">
        <v>45741</v>
      </c>
      <c r="J38" s="7"/>
      <c r="K38" s="3"/>
      <c r="L38" s="3"/>
      <c r="M38" s="3" t="s">
        <v>98</v>
      </c>
      <c r="N38" s="3"/>
      <c r="O38" s="3"/>
      <c r="P38" s="3"/>
      <c r="Q38" s="3"/>
      <c r="R38" s="15" t="s">
        <v>101</v>
      </c>
      <c r="S38" s="7">
        <v>45744</v>
      </c>
      <c r="T38" s="7">
        <v>45751</v>
      </c>
      <c r="U38" s="7">
        <v>45751</v>
      </c>
      <c r="V38" s="6">
        <v>2016</v>
      </c>
      <c r="W38" s="11">
        <v>2235043</v>
      </c>
      <c r="X38" s="6"/>
      <c r="Y38" s="6"/>
      <c r="Z38" s="6"/>
      <c r="AA38" s="6"/>
      <c r="AB38" s="8"/>
      <c r="AC38" s="8"/>
      <c r="AD38" s="6" t="s">
        <v>1228</v>
      </c>
      <c r="AE38" s="6"/>
      <c r="AF38" s="9"/>
    </row>
    <row r="39" spans="1:32" ht="16.5" x14ac:dyDescent="0.25">
      <c r="A39" s="12"/>
      <c r="B39" s="73" t="s">
        <v>1258</v>
      </c>
      <c r="C39" s="74"/>
      <c r="D39" s="74"/>
      <c r="E39" s="74"/>
      <c r="F39" s="74"/>
      <c r="G39" s="74"/>
      <c r="H39" s="75"/>
      <c r="I39" s="13"/>
      <c r="J39" s="13"/>
      <c r="K39" s="14">
        <f>COUNTIF(K19:K38,"CT")+COUNTIF(K19:K38,"IG")+COUNTIF(K19:K38,"CQ")</f>
        <v>4</v>
      </c>
      <c r="L39" s="14">
        <f>COUNTIF(L27:L38,"CMĐ")</f>
        <v>2</v>
      </c>
      <c r="M39" s="14">
        <f>COUNTIF(M27:M38,"XMDT")+COUNTIF(M27:M38,"Mốc")</f>
        <v>3</v>
      </c>
      <c r="N39" s="14">
        <f>COUNTIF(N38,"THÁn")</f>
        <v>0</v>
      </c>
      <c r="O39" s="14">
        <f>COUNTIF(O38,"TÒA")</f>
        <v>0</v>
      </c>
      <c r="P39" s="14">
        <f>COUNTIF(P27:P38,"Cấp GCN")</f>
        <v>0</v>
      </c>
      <c r="Q39" s="14">
        <f>COUNTIF(Q27:Q38,"SHN")</f>
        <v>1</v>
      </c>
      <c r="R39" s="15"/>
      <c r="S39" s="13"/>
      <c r="T39" s="15"/>
      <c r="U39" s="15"/>
      <c r="V39" s="16"/>
      <c r="W39" s="11"/>
      <c r="X39" s="17"/>
      <c r="Y39" s="2"/>
      <c r="AE39" s="14">
        <f>COUNTIF(AE38,"kt")</f>
        <v>0</v>
      </c>
    </row>
    <row r="40" spans="1:32" s="10" customFormat="1" ht="16.5" x14ac:dyDescent="0.25">
      <c r="A40" s="3">
        <v>35</v>
      </c>
      <c r="B40" s="5" t="s">
        <v>36</v>
      </c>
      <c r="C40" s="5" t="s">
        <v>1344</v>
      </c>
      <c r="D40" s="4" t="s">
        <v>1343</v>
      </c>
      <c r="E40" s="6">
        <v>17</v>
      </c>
      <c r="F40" s="6">
        <v>115</v>
      </c>
      <c r="G40" s="6">
        <v>161</v>
      </c>
      <c r="H40" s="6" t="s">
        <v>55</v>
      </c>
      <c r="I40" s="7">
        <v>45748</v>
      </c>
      <c r="J40" s="7"/>
      <c r="K40" s="3"/>
      <c r="L40" s="3"/>
      <c r="M40" s="3"/>
      <c r="N40" s="3"/>
      <c r="O40" s="3"/>
      <c r="P40" s="3"/>
      <c r="Q40" s="3" t="s">
        <v>52</v>
      </c>
      <c r="R40" s="15" t="s">
        <v>101</v>
      </c>
      <c r="S40" s="7">
        <v>45797</v>
      </c>
      <c r="T40" s="7">
        <v>45798</v>
      </c>
      <c r="U40" s="7">
        <v>45798</v>
      </c>
      <c r="V40" s="20">
        <v>802</v>
      </c>
      <c r="W40" s="11">
        <v>1416978</v>
      </c>
      <c r="X40" s="6"/>
      <c r="Y40" s="6"/>
      <c r="Z40" s="6"/>
      <c r="AA40" s="6"/>
      <c r="AB40" s="8"/>
      <c r="AC40" s="8"/>
      <c r="AD40" s="6"/>
      <c r="AE40" s="6"/>
      <c r="AF40" s="9"/>
    </row>
    <row r="41" spans="1:32" s="10" customFormat="1" ht="16.5" x14ac:dyDescent="0.25">
      <c r="A41" s="3">
        <v>36</v>
      </c>
      <c r="B41" s="5" t="s">
        <v>36</v>
      </c>
      <c r="C41" s="5" t="s">
        <v>1185</v>
      </c>
      <c r="D41" s="4" t="s">
        <v>1186</v>
      </c>
      <c r="E41" s="6">
        <v>13</v>
      </c>
      <c r="F41" s="6">
        <v>283</v>
      </c>
      <c r="G41" s="6">
        <v>4836.8999999999996</v>
      </c>
      <c r="H41" s="6" t="s">
        <v>1350</v>
      </c>
      <c r="I41" s="7">
        <v>45748</v>
      </c>
      <c r="J41" s="7"/>
      <c r="K41" s="3"/>
      <c r="L41" s="3"/>
      <c r="M41" s="3"/>
      <c r="N41" s="3"/>
      <c r="O41" s="3"/>
      <c r="P41" s="3"/>
      <c r="Q41" s="3" t="s">
        <v>52</v>
      </c>
      <c r="R41" s="15" t="s">
        <v>101</v>
      </c>
      <c r="S41" s="6"/>
      <c r="T41" s="6"/>
      <c r="U41" s="6"/>
      <c r="V41" s="6"/>
      <c r="W41" s="11"/>
      <c r="X41" s="6"/>
      <c r="Y41" s="6"/>
      <c r="Z41" s="6"/>
      <c r="AA41" s="6"/>
      <c r="AB41" s="8"/>
      <c r="AC41" s="8"/>
      <c r="AD41" s="6"/>
      <c r="AE41" s="6"/>
      <c r="AF41" s="9"/>
    </row>
    <row r="42" spans="1:32" s="10" customFormat="1" ht="16.5" x14ac:dyDescent="0.25">
      <c r="A42" s="3">
        <v>37</v>
      </c>
      <c r="B42" s="5" t="s">
        <v>36</v>
      </c>
      <c r="C42" s="5" t="s">
        <v>1414</v>
      </c>
      <c r="D42" s="4" t="s">
        <v>1415</v>
      </c>
      <c r="E42" s="6">
        <v>9</v>
      </c>
      <c r="F42" s="6">
        <v>116</v>
      </c>
      <c r="G42" s="6">
        <v>3834.5</v>
      </c>
      <c r="H42" s="6" t="s">
        <v>75</v>
      </c>
      <c r="I42" s="7">
        <v>45749</v>
      </c>
      <c r="J42" s="7"/>
      <c r="K42" s="3" t="s">
        <v>76</v>
      </c>
      <c r="L42" s="3"/>
      <c r="M42" s="3"/>
      <c r="N42" s="3"/>
      <c r="O42" s="3"/>
      <c r="P42" s="3"/>
      <c r="Q42" s="3"/>
      <c r="R42" s="15" t="s">
        <v>101</v>
      </c>
      <c r="S42" s="6"/>
      <c r="T42" s="6"/>
      <c r="U42" s="6"/>
      <c r="V42" s="6"/>
      <c r="W42" s="11"/>
      <c r="X42" s="6"/>
      <c r="Y42" s="6"/>
      <c r="Z42" s="6"/>
      <c r="AA42" s="6"/>
      <c r="AB42" s="8"/>
      <c r="AC42" s="8"/>
      <c r="AD42" s="6"/>
      <c r="AE42" s="6"/>
      <c r="AF42" s="9"/>
    </row>
    <row r="43" spans="1:32" s="10" customFormat="1" ht="31.5" x14ac:dyDescent="0.25">
      <c r="A43" s="3">
        <v>38</v>
      </c>
      <c r="B43" s="5" t="s">
        <v>36</v>
      </c>
      <c r="C43" s="5" t="s">
        <v>1462</v>
      </c>
      <c r="D43" s="4" t="s">
        <v>1463</v>
      </c>
      <c r="E43" s="6">
        <v>28</v>
      </c>
      <c r="F43" s="6">
        <v>136</v>
      </c>
      <c r="G43" s="6">
        <v>2242.1999999999998</v>
      </c>
      <c r="H43" s="6" t="s">
        <v>51</v>
      </c>
      <c r="I43" s="7">
        <v>45755</v>
      </c>
      <c r="J43" s="7"/>
      <c r="K43" s="3"/>
      <c r="L43" s="3" t="s">
        <v>62</v>
      </c>
      <c r="M43" s="3"/>
      <c r="N43" s="3"/>
      <c r="O43" s="3"/>
      <c r="P43" s="3"/>
      <c r="Q43" s="3"/>
      <c r="R43" s="15" t="s">
        <v>101</v>
      </c>
      <c r="S43" s="7">
        <v>45776</v>
      </c>
      <c r="T43" s="7">
        <v>45783</v>
      </c>
      <c r="U43" s="7">
        <v>45783</v>
      </c>
      <c r="V43" s="6">
        <v>367</v>
      </c>
      <c r="W43" s="11">
        <v>961551</v>
      </c>
      <c r="X43" s="6"/>
      <c r="Y43" s="6"/>
      <c r="Z43" s="6"/>
      <c r="AA43" s="6" t="s">
        <v>2277</v>
      </c>
      <c r="AB43" s="8" t="s">
        <v>2278</v>
      </c>
      <c r="AC43" s="8"/>
      <c r="AD43" s="6"/>
      <c r="AE43" s="6"/>
      <c r="AF43" s="9"/>
    </row>
    <row r="44" spans="1:32" ht="16.5" x14ac:dyDescent="0.25">
      <c r="A44" s="12"/>
      <c r="B44" s="73" t="s">
        <v>1478</v>
      </c>
      <c r="C44" s="74"/>
      <c r="D44" s="74"/>
      <c r="E44" s="74"/>
      <c r="F44" s="74"/>
      <c r="G44" s="74"/>
      <c r="H44" s="75"/>
      <c r="I44" s="13"/>
      <c r="J44" s="13"/>
      <c r="K44" s="14">
        <f>COUNTIF(K40:K43,"CT")+COUNTIF(K40:K43,"IG")+COUNTIF(K40:K43,"CQ")</f>
        <v>1</v>
      </c>
      <c r="L44" s="14">
        <f>COUNTIF(L40:L43,"CMĐ")</f>
        <v>1</v>
      </c>
      <c r="M44" s="14">
        <f>COUNTIF(M40:M43,"XMDT")+COUNTIF(M40:M43,"Mốc")</f>
        <v>0</v>
      </c>
      <c r="N44" s="14">
        <f>COUNTIF(N43,"THÁn")</f>
        <v>0</v>
      </c>
      <c r="O44" s="14">
        <f>COUNTIF(O43,"TÒA")</f>
        <v>0</v>
      </c>
      <c r="P44" s="14">
        <f>COUNTIF(P32:P43,"Cấp GCN")</f>
        <v>0</v>
      </c>
      <c r="Q44" s="14">
        <f>COUNTIF(Q40:Q43,"SHN")</f>
        <v>2</v>
      </c>
      <c r="R44" s="15"/>
      <c r="S44" s="13"/>
      <c r="T44" s="15"/>
      <c r="U44" s="15"/>
      <c r="V44" s="16"/>
      <c r="W44" s="11"/>
      <c r="X44" s="17"/>
      <c r="Y44" s="2"/>
      <c r="AE44" s="14">
        <f>COUNTIF(AE43,"kt")</f>
        <v>0</v>
      </c>
    </row>
    <row r="45" spans="1:32" s="10" customFormat="1" ht="47.25" x14ac:dyDescent="0.25">
      <c r="A45" s="3">
        <v>39</v>
      </c>
      <c r="B45" s="5" t="s">
        <v>36</v>
      </c>
      <c r="C45" s="5" t="s">
        <v>1491</v>
      </c>
      <c r="D45" s="4" t="s">
        <v>1492</v>
      </c>
      <c r="E45" s="6">
        <v>29</v>
      </c>
      <c r="F45" s="6">
        <v>188</v>
      </c>
      <c r="G45" s="6">
        <v>525.5</v>
      </c>
      <c r="H45" s="6" t="s">
        <v>51</v>
      </c>
      <c r="I45" s="7">
        <v>45756</v>
      </c>
      <c r="J45" s="7"/>
      <c r="K45" s="3"/>
      <c r="L45" s="3"/>
      <c r="M45" s="3" t="s">
        <v>98</v>
      </c>
      <c r="N45" s="3"/>
      <c r="O45" s="3"/>
      <c r="P45" s="3"/>
      <c r="Q45" s="3"/>
      <c r="R45" s="15" t="s">
        <v>101</v>
      </c>
      <c r="S45" s="7">
        <v>45758</v>
      </c>
      <c r="T45" s="7">
        <v>45762</v>
      </c>
      <c r="U45" s="7">
        <v>45762</v>
      </c>
      <c r="V45" s="6">
        <v>2275</v>
      </c>
      <c r="W45" s="11">
        <v>2583973</v>
      </c>
      <c r="X45" s="6"/>
      <c r="Y45" s="6"/>
      <c r="Z45" s="6"/>
      <c r="AA45" s="6"/>
      <c r="AB45" s="8"/>
      <c r="AC45" s="8"/>
      <c r="AD45" s="6" t="s">
        <v>1493</v>
      </c>
      <c r="AE45" s="6"/>
      <c r="AF45" s="9"/>
    </row>
    <row r="46" spans="1:32" s="10" customFormat="1" ht="63" x14ac:dyDescent="0.25">
      <c r="A46" s="3">
        <v>40</v>
      </c>
      <c r="B46" s="5" t="s">
        <v>36</v>
      </c>
      <c r="C46" s="5" t="s">
        <v>1524</v>
      </c>
      <c r="D46" s="4" t="s">
        <v>54</v>
      </c>
      <c r="E46" s="6">
        <v>7</v>
      </c>
      <c r="F46" s="6">
        <v>101</v>
      </c>
      <c r="G46" s="6">
        <v>92.9</v>
      </c>
      <c r="H46" s="6" t="s">
        <v>75</v>
      </c>
      <c r="I46" s="7">
        <v>45758</v>
      </c>
      <c r="J46" s="7"/>
      <c r="K46" s="3"/>
      <c r="L46" s="3"/>
      <c r="M46" s="3"/>
      <c r="N46" s="3"/>
      <c r="O46" s="3" t="s">
        <v>56</v>
      </c>
      <c r="P46" s="3"/>
      <c r="Q46" s="3"/>
      <c r="R46" s="15" t="s">
        <v>101</v>
      </c>
      <c r="S46" s="7">
        <v>45828</v>
      </c>
      <c r="T46" s="7">
        <v>45834</v>
      </c>
      <c r="U46" s="7">
        <v>45834</v>
      </c>
      <c r="V46" s="20">
        <v>1941</v>
      </c>
      <c r="W46" s="11">
        <v>1619454</v>
      </c>
      <c r="X46" s="6"/>
      <c r="Y46" s="6"/>
      <c r="Z46" s="6"/>
      <c r="AA46" s="6"/>
      <c r="AB46" s="8"/>
      <c r="AC46" s="8"/>
      <c r="AD46" s="6" t="s">
        <v>1525</v>
      </c>
      <c r="AE46" s="6"/>
      <c r="AF46" s="9"/>
    </row>
    <row r="47" spans="1:32" ht="16.5" x14ac:dyDescent="0.25">
      <c r="A47" s="12"/>
      <c r="B47" s="73" t="s">
        <v>1543</v>
      </c>
      <c r="C47" s="74"/>
      <c r="D47" s="74"/>
      <c r="E47" s="74"/>
      <c r="F47" s="74"/>
      <c r="G47" s="74"/>
      <c r="H47" s="75"/>
      <c r="I47" s="13"/>
      <c r="J47" s="13"/>
      <c r="K47" s="14">
        <f>COUNTIF(K44:K46,"CT")+COUNTIF(K44:K46,"IG")+COUNTIF(K44:K46,"CQ")</f>
        <v>0</v>
      </c>
      <c r="L47" s="14">
        <f>COUNTIF(L44:L46,"CMĐ")</f>
        <v>0</v>
      </c>
      <c r="M47" s="14">
        <f>COUNTIF(M44:M46,"XMDT")+COUNTIF(M44:M46,"Mốc")</f>
        <v>1</v>
      </c>
      <c r="N47" s="14" t="e">
        <f>COUNTIF(#REF!,"THÁn")</f>
        <v>#REF!</v>
      </c>
      <c r="O47" s="14">
        <f>COUNTIF(O45:O46,"TÒA")</f>
        <v>1</v>
      </c>
      <c r="P47" s="14">
        <f>COUNTIF(P36:P46,"Cấp GCN")</f>
        <v>0</v>
      </c>
      <c r="Q47" s="14">
        <f>COUNTIF(Q44:Q46,"SHN")</f>
        <v>0</v>
      </c>
      <c r="R47" s="15"/>
      <c r="S47" s="13"/>
      <c r="T47" s="15"/>
      <c r="U47" s="15"/>
      <c r="V47" s="16"/>
      <c r="W47" s="11"/>
      <c r="X47" s="17"/>
      <c r="Y47" s="2"/>
      <c r="AE47" s="14" t="e">
        <f>COUNTIF(#REF!,"kt")</f>
        <v>#REF!</v>
      </c>
    </row>
    <row r="48" spans="1:32" s="10" customFormat="1" ht="31.5" x14ac:dyDescent="0.25">
      <c r="A48" s="3">
        <v>42</v>
      </c>
      <c r="B48" s="5" t="s">
        <v>36</v>
      </c>
      <c r="C48" s="5" t="s">
        <v>1539</v>
      </c>
      <c r="D48" s="4" t="s">
        <v>1559</v>
      </c>
      <c r="E48" s="6">
        <v>16</v>
      </c>
      <c r="F48" s="6">
        <v>304</v>
      </c>
      <c r="G48" s="6">
        <v>325.8</v>
      </c>
      <c r="H48" s="6" t="s">
        <v>51</v>
      </c>
      <c r="I48" s="7">
        <v>45761</v>
      </c>
      <c r="J48" s="7"/>
      <c r="K48" s="3"/>
      <c r="L48" s="3" t="s">
        <v>62</v>
      </c>
      <c r="M48" s="3"/>
      <c r="N48" s="3"/>
      <c r="O48" s="3"/>
      <c r="P48" s="3"/>
      <c r="Q48" s="3"/>
      <c r="R48" s="15" t="s">
        <v>101</v>
      </c>
      <c r="S48" s="7">
        <v>45776</v>
      </c>
      <c r="T48" s="7">
        <v>45783</v>
      </c>
      <c r="U48" s="7">
        <v>45783</v>
      </c>
      <c r="V48" s="6">
        <v>368</v>
      </c>
      <c r="W48" s="11">
        <v>809727</v>
      </c>
      <c r="X48" s="6"/>
      <c r="Y48" s="6"/>
      <c r="Z48" s="6"/>
      <c r="AA48" s="6" t="s">
        <v>2329</v>
      </c>
      <c r="AB48" s="8" t="s">
        <v>2330</v>
      </c>
      <c r="AC48" s="8"/>
      <c r="AD48" s="6"/>
      <c r="AE48" s="6"/>
      <c r="AF48" s="9"/>
    </row>
    <row r="49" spans="1:32" s="10" customFormat="1" ht="16.5" x14ac:dyDescent="0.25">
      <c r="A49" s="3">
        <v>43</v>
      </c>
      <c r="B49" s="5" t="s">
        <v>36</v>
      </c>
      <c r="C49" s="5" t="s">
        <v>1585</v>
      </c>
      <c r="D49" s="4" t="s">
        <v>1560</v>
      </c>
      <c r="E49" s="6">
        <v>27</v>
      </c>
      <c r="F49" s="6">
        <v>25</v>
      </c>
      <c r="G49" s="6">
        <v>991.5</v>
      </c>
      <c r="H49" s="6" t="s">
        <v>586</v>
      </c>
      <c r="I49" s="7">
        <v>45761</v>
      </c>
      <c r="J49" s="7"/>
      <c r="K49" s="3" t="s">
        <v>153</v>
      </c>
      <c r="L49" s="3"/>
      <c r="M49" s="3"/>
      <c r="N49" s="3"/>
      <c r="O49" s="3"/>
      <c r="P49" s="3"/>
      <c r="Q49" s="3"/>
      <c r="R49" s="15" t="s">
        <v>101</v>
      </c>
      <c r="S49" s="7">
        <v>45776</v>
      </c>
      <c r="T49" s="7">
        <v>45783</v>
      </c>
      <c r="U49" s="7">
        <v>45783</v>
      </c>
      <c r="V49" s="6">
        <v>363</v>
      </c>
      <c r="W49" s="11">
        <v>1248329</v>
      </c>
      <c r="X49" s="6"/>
      <c r="Y49" s="6"/>
      <c r="Z49" s="6"/>
      <c r="AA49" s="6" t="s">
        <v>1889</v>
      </c>
      <c r="AB49" s="8" t="s">
        <v>1890</v>
      </c>
      <c r="AC49" s="8"/>
      <c r="AD49" s="6"/>
      <c r="AE49" s="6"/>
      <c r="AF49" s="9"/>
    </row>
    <row r="50" spans="1:32" s="10" customFormat="1" ht="47.25" x14ac:dyDescent="0.25">
      <c r="A50" s="3">
        <v>44</v>
      </c>
      <c r="B50" s="5" t="s">
        <v>36</v>
      </c>
      <c r="C50" s="5" t="s">
        <v>1628</v>
      </c>
      <c r="D50" s="4" t="s">
        <v>1629</v>
      </c>
      <c r="E50" s="6">
        <v>27</v>
      </c>
      <c r="F50" s="6" t="s">
        <v>2694</v>
      </c>
      <c r="G50" s="6" t="s">
        <v>2695</v>
      </c>
      <c r="H50" s="6" t="s">
        <v>51</v>
      </c>
      <c r="I50" s="7">
        <v>45764</v>
      </c>
      <c r="J50" s="7"/>
      <c r="K50" s="3" t="s">
        <v>76</v>
      </c>
      <c r="L50" s="3"/>
      <c r="M50" s="3"/>
      <c r="N50" s="3"/>
      <c r="O50" s="3"/>
      <c r="P50" s="3"/>
      <c r="Q50" s="3"/>
      <c r="R50" s="15" t="s">
        <v>101</v>
      </c>
      <c r="S50" s="7">
        <v>45773</v>
      </c>
      <c r="T50" s="7">
        <v>45833</v>
      </c>
      <c r="U50" s="7">
        <v>45833</v>
      </c>
      <c r="V50" s="20">
        <v>1876</v>
      </c>
      <c r="W50" s="11">
        <v>1713674</v>
      </c>
      <c r="X50" s="6"/>
      <c r="Y50" s="6"/>
      <c r="Z50" s="6"/>
      <c r="AA50" s="6"/>
      <c r="AB50" s="8"/>
      <c r="AC50" s="8" t="s">
        <v>2696</v>
      </c>
      <c r="AD50" s="6"/>
      <c r="AE50" s="6"/>
      <c r="AF50" s="9"/>
    </row>
    <row r="51" spans="1:32" s="10" customFormat="1" ht="16.5" x14ac:dyDescent="0.25">
      <c r="A51" s="3">
        <v>45</v>
      </c>
      <c r="B51" s="5" t="s">
        <v>36</v>
      </c>
      <c r="C51" s="5" t="s">
        <v>1643</v>
      </c>
      <c r="D51" s="4" t="s">
        <v>1644</v>
      </c>
      <c r="E51" s="6">
        <v>18</v>
      </c>
      <c r="F51" s="6">
        <v>132</v>
      </c>
      <c r="G51" s="6">
        <v>161</v>
      </c>
      <c r="H51" s="6" t="s">
        <v>55</v>
      </c>
      <c r="I51" s="7">
        <v>45765</v>
      </c>
      <c r="J51" s="7"/>
      <c r="K51" s="3"/>
      <c r="L51" s="3"/>
      <c r="M51" s="3"/>
      <c r="N51" s="3"/>
      <c r="O51" s="3"/>
      <c r="P51" s="3"/>
      <c r="Q51" s="3" t="s">
        <v>52</v>
      </c>
      <c r="R51" s="15" t="s">
        <v>101</v>
      </c>
      <c r="S51" s="7">
        <v>45797</v>
      </c>
      <c r="T51" s="6"/>
      <c r="U51" s="6"/>
      <c r="V51" s="6"/>
      <c r="W51" s="11"/>
      <c r="X51" s="6"/>
      <c r="Y51" s="6"/>
      <c r="Z51" s="6"/>
      <c r="AA51" s="6"/>
      <c r="AB51" s="8"/>
      <c r="AC51" s="8"/>
      <c r="AD51" s="6"/>
      <c r="AE51" s="6"/>
      <c r="AF51" s="9"/>
    </row>
    <row r="52" spans="1:32" s="10" customFormat="1" ht="31.5" x14ac:dyDescent="0.25">
      <c r="A52" s="3">
        <v>46</v>
      </c>
      <c r="B52" s="5" t="s">
        <v>36</v>
      </c>
      <c r="C52" s="5" t="s">
        <v>1647</v>
      </c>
      <c r="D52" s="4" t="s">
        <v>1648</v>
      </c>
      <c r="E52" s="6">
        <v>17</v>
      </c>
      <c r="F52" s="6">
        <v>134</v>
      </c>
      <c r="G52" s="6">
        <v>156.5</v>
      </c>
      <c r="H52" s="6" t="s">
        <v>55</v>
      </c>
      <c r="I52" s="7">
        <v>45765</v>
      </c>
      <c r="J52" s="7"/>
      <c r="K52" s="3"/>
      <c r="L52" s="3"/>
      <c r="M52" s="3"/>
      <c r="N52" s="3"/>
      <c r="O52" s="3"/>
      <c r="P52" s="3"/>
      <c r="Q52" s="3" t="s">
        <v>52</v>
      </c>
      <c r="R52" s="15" t="s">
        <v>101</v>
      </c>
      <c r="S52" s="7">
        <v>45797</v>
      </c>
      <c r="T52" s="7">
        <v>45799</v>
      </c>
      <c r="U52" s="7" t="s">
        <v>2207</v>
      </c>
      <c r="V52" s="20">
        <v>820</v>
      </c>
      <c r="W52" s="11">
        <v>1416978</v>
      </c>
      <c r="X52" s="6"/>
      <c r="Y52" s="6"/>
      <c r="Z52" s="6"/>
      <c r="AA52" s="6"/>
      <c r="AB52" s="8"/>
      <c r="AC52" s="8"/>
      <c r="AD52" s="6"/>
      <c r="AE52" s="6"/>
      <c r="AF52" s="9"/>
    </row>
    <row r="53" spans="1:32" s="10" customFormat="1" ht="16.5" x14ac:dyDescent="0.25">
      <c r="A53" s="3">
        <v>47</v>
      </c>
      <c r="B53" s="5" t="s">
        <v>36</v>
      </c>
      <c r="C53" s="5" t="s">
        <v>1650</v>
      </c>
      <c r="D53" s="4"/>
      <c r="E53" s="6">
        <v>24</v>
      </c>
      <c r="F53" s="6">
        <v>80</v>
      </c>
      <c r="G53" s="6">
        <v>1173.7</v>
      </c>
      <c r="H53" s="6" t="s">
        <v>75</v>
      </c>
      <c r="I53" s="7">
        <v>45765</v>
      </c>
      <c r="J53" s="7"/>
      <c r="K53" s="3" t="s">
        <v>76</v>
      </c>
      <c r="L53" s="3"/>
      <c r="M53" s="3"/>
      <c r="N53" s="3"/>
      <c r="O53" s="3"/>
      <c r="P53" s="3"/>
      <c r="Q53" s="3"/>
      <c r="R53" s="15" t="s">
        <v>101</v>
      </c>
      <c r="S53" s="6"/>
      <c r="T53" s="6"/>
      <c r="U53" s="6"/>
      <c r="V53" s="6"/>
      <c r="W53" s="11"/>
      <c r="X53" s="6"/>
      <c r="Y53" s="6"/>
      <c r="Z53" s="6"/>
      <c r="AA53" s="6"/>
      <c r="AB53" s="8"/>
      <c r="AC53" s="8"/>
      <c r="AD53" s="6"/>
      <c r="AE53" s="6"/>
      <c r="AF53" s="9" t="s">
        <v>1136</v>
      </c>
    </row>
    <row r="54" spans="1:32" s="10" customFormat="1" ht="47.25" x14ac:dyDescent="0.25">
      <c r="A54" s="3">
        <v>48</v>
      </c>
      <c r="B54" s="5" t="s">
        <v>36</v>
      </c>
      <c r="C54" s="5" t="s">
        <v>1653</v>
      </c>
      <c r="D54" s="4" t="s">
        <v>1654</v>
      </c>
      <c r="E54" s="6">
        <v>17</v>
      </c>
      <c r="F54" s="6">
        <v>122</v>
      </c>
      <c r="G54" s="6">
        <v>161</v>
      </c>
      <c r="H54" s="6" t="s">
        <v>55</v>
      </c>
      <c r="I54" s="7">
        <v>45765</v>
      </c>
      <c r="J54" s="7"/>
      <c r="K54" s="3"/>
      <c r="L54" s="3"/>
      <c r="M54" s="3"/>
      <c r="N54" s="3"/>
      <c r="O54" s="3"/>
      <c r="P54" s="3"/>
      <c r="Q54" s="3" t="s">
        <v>52</v>
      </c>
      <c r="R54" s="15" t="s">
        <v>101</v>
      </c>
      <c r="S54" s="7">
        <v>45797</v>
      </c>
      <c r="T54" s="7">
        <v>45803</v>
      </c>
      <c r="U54" s="7">
        <v>45803</v>
      </c>
      <c r="V54" s="6">
        <v>936</v>
      </c>
      <c r="W54" s="11">
        <v>1416978</v>
      </c>
      <c r="X54" s="6"/>
      <c r="Y54" s="6"/>
      <c r="Z54" s="6"/>
      <c r="AA54" s="6"/>
      <c r="AB54" s="8"/>
      <c r="AC54" s="8"/>
      <c r="AD54" s="6"/>
      <c r="AE54" s="6"/>
      <c r="AF54" s="9"/>
    </row>
    <row r="55" spans="1:32" ht="16.5" x14ac:dyDescent="0.25">
      <c r="A55" s="12"/>
      <c r="B55" s="73" t="s">
        <v>1656</v>
      </c>
      <c r="C55" s="74"/>
      <c r="D55" s="74"/>
      <c r="E55" s="74"/>
      <c r="F55" s="74"/>
      <c r="G55" s="74"/>
      <c r="H55" s="75"/>
      <c r="I55" s="13"/>
      <c r="J55" s="13"/>
      <c r="K55" s="14">
        <f>COUNTIF(K48:K54,"CT")+COUNTIF(K48:K54,"IG")+COUNTIF(K48:K54,"CQ")</f>
        <v>3</v>
      </c>
      <c r="L55" s="14">
        <f>COUNTIF(L48:L54,"CMĐ")</f>
        <v>1</v>
      </c>
      <c r="M55" s="14">
        <f>COUNTIF(M51:M54,"XMDT")+COUNTIF(M51:M54,"Mốc")</f>
        <v>0</v>
      </c>
      <c r="N55" s="14">
        <f>COUNTIF(N54,"THÁn")</f>
        <v>0</v>
      </c>
      <c r="O55" s="14">
        <f>COUNTIF(O52:O54,"TÒA")</f>
        <v>0</v>
      </c>
      <c r="P55" s="14">
        <f>COUNTIF(P44:P54,"Cấp GCN")</f>
        <v>0</v>
      </c>
      <c r="Q55" s="14">
        <f>COUNTIF(Q51:Q54,"SHN")</f>
        <v>3</v>
      </c>
      <c r="R55" s="15"/>
      <c r="S55" s="13"/>
      <c r="T55" s="15"/>
      <c r="U55" s="15"/>
      <c r="V55" s="16"/>
      <c r="W55" s="11"/>
      <c r="X55" s="17"/>
      <c r="Y55" s="2"/>
      <c r="AE55" s="14">
        <f>COUNTIF(AE54,"kt")</f>
        <v>0</v>
      </c>
    </row>
    <row r="56" spans="1:32" s="10" customFormat="1" ht="16.5" x14ac:dyDescent="0.25">
      <c r="A56" s="3">
        <v>49</v>
      </c>
      <c r="B56" s="5" t="s">
        <v>36</v>
      </c>
      <c r="C56" s="5" t="s">
        <v>1675</v>
      </c>
      <c r="D56" s="4" t="s">
        <v>1676</v>
      </c>
      <c r="E56" s="6">
        <v>17</v>
      </c>
      <c r="F56" s="6">
        <v>100</v>
      </c>
      <c r="G56" s="6">
        <v>161</v>
      </c>
      <c r="H56" s="6" t="s">
        <v>55</v>
      </c>
      <c r="I56" s="7">
        <v>45769</v>
      </c>
      <c r="J56" s="7"/>
      <c r="K56" s="3"/>
      <c r="L56" s="3"/>
      <c r="M56" s="3"/>
      <c r="N56" s="3"/>
      <c r="O56" s="3"/>
      <c r="P56" s="3"/>
      <c r="Q56" s="3" t="s">
        <v>52</v>
      </c>
      <c r="R56" s="15" t="s">
        <v>101</v>
      </c>
      <c r="S56" s="6"/>
      <c r="T56" s="6"/>
      <c r="U56" s="6"/>
      <c r="V56" s="6"/>
      <c r="W56" s="11"/>
      <c r="X56" s="6"/>
      <c r="Y56" s="6"/>
      <c r="Z56" s="6"/>
      <c r="AA56" s="6"/>
      <c r="AB56" s="8"/>
      <c r="AC56" s="8"/>
      <c r="AD56" s="6"/>
      <c r="AE56" s="6"/>
      <c r="AF56" s="9"/>
    </row>
    <row r="57" spans="1:32" s="10" customFormat="1" ht="31.5" x14ac:dyDescent="0.25">
      <c r="A57" s="3">
        <v>50</v>
      </c>
      <c r="B57" s="5" t="s">
        <v>36</v>
      </c>
      <c r="C57" s="5" t="s">
        <v>1680</v>
      </c>
      <c r="D57" s="4" t="s">
        <v>1681</v>
      </c>
      <c r="E57" s="6">
        <v>18</v>
      </c>
      <c r="F57" s="6">
        <v>92</v>
      </c>
      <c r="G57" s="6">
        <v>156.5</v>
      </c>
      <c r="H57" s="6" t="s">
        <v>55</v>
      </c>
      <c r="I57" s="7">
        <v>45769</v>
      </c>
      <c r="J57" s="7"/>
      <c r="K57" s="3"/>
      <c r="L57" s="3"/>
      <c r="M57" s="3"/>
      <c r="N57" s="3"/>
      <c r="O57" s="3"/>
      <c r="P57" s="3"/>
      <c r="Q57" s="3" t="s">
        <v>52</v>
      </c>
      <c r="R57" s="15" t="s">
        <v>101</v>
      </c>
      <c r="S57" s="7">
        <v>45797</v>
      </c>
      <c r="T57" s="7">
        <v>45799</v>
      </c>
      <c r="U57" s="7" t="s">
        <v>2207</v>
      </c>
      <c r="V57" s="20">
        <v>828</v>
      </c>
      <c r="W57" s="11">
        <v>1416978</v>
      </c>
      <c r="X57" s="6"/>
      <c r="Y57" s="6"/>
      <c r="Z57" s="6"/>
      <c r="AA57" s="6"/>
      <c r="AB57" s="8"/>
      <c r="AC57" s="8"/>
      <c r="AD57" s="6"/>
      <c r="AE57" s="6"/>
      <c r="AF57" s="9"/>
    </row>
    <row r="58" spans="1:32" s="10" customFormat="1" ht="16.5" x14ac:dyDescent="0.25">
      <c r="A58" s="3">
        <v>51</v>
      </c>
      <c r="B58" s="5" t="s">
        <v>36</v>
      </c>
      <c r="C58" s="5" t="s">
        <v>1698</v>
      </c>
      <c r="D58" s="4" t="s">
        <v>1699</v>
      </c>
      <c r="E58" s="6">
        <v>18</v>
      </c>
      <c r="F58" s="6">
        <v>93</v>
      </c>
      <c r="G58" s="6">
        <v>156.5</v>
      </c>
      <c r="H58" s="6" t="s">
        <v>55</v>
      </c>
      <c r="I58" s="7">
        <v>45768</v>
      </c>
      <c r="J58" s="7"/>
      <c r="K58" s="3"/>
      <c r="L58" s="3"/>
      <c r="M58" s="3"/>
      <c r="N58" s="3"/>
      <c r="O58" s="3"/>
      <c r="P58" s="3"/>
      <c r="Q58" s="3" t="s">
        <v>52</v>
      </c>
      <c r="R58" s="15" t="s">
        <v>101</v>
      </c>
      <c r="S58" s="7">
        <v>45797</v>
      </c>
      <c r="T58" s="7">
        <v>45798</v>
      </c>
      <c r="U58" s="7">
        <v>45798</v>
      </c>
      <c r="V58" s="6">
        <v>778</v>
      </c>
      <c r="W58" s="11">
        <v>1416978</v>
      </c>
      <c r="X58" s="6"/>
      <c r="Y58" s="6"/>
      <c r="Z58" s="6"/>
      <c r="AA58" s="6"/>
      <c r="AB58" s="8"/>
      <c r="AC58" s="8"/>
      <c r="AD58" s="6"/>
      <c r="AE58" s="6"/>
      <c r="AF58" s="9"/>
    </row>
    <row r="59" spans="1:32" s="10" customFormat="1" ht="16.5" x14ac:dyDescent="0.25">
      <c r="A59" s="3">
        <v>52</v>
      </c>
      <c r="B59" s="5" t="s">
        <v>36</v>
      </c>
      <c r="C59" s="5" t="s">
        <v>1700</v>
      </c>
      <c r="D59" s="4" t="s">
        <v>1701</v>
      </c>
      <c r="E59" s="6">
        <v>22</v>
      </c>
      <c r="F59" s="6">
        <v>6</v>
      </c>
      <c r="G59" s="6">
        <v>182.8</v>
      </c>
      <c r="H59" s="6" t="s">
        <v>55</v>
      </c>
      <c r="I59" s="7">
        <v>45768</v>
      </c>
      <c r="J59" s="7"/>
      <c r="K59" s="3"/>
      <c r="L59" s="3"/>
      <c r="M59" s="3"/>
      <c r="N59" s="3"/>
      <c r="O59" s="3"/>
      <c r="P59" s="3"/>
      <c r="Q59" s="3" t="s">
        <v>52</v>
      </c>
      <c r="R59" s="15" t="s">
        <v>101</v>
      </c>
      <c r="S59" s="7">
        <v>45797</v>
      </c>
      <c r="T59" s="7">
        <v>45824</v>
      </c>
      <c r="U59" s="7">
        <v>45824</v>
      </c>
      <c r="V59" s="6">
        <v>1597</v>
      </c>
      <c r="W59" s="11">
        <v>1416978</v>
      </c>
      <c r="X59" s="6"/>
      <c r="Y59" s="6"/>
      <c r="Z59" s="6"/>
      <c r="AA59" s="6"/>
      <c r="AB59" s="8"/>
      <c r="AC59" s="8"/>
      <c r="AD59" s="6"/>
      <c r="AE59" s="6"/>
      <c r="AF59" s="9"/>
    </row>
    <row r="60" spans="1:32" s="10" customFormat="1" ht="31.5" x14ac:dyDescent="0.25">
      <c r="A60" s="3">
        <v>53</v>
      </c>
      <c r="B60" s="5" t="s">
        <v>36</v>
      </c>
      <c r="C60" s="5" t="s">
        <v>1704</v>
      </c>
      <c r="D60" s="4" t="s">
        <v>1705</v>
      </c>
      <c r="E60" s="6">
        <v>18</v>
      </c>
      <c r="F60" s="6">
        <v>142</v>
      </c>
      <c r="G60" s="6">
        <v>161</v>
      </c>
      <c r="H60" s="6" t="s">
        <v>55</v>
      </c>
      <c r="I60" s="7">
        <v>45768</v>
      </c>
      <c r="J60" s="7"/>
      <c r="K60" s="3"/>
      <c r="L60" s="3"/>
      <c r="M60" s="3"/>
      <c r="N60" s="3"/>
      <c r="O60" s="3"/>
      <c r="P60" s="3"/>
      <c r="Q60" s="3" t="s">
        <v>52</v>
      </c>
      <c r="R60" s="15" t="s">
        <v>101</v>
      </c>
      <c r="S60" s="7">
        <v>45797</v>
      </c>
      <c r="T60" s="7">
        <v>45798</v>
      </c>
      <c r="U60" s="7">
        <v>45798</v>
      </c>
      <c r="V60" s="20">
        <v>782</v>
      </c>
      <c r="W60" s="11">
        <v>1416978</v>
      </c>
      <c r="X60" s="6"/>
      <c r="Y60" s="6"/>
      <c r="Z60" s="6"/>
      <c r="AA60" s="6"/>
      <c r="AB60" s="8"/>
      <c r="AC60" s="8"/>
      <c r="AD60" s="6"/>
      <c r="AE60" s="6"/>
      <c r="AF60" s="9"/>
    </row>
    <row r="61" spans="1:32" s="10" customFormat="1" ht="16.5" x14ac:dyDescent="0.25">
      <c r="A61" s="3">
        <v>54</v>
      </c>
      <c r="B61" s="5" t="s">
        <v>36</v>
      </c>
      <c r="C61" s="5" t="s">
        <v>1733</v>
      </c>
      <c r="D61" s="4" t="s">
        <v>1734</v>
      </c>
      <c r="E61" s="6">
        <v>4</v>
      </c>
      <c r="F61" s="6">
        <v>56</v>
      </c>
      <c r="G61" s="6">
        <v>4387.3</v>
      </c>
      <c r="H61" s="6" t="s">
        <v>75</v>
      </c>
      <c r="I61" s="7">
        <v>45772</v>
      </c>
      <c r="J61" s="7"/>
      <c r="K61" s="3"/>
      <c r="L61" s="3"/>
      <c r="M61" s="3" t="s">
        <v>1</v>
      </c>
      <c r="N61" s="3"/>
      <c r="O61" s="3"/>
      <c r="P61" s="3"/>
      <c r="Q61" s="3"/>
      <c r="R61" s="15" t="s">
        <v>101</v>
      </c>
      <c r="S61" s="6"/>
      <c r="T61" s="6"/>
      <c r="U61" s="6"/>
      <c r="V61" s="6"/>
      <c r="W61" s="11"/>
      <c r="X61" s="6"/>
      <c r="Y61" s="6"/>
      <c r="Z61" s="6"/>
      <c r="AA61" s="6"/>
      <c r="AB61" s="8"/>
      <c r="AC61" s="8"/>
      <c r="AD61" s="6"/>
      <c r="AE61" s="6"/>
      <c r="AF61" s="9"/>
    </row>
    <row r="62" spans="1:32" s="10" customFormat="1" ht="16.5" x14ac:dyDescent="0.25">
      <c r="A62" s="3">
        <v>55</v>
      </c>
      <c r="B62" s="5" t="s">
        <v>36</v>
      </c>
      <c r="C62" s="5" t="s">
        <v>1735</v>
      </c>
      <c r="D62" s="4" t="s">
        <v>1736</v>
      </c>
      <c r="E62" s="6">
        <v>17</v>
      </c>
      <c r="F62" s="6">
        <v>90</v>
      </c>
      <c r="G62" s="6">
        <v>161</v>
      </c>
      <c r="H62" s="6" t="s">
        <v>55</v>
      </c>
      <c r="I62" s="7">
        <v>45772</v>
      </c>
      <c r="J62" s="7"/>
      <c r="K62" s="3"/>
      <c r="L62" s="3"/>
      <c r="M62" s="3"/>
      <c r="N62" s="3"/>
      <c r="O62" s="3"/>
      <c r="P62" s="3"/>
      <c r="Q62" s="3" t="s">
        <v>52</v>
      </c>
      <c r="R62" s="15" t="s">
        <v>101</v>
      </c>
      <c r="S62" s="6"/>
      <c r="T62" s="6"/>
      <c r="U62" s="6"/>
      <c r="V62" s="6"/>
      <c r="W62" s="11"/>
      <c r="X62" s="6"/>
      <c r="Y62" s="6"/>
      <c r="Z62" s="6"/>
      <c r="AA62" s="6"/>
      <c r="AB62" s="8"/>
      <c r="AC62" s="8"/>
      <c r="AD62" s="6"/>
      <c r="AE62" s="6"/>
      <c r="AF62" s="9"/>
    </row>
    <row r="63" spans="1:32" s="10" customFormat="1" ht="31.5" x14ac:dyDescent="0.25">
      <c r="A63" s="3">
        <v>56</v>
      </c>
      <c r="B63" s="5" t="s">
        <v>36</v>
      </c>
      <c r="C63" s="5" t="s">
        <v>1738</v>
      </c>
      <c r="D63" s="4" t="s">
        <v>1739</v>
      </c>
      <c r="E63" s="6">
        <v>12</v>
      </c>
      <c r="F63" s="6">
        <v>146</v>
      </c>
      <c r="G63" s="6">
        <v>467.3</v>
      </c>
      <c r="H63" s="6" t="s">
        <v>75</v>
      </c>
      <c r="I63" s="7">
        <v>45771</v>
      </c>
      <c r="J63" s="7"/>
      <c r="K63" s="3" t="s">
        <v>823</v>
      </c>
      <c r="L63" s="3"/>
      <c r="M63" s="3"/>
      <c r="N63" s="3"/>
      <c r="O63" s="3"/>
      <c r="P63" s="3"/>
      <c r="Q63" s="3"/>
      <c r="R63" s="15" t="s">
        <v>101</v>
      </c>
      <c r="S63" s="7">
        <v>45792</v>
      </c>
      <c r="T63" s="7">
        <v>45793</v>
      </c>
      <c r="U63" s="7">
        <v>45793</v>
      </c>
      <c r="V63" s="6">
        <v>679</v>
      </c>
      <c r="W63" s="11">
        <v>961551</v>
      </c>
      <c r="X63" s="6"/>
      <c r="Y63" s="6"/>
      <c r="Z63" s="6"/>
      <c r="AA63" s="6" t="s">
        <v>2070</v>
      </c>
      <c r="AB63" s="8" t="s">
        <v>2071</v>
      </c>
      <c r="AC63" s="8"/>
      <c r="AD63" s="6"/>
      <c r="AE63" s="6"/>
      <c r="AF63" s="9"/>
    </row>
    <row r="64" spans="1:32" s="10" customFormat="1" ht="47.25" x14ac:dyDescent="0.25">
      <c r="A64" s="3">
        <v>57</v>
      </c>
      <c r="B64" s="5" t="s">
        <v>36</v>
      </c>
      <c r="C64" s="5" t="s">
        <v>1760</v>
      </c>
      <c r="D64" s="4" t="s">
        <v>1761</v>
      </c>
      <c r="E64" s="6">
        <v>17</v>
      </c>
      <c r="F64" s="6">
        <v>97</v>
      </c>
      <c r="G64" s="6">
        <v>140</v>
      </c>
      <c r="H64" s="6" t="s">
        <v>55</v>
      </c>
      <c r="I64" s="7" t="s">
        <v>2402</v>
      </c>
      <c r="J64" s="7"/>
      <c r="K64" s="3"/>
      <c r="L64" s="3"/>
      <c r="M64" s="3"/>
      <c r="N64" s="3"/>
      <c r="O64" s="3"/>
      <c r="P64" s="3"/>
      <c r="Q64" s="3" t="s">
        <v>52</v>
      </c>
      <c r="R64" s="15" t="s">
        <v>101</v>
      </c>
      <c r="S64" s="7">
        <v>45834</v>
      </c>
      <c r="T64" s="6"/>
      <c r="U64" s="6"/>
      <c r="V64" s="6"/>
      <c r="W64" s="11"/>
      <c r="X64" s="6"/>
      <c r="Y64" s="6"/>
      <c r="Z64" s="6"/>
      <c r="AA64" s="6"/>
      <c r="AB64" s="8"/>
      <c r="AC64" s="8"/>
      <c r="AD64" s="6"/>
      <c r="AE64" s="6"/>
      <c r="AF64" s="9"/>
    </row>
    <row r="65" spans="1:32" ht="16.5" x14ac:dyDescent="0.25">
      <c r="A65" s="12"/>
      <c r="B65" s="73" t="s">
        <v>1782</v>
      </c>
      <c r="C65" s="74"/>
      <c r="D65" s="74"/>
      <c r="E65" s="74"/>
      <c r="F65" s="74"/>
      <c r="G65" s="74"/>
      <c r="H65" s="75"/>
      <c r="I65" s="13"/>
      <c r="J65" s="13"/>
      <c r="K65" s="14">
        <f>COUNTIF(K58:K64,"CT")+COUNTIF(K58:K64,"IG")+COUNTIF(K58:K64,"CQ")</f>
        <v>1</v>
      </c>
      <c r="L65" s="14">
        <f>COUNTIF(L58:L64,"CMĐ")</f>
        <v>0</v>
      </c>
      <c r="M65" s="14">
        <f>COUNTIF(M61:M64,"XMDT")+COUNTIF(M61:M64,"Mốc")</f>
        <v>1</v>
      </c>
      <c r="N65" s="14">
        <f>COUNTIF(N64,"THÁn")</f>
        <v>0</v>
      </c>
      <c r="O65" s="14">
        <f>COUNTIF(O62:O64,"TÒA")</f>
        <v>0</v>
      </c>
      <c r="P65" s="14">
        <f>COUNTIF(P54:P64,"Cấp GCN")</f>
        <v>0</v>
      </c>
      <c r="Q65" s="14">
        <f>COUNTIF(Q56:Q64,"SHN")</f>
        <v>7</v>
      </c>
      <c r="R65" s="15"/>
      <c r="S65" s="13"/>
      <c r="T65" s="15"/>
      <c r="U65" s="15"/>
      <c r="V65" s="16"/>
      <c r="W65" s="11"/>
      <c r="X65" s="17"/>
      <c r="Y65" s="2"/>
      <c r="AE65" s="14">
        <f>COUNTIF(AE64,"kt")</f>
        <v>0</v>
      </c>
    </row>
    <row r="66" spans="1:32" s="10" customFormat="1" ht="31.5" x14ac:dyDescent="0.25">
      <c r="A66" s="3">
        <v>58</v>
      </c>
      <c r="B66" s="5" t="s">
        <v>36</v>
      </c>
      <c r="C66" s="5" t="s">
        <v>1826</v>
      </c>
      <c r="D66" s="4" t="s">
        <v>1827</v>
      </c>
      <c r="E66" s="6">
        <v>18</v>
      </c>
      <c r="F66" s="6">
        <v>182</v>
      </c>
      <c r="G66" s="6">
        <v>7753.3</v>
      </c>
      <c r="H66" s="6" t="s">
        <v>51</v>
      </c>
      <c r="I66" s="7" t="s">
        <v>1947</v>
      </c>
      <c r="J66" s="7"/>
      <c r="K66" s="3" t="s">
        <v>76</v>
      </c>
      <c r="L66" s="3"/>
      <c r="M66" s="3"/>
      <c r="N66" s="3"/>
      <c r="O66" s="3"/>
      <c r="P66" s="3"/>
      <c r="Q66" s="3"/>
      <c r="R66" s="15" t="s">
        <v>101</v>
      </c>
      <c r="S66" s="7">
        <v>45820</v>
      </c>
      <c r="T66" s="7">
        <v>45821</v>
      </c>
      <c r="U66" s="7">
        <v>45821</v>
      </c>
      <c r="V66" s="6">
        <v>1518</v>
      </c>
      <c r="W66" s="11">
        <v>1713674</v>
      </c>
      <c r="X66" s="6"/>
      <c r="Y66" s="6"/>
      <c r="Z66" s="6"/>
      <c r="AA66" s="6" t="s">
        <v>2527</v>
      </c>
      <c r="AB66" s="8" t="s">
        <v>2528</v>
      </c>
      <c r="AC66" s="8"/>
      <c r="AD66" s="6"/>
      <c r="AE66" s="6"/>
      <c r="AF66" s="9"/>
    </row>
    <row r="67" spans="1:32" s="10" customFormat="1" ht="31.5" x14ac:dyDescent="0.25">
      <c r="A67" s="3">
        <v>59</v>
      </c>
      <c r="B67" s="5" t="s">
        <v>36</v>
      </c>
      <c r="C67" s="5" t="s">
        <v>1848</v>
      </c>
      <c r="D67" s="4" t="s">
        <v>1849</v>
      </c>
      <c r="E67" s="6">
        <v>16</v>
      </c>
      <c r="F67" s="6">
        <v>338</v>
      </c>
      <c r="G67" s="6">
        <v>973.8</v>
      </c>
      <c r="H67" s="6" t="s">
        <v>51</v>
      </c>
      <c r="I67" s="7"/>
      <c r="J67" s="7"/>
      <c r="K67" s="3"/>
      <c r="L67" s="3"/>
      <c r="M67" s="3"/>
      <c r="N67" s="3"/>
      <c r="O67" s="3"/>
      <c r="P67" s="3"/>
      <c r="Q67" s="3"/>
      <c r="R67" s="15" t="s">
        <v>190</v>
      </c>
      <c r="S67" s="6"/>
      <c r="T67" s="6"/>
      <c r="U67" s="6"/>
      <c r="V67" s="6"/>
      <c r="W67" s="11"/>
      <c r="X67" s="6"/>
      <c r="Y67" s="6"/>
      <c r="Z67" s="6"/>
      <c r="AA67" s="6" t="s">
        <v>1845</v>
      </c>
      <c r="AB67" s="8" t="s">
        <v>1850</v>
      </c>
      <c r="AC67" s="8"/>
      <c r="AD67" s="6"/>
      <c r="AE67" s="6"/>
      <c r="AF67" s="9"/>
    </row>
    <row r="68" spans="1:32" ht="16.5" x14ac:dyDescent="0.25">
      <c r="A68" s="12"/>
      <c r="B68" s="73" t="s">
        <v>1919</v>
      </c>
      <c r="C68" s="74"/>
      <c r="D68" s="74"/>
      <c r="E68" s="74"/>
      <c r="F68" s="74"/>
      <c r="G68" s="74"/>
      <c r="H68" s="75"/>
      <c r="I68" s="13"/>
      <c r="J68" s="13"/>
      <c r="K68" s="14">
        <f>COUNTIF(K66:K67,"CT")+COUNTIF(K66:K67,"IG")+COUNTIF(K66:K67,"CQ")</f>
        <v>1</v>
      </c>
      <c r="L68" s="14">
        <f>COUNTIF(L61:L67,"CMĐ")</f>
        <v>0</v>
      </c>
      <c r="M68" s="14">
        <f>COUNTIF(M64:M67,"XMDT")+COUNTIF(M64:M67,"Mốc")</f>
        <v>0</v>
      </c>
      <c r="N68" s="14">
        <f>COUNTIF(N67,"THÁn")</f>
        <v>0</v>
      </c>
      <c r="O68" s="14">
        <f>COUNTIF(O65:O67,"TÒA")</f>
        <v>0</v>
      </c>
      <c r="P68" s="14">
        <f>COUNTIF(P57:P67,"Cấp GCN")</f>
        <v>0</v>
      </c>
      <c r="Q68" s="14">
        <f>COUNTIF(Q66:Q67,"SHN")</f>
        <v>0</v>
      </c>
      <c r="R68" s="15"/>
      <c r="S68" s="13"/>
      <c r="T68" s="15"/>
      <c r="U68" s="15"/>
      <c r="V68" s="16"/>
      <c r="W68" s="11"/>
      <c r="X68" s="17"/>
      <c r="Y68" s="2"/>
      <c r="AE68" s="14">
        <f>COUNTIF(AE67,"kt")</f>
        <v>0</v>
      </c>
    </row>
    <row r="69" spans="1:32" s="10" customFormat="1" ht="31.5" x14ac:dyDescent="0.25">
      <c r="A69" s="3">
        <v>60</v>
      </c>
      <c r="B69" s="5" t="s">
        <v>36</v>
      </c>
      <c r="C69" s="5" t="s">
        <v>756</v>
      </c>
      <c r="D69" s="4" t="s">
        <v>1923</v>
      </c>
      <c r="E69" s="6">
        <v>18</v>
      </c>
      <c r="F69" s="6">
        <v>95</v>
      </c>
      <c r="G69" s="6">
        <v>161</v>
      </c>
      <c r="H69" s="6" t="s">
        <v>55</v>
      </c>
      <c r="I69" s="7">
        <v>45789</v>
      </c>
      <c r="J69" s="7"/>
      <c r="K69" s="3"/>
      <c r="L69" s="3"/>
      <c r="M69" s="3"/>
      <c r="N69" s="3"/>
      <c r="O69" s="3"/>
      <c r="P69" s="3"/>
      <c r="Q69" s="3" t="s">
        <v>52</v>
      </c>
      <c r="R69" s="15" t="s">
        <v>101</v>
      </c>
      <c r="S69" s="7">
        <v>45824</v>
      </c>
      <c r="T69" s="6"/>
      <c r="U69" s="6"/>
      <c r="V69" s="6"/>
      <c r="W69" s="11"/>
      <c r="X69" s="6"/>
      <c r="Y69" s="6"/>
      <c r="Z69" s="6"/>
      <c r="AA69" s="6"/>
      <c r="AB69" s="8"/>
      <c r="AC69" s="8"/>
      <c r="AD69" s="6"/>
      <c r="AE69" s="6"/>
      <c r="AF69" s="9"/>
    </row>
    <row r="70" spans="1:32" s="10" customFormat="1" ht="16.5" x14ac:dyDescent="0.25">
      <c r="A70" s="3">
        <v>61</v>
      </c>
      <c r="B70" s="5" t="s">
        <v>36</v>
      </c>
      <c r="C70" s="5" t="s">
        <v>1953</v>
      </c>
      <c r="D70" s="4" t="s">
        <v>1954</v>
      </c>
      <c r="E70" s="6">
        <v>21</v>
      </c>
      <c r="F70" s="6">
        <v>25</v>
      </c>
      <c r="G70" s="6">
        <v>2531.4</v>
      </c>
      <c r="H70" s="6" t="s">
        <v>75</v>
      </c>
      <c r="I70" s="7">
        <v>45786</v>
      </c>
      <c r="J70" s="7"/>
      <c r="K70" s="3"/>
      <c r="L70" s="3"/>
      <c r="M70" s="3" t="s">
        <v>1</v>
      </c>
      <c r="N70" s="3"/>
      <c r="O70" s="3"/>
      <c r="P70" s="3"/>
      <c r="Q70" s="3"/>
      <c r="R70" s="15" t="s">
        <v>101</v>
      </c>
      <c r="S70" s="6"/>
      <c r="T70" s="6"/>
      <c r="U70" s="6"/>
      <c r="V70" s="6"/>
      <c r="W70" s="11"/>
      <c r="X70" s="6"/>
      <c r="Y70" s="6"/>
      <c r="Z70" s="6"/>
      <c r="AA70" s="6"/>
      <c r="AB70" s="8"/>
      <c r="AC70" s="8"/>
      <c r="AD70" s="6"/>
      <c r="AE70" s="6"/>
      <c r="AF70" s="9"/>
    </row>
    <row r="71" spans="1:32" s="10" customFormat="1" ht="16.5" x14ac:dyDescent="0.25">
      <c r="A71" s="3">
        <v>62</v>
      </c>
      <c r="B71" s="5" t="s">
        <v>36</v>
      </c>
      <c r="C71" s="5" t="s">
        <v>1958</v>
      </c>
      <c r="D71" s="4" t="s">
        <v>1959</v>
      </c>
      <c r="E71" s="6">
        <v>4</v>
      </c>
      <c r="F71" s="6">
        <v>27</v>
      </c>
      <c r="G71" s="6">
        <v>4573.3</v>
      </c>
      <c r="H71" s="6" t="s">
        <v>75</v>
      </c>
      <c r="I71" s="7">
        <v>45790</v>
      </c>
      <c r="J71" s="7"/>
      <c r="K71" s="3"/>
      <c r="L71" s="3"/>
      <c r="M71" s="3" t="s">
        <v>1</v>
      </c>
      <c r="N71" s="3"/>
      <c r="O71" s="3"/>
      <c r="P71" s="3"/>
      <c r="Q71" s="3"/>
      <c r="R71" s="15" t="s">
        <v>101</v>
      </c>
      <c r="S71" s="6"/>
      <c r="T71" s="6"/>
      <c r="U71" s="6"/>
      <c r="V71" s="6"/>
      <c r="W71" s="11"/>
      <c r="X71" s="6"/>
      <c r="Y71" s="6"/>
      <c r="Z71" s="6"/>
      <c r="AA71" s="6"/>
      <c r="AB71" s="8"/>
      <c r="AC71" s="8"/>
      <c r="AD71" s="6"/>
      <c r="AE71" s="6"/>
      <c r="AF71" s="9"/>
    </row>
    <row r="72" spans="1:32" s="10" customFormat="1" ht="78.75" x14ac:dyDescent="0.25">
      <c r="A72" s="3">
        <v>63</v>
      </c>
      <c r="B72" s="5" t="s">
        <v>36</v>
      </c>
      <c r="C72" s="5" t="s">
        <v>2026</v>
      </c>
      <c r="D72" s="4" t="s">
        <v>488</v>
      </c>
      <c r="E72" s="6" t="s">
        <v>2029</v>
      </c>
      <c r="F72" s="6" t="s">
        <v>2030</v>
      </c>
      <c r="G72" s="6" t="s">
        <v>2031</v>
      </c>
      <c r="H72" s="3"/>
      <c r="I72" s="7">
        <v>45792</v>
      </c>
      <c r="J72" s="7"/>
      <c r="K72" s="3"/>
      <c r="L72" s="3"/>
      <c r="M72" s="3"/>
      <c r="N72" s="3" t="s">
        <v>491</v>
      </c>
      <c r="O72" s="3"/>
      <c r="P72" s="3"/>
      <c r="Q72" s="3"/>
      <c r="R72" s="15" t="s">
        <v>101</v>
      </c>
      <c r="S72" s="6"/>
      <c r="T72" s="6"/>
      <c r="U72" s="6"/>
      <c r="V72" s="6"/>
      <c r="W72" s="11"/>
      <c r="X72" s="6"/>
      <c r="Y72" s="6"/>
      <c r="Z72" s="6"/>
      <c r="AA72" s="6"/>
      <c r="AB72" s="8"/>
      <c r="AC72" s="8"/>
      <c r="AD72" s="6" t="s">
        <v>2028</v>
      </c>
      <c r="AE72" s="6"/>
      <c r="AF72" s="9"/>
    </row>
    <row r="73" spans="1:32" s="10" customFormat="1" ht="16.5" x14ac:dyDescent="0.25">
      <c r="A73" s="3">
        <v>64</v>
      </c>
      <c r="B73" s="5" t="s">
        <v>36</v>
      </c>
      <c r="C73" s="5" t="s">
        <v>2039</v>
      </c>
      <c r="D73" s="4" t="s">
        <v>76</v>
      </c>
      <c r="E73" s="6">
        <v>33</v>
      </c>
      <c r="F73" s="6">
        <v>37</v>
      </c>
      <c r="G73" s="6">
        <v>1451</v>
      </c>
      <c r="H73" s="6" t="s">
        <v>75</v>
      </c>
      <c r="I73" s="7">
        <v>45792</v>
      </c>
      <c r="J73" s="7"/>
      <c r="K73" s="3" t="s">
        <v>76</v>
      </c>
      <c r="L73" s="3"/>
      <c r="M73" s="3"/>
      <c r="N73" s="3"/>
      <c r="O73" s="3"/>
      <c r="P73" s="3"/>
      <c r="Q73" s="3"/>
      <c r="R73" s="15" t="s">
        <v>101</v>
      </c>
      <c r="S73" s="7">
        <v>45834</v>
      </c>
      <c r="T73" s="6"/>
      <c r="U73" s="6"/>
      <c r="V73" s="6"/>
      <c r="W73" s="11"/>
      <c r="X73" s="6"/>
      <c r="Y73" s="6"/>
      <c r="Z73" s="6"/>
      <c r="AA73" s="6"/>
      <c r="AB73" s="8"/>
      <c r="AC73" s="8"/>
      <c r="AD73" s="6"/>
      <c r="AE73" s="6"/>
      <c r="AF73" s="9"/>
    </row>
    <row r="74" spans="1:32" s="10" customFormat="1" ht="31.5" x14ac:dyDescent="0.25">
      <c r="A74" s="3">
        <v>65</v>
      </c>
      <c r="B74" s="5" t="s">
        <v>36</v>
      </c>
      <c r="C74" s="5" t="s">
        <v>2064</v>
      </c>
      <c r="D74" s="4" t="s">
        <v>2065</v>
      </c>
      <c r="E74" s="6">
        <v>18</v>
      </c>
      <c r="F74" s="6">
        <v>116</v>
      </c>
      <c r="G74" s="6">
        <v>161</v>
      </c>
      <c r="H74" s="6" t="s">
        <v>55</v>
      </c>
      <c r="I74" s="7">
        <v>45793</v>
      </c>
      <c r="J74" s="7"/>
      <c r="K74" s="3"/>
      <c r="L74" s="3"/>
      <c r="M74" s="3"/>
      <c r="N74" s="3"/>
      <c r="O74" s="3"/>
      <c r="P74" s="3"/>
      <c r="Q74" s="3" t="s">
        <v>52</v>
      </c>
      <c r="R74" s="15" t="s">
        <v>101</v>
      </c>
      <c r="S74" s="7">
        <v>45824</v>
      </c>
      <c r="T74" s="7">
        <v>45835</v>
      </c>
      <c r="U74" s="7">
        <v>45835</v>
      </c>
      <c r="V74" s="6">
        <v>1994</v>
      </c>
      <c r="W74" s="11">
        <v>1416978</v>
      </c>
      <c r="X74" s="6"/>
      <c r="Y74" s="6"/>
      <c r="Z74" s="6"/>
      <c r="AA74" s="6"/>
      <c r="AB74" s="8"/>
      <c r="AC74" s="8"/>
      <c r="AD74" s="6"/>
      <c r="AE74" s="6"/>
      <c r="AF74" s="9"/>
    </row>
    <row r="75" spans="1:32" s="10" customFormat="1" ht="31.5" x14ac:dyDescent="0.25">
      <c r="A75" s="3">
        <v>66</v>
      </c>
      <c r="B75" s="5" t="s">
        <v>36</v>
      </c>
      <c r="C75" s="5" t="s">
        <v>2080</v>
      </c>
      <c r="D75" s="4" t="s">
        <v>2078</v>
      </c>
      <c r="E75" s="6">
        <v>28</v>
      </c>
      <c r="F75" s="6">
        <v>168</v>
      </c>
      <c r="G75" s="6">
        <v>2647.1</v>
      </c>
      <c r="H75" s="6" t="s">
        <v>75</v>
      </c>
      <c r="I75" s="7"/>
      <c r="J75" s="7"/>
      <c r="K75" s="3"/>
      <c r="L75" s="3"/>
      <c r="M75" s="3"/>
      <c r="N75" s="3"/>
      <c r="O75" s="3"/>
      <c r="P75" s="3"/>
      <c r="Q75" s="3"/>
      <c r="R75" s="15" t="s">
        <v>190</v>
      </c>
      <c r="S75" s="6"/>
      <c r="T75" s="6"/>
      <c r="U75" s="6"/>
      <c r="V75" s="6"/>
      <c r="W75" s="11"/>
      <c r="X75" s="6"/>
      <c r="Y75" s="6"/>
      <c r="Z75" s="6"/>
      <c r="AA75" s="6" t="s">
        <v>2079</v>
      </c>
      <c r="AB75" s="8" t="s">
        <v>2077</v>
      </c>
      <c r="AC75" s="8"/>
      <c r="AD75" s="6"/>
      <c r="AE75" s="6"/>
      <c r="AF75" s="9"/>
    </row>
    <row r="76" spans="1:32" ht="16.5" x14ac:dyDescent="0.25">
      <c r="A76" s="12"/>
      <c r="B76" s="73" t="s">
        <v>2099</v>
      </c>
      <c r="C76" s="74"/>
      <c r="D76" s="74"/>
      <c r="E76" s="74"/>
      <c r="F76" s="74"/>
      <c r="G76" s="74"/>
      <c r="H76" s="75"/>
      <c r="I76" s="13"/>
      <c r="J76" s="13"/>
      <c r="K76" s="14">
        <f>COUNTIF(K69:K75,"CT")+COUNTIF(K74:K75,"IG")+COUNTIF(K74:K75,"CQ")</f>
        <v>1</v>
      </c>
      <c r="L76" s="14">
        <f>COUNTIF(L69:L75,"CMĐ")</f>
        <v>0</v>
      </c>
      <c r="M76" s="14">
        <f>COUNTIF(M69:M75,"XMDT")+COUNTIF(M72:M75,"Mốc")</f>
        <v>2</v>
      </c>
      <c r="N76" s="14">
        <f>COUNTIF(N69:N75,"THÁn")</f>
        <v>1</v>
      </c>
      <c r="O76" s="14">
        <f>COUNTIF(O73:O75,"TÒA")</f>
        <v>0</v>
      </c>
      <c r="P76" s="14">
        <f>COUNTIF(P65:P75,"Cấp GCN")</f>
        <v>0</v>
      </c>
      <c r="Q76" s="14">
        <f>COUNTIF(Q69:Q75,"SHN")</f>
        <v>2</v>
      </c>
      <c r="R76" s="15"/>
      <c r="S76" s="13"/>
      <c r="T76" s="15"/>
      <c r="U76" s="15"/>
      <c r="V76" s="16"/>
      <c r="W76" s="11"/>
      <c r="X76" s="17"/>
      <c r="Y76" s="2"/>
      <c r="AE76" s="14">
        <f>COUNTIF(AE75,"kt")</f>
        <v>0</v>
      </c>
    </row>
    <row r="77" spans="1:32" s="10" customFormat="1" ht="31.5" x14ac:dyDescent="0.25">
      <c r="A77" s="3">
        <v>67</v>
      </c>
      <c r="B77" s="5" t="s">
        <v>36</v>
      </c>
      <c r="C77" s="5" t="s">
        <v>751</v>
      </c>
      <c r="D77" s="4" t="s">
        <v>2169</v>
      </c>
      <c r="E77" s="6">
        <v>9</v>
      </c>
      <c r="F77" s="6">
        <v>306</v>
      </c>
      <c r="G77" s="6">
        <v>425.8</v>
      </c>
      <c r="H77" s="6" t="s">
        <v>51</v>
      </c>
      <c r="I77" s="7">
        <v>45797</v>
      </c>
      <c r="J77" s="7"/>
      <c r="K77" s="3"/>
      <c r="L77" s="3" t="s">
        <v>62</v>
      </c>
      <c r="M77" s="3"/>
      <c r="N77" s="3"/>
      <c r="O77" s="3"/>
      <c r="P77" s="3"/>
      <c r="Q77" s="3"/>
      <c r="R77" s="15" t="s">
        <v>101</v>
      </c>
      <c r="S77" s="7">
        <v>45810</v>
      </c>
      <c r="T77" s="7">
        <v>45813</v>
      </c>
      <c r="U77" s="7">
        <v>45813</v>
      </c>
      <c r="V77" s="20">
        <v>1263</v>
      </c>
      <c r="W77" s="11">
        <v>961551</v>
      </c>
      <c r="X77" s="6"/>
      <c r="Y77" s="6"/>
      <c r="Z77" s="6"/>
      <c r="AA77" s="6" t="s">
        <v>2717</v>
      </c>
      <c r="AB77" s="8" t="s">
        <v>2718</v>
      </c>
      <c r="AC77" s="8"/>
      <c r="AD77" s="6"/>
      <c r="AE77" s="6"/>
      <c r="AF77" s="9"/>
    </row>
    <row r="78" spans="1:32" s="10" customFormat="1" ht="16.5" x14ac:dyDescent="0.25">
      <c r="A78" s="3">
        <v>68</v>
      </c>
      <c r="B78" s="5" t="s">
        <v>36</v>
      </c>
      <c r="C78" s="5" t="s">
        <v>2189</v>
      </c>
      <c r="D78" s="4" t="s">
        <v>2190</v>
      </c>
      <c r="E78" s="6">
        <v>15</v>
      </c>
      <c r="F78" s="6">
        <v>31</v>
      </c>
      <c r="G78" s="6">
        <v>3205.9</v>
      </c>
      <c r="H78" s="6" t="s">
        <v>51</v>
      </c>
      <c r="I78" s="7">
        <v>45800</v>
      </c>
      <c r="J78" s="7"/>
      <c r="K78" s="3"/>
      <c r="L78" s="3" t="s">
        <v>62</v>
      </c>
      <c r="M78" s="3"/>
      <c r="N78" s="3"/>
      <c r="O78" s="3"/>
      <c r="P78" s="3"/>
      <c r="Q78" s="3"/>
      <c r="R78" s="15" t="s">
        <v>101</v>
      </c>
      <c r="S78" s="7">
        <v>45824</v>
      </c>
      <c r="T78" s="7">
        <v>45825</v>
      </c>
      <c r="U78" s="7">
        <v>45825</v>
      </c>
      <c r="V78" s="6">
        <v>1600</v>
      </c>
      <c r="W78" s="11">
        <v>961551</v>
      </c>
      <c r="X78" s="6"/>
      <c r="Y78" s="6"/>
      <c r="Z78" s="6"/>
      <c r="AA78" s="6"/>
      <c r="AB78" s="8"/>
      <c r="AC78" s="8"/>
      <c r="AD78" s="6"/>
      <c r="AE78" s="6"/>
      <c r="AF78" s="9"/>
    </row>
    <row r="79" spans="1:32" ht="16.5" x14ac:dyDescent="0.25">
      <c r="A79" s="12"/>
      <c r="B79" s="73" t="s">
        <v>2208</v>
      </c>
      <c r="C79" s="74"/>
      <c r="D79" s="74"/>
      <c r="E79" s="74"/>
      <c r="F79" s="74"/>
      <c r="G79" s="74"/>
      <c r="H79" s="75"/>
      <c r="I79" s="13"/>
      <c r="J79" s="13"/>
      <c r="K79" s="14">
        <f>COUNTIF(K77:K78,"CT")+COUNTIF(K77:K78,"IG")+COUNTIF(K77:K78,"CQ")</f>
        <v>0</v>
      </c>
      <c r="L79" s="14">
        <f>COUNTIF(L72:L78,"CMĐ")</f>
        <v>2</v>
      </c>
      <c r="M79" s="14">
        <f>COUNTIF(M72:M78,"XMDT")+COUNTIF(M75:M78,"Mốc")</f>
        <v>0</v>
      </c>
      <c r="N79" s="14">
        <f>COUNTIF(N77:N78,"THÁn")</f>
        <v>0</v>
      </c>
      <c r="O79" s="14">
        <f>COUNTIF(O76:O78,"TÒA")</f>
        <v>0</v>
      </c>
      <c r="P79" s="14">
        <f>COUNTIF(P68:P78,"Cấp GCN")</f>
        <v>0</v>
      </c>
      <c r="Q79" s="14">
        <f>COUNTIF(Q77:Q78,"SHN")</f>
        <v>0</v>
      </c>
      <c r="R79" s="15"/>
      <c r="S79" s="13"/>
      <c r="T79" s="15"/>
      <c r="U79" s="15"/>
      <c r="V79" s="16"/>
      <c r="W79" s="11"/>
      <c r="X79" s="17"/>
      <c r="Y79" s="2"/>
      <c r="AE79" s="14">
        <f>COUNTIF(AE78,"kt")</f>
        <v>0</v>
      </c>
    </row>
    <row r="80" spans="1:32" s="10" customFormat="1" ht="16.5" x14ac:dyDescent="0.25">
      <c r="A80" s="3">
        <v>69</v>
      </c>
      <c r="B80" s="5" t="s">
        <v>36</v>
      </c>
      <c r="C80" s="5" t="s">
        <v>2213</v>
      </c>
      <c r="D80" s="4" t="s">
        <v>2214</v>
      </c>
      <c r="E80" s="6">
        <v>24</v>
      </c>
      <c r="F80" s="6">
        <v>224</v>
      </c>
      <c r="G80" s="6">
        <v>1202.2</v>
      </c>
      <c r="H80" s="6" t="s">
        <v>51</v>
      </c>
      <c r="I80" s="7">
        <v>45803</v>
      </c>
      <c r="J80" s="7"/>
      <c r="K80" s="3" t="s">
        <v>823</v>
      </c>
      <c r="L80" s="3"/>
      <c r="M80" s="3"/>
      <c r="N80" s="3"/>
      <c r="O80" s="3"/>
      <c r="P80" s="3"/>
      <c r="Q80" s="3"/>
      <c r="R80" s="15" t="s">
        <v>101</v>
      </c>
      <c r="S80" s="7">
        <v>45832</v>
      </c>
      <c r="T80" s="6"/>
      <c r="U80" s="6"/>
      <c r="V80" s="6"/>
      <c r="W80" s="11"/>
      <c r="X80" s="6"/>
      <c r="Y80" s="6"/>
      <c r="Z80" s="6"/>
      <c r="AA80" s="6"/>
      <c r="AB80" s="8"/>
      <c r="AC80" s="8"/>
      <c r="AD80" s="6"/>
      <c r="AE80" s="6"/>
      <c r="AF80" s="9"/>
    </row>
    <row r="81" spans="1:32" s="10" customFormat="1" ht="16.5" x14ac:dyDescent="0.25">
      <c r="A81" s="3">
        <v>70</v>
      </c>
      <c r="B81" s="5" t="s">
        <v>36</v>
      </c>
      <c r="C81" s="5" t="s">
        <v>2213</v>
      </c>
      <c r="D81" s="4" t="s">
        <v>2214</v>
      </c>
      <c r="E81" s="6">
        <v>22</v>
      </c>
      <c r="F81" s="6">
        <v>196</v>
      </c>
      <c r="G81" s="6">
        <v>48</v>
      </c>
      <c r="H81" s="6" t="s">
        <v>55</v>
      </c>
      <c r="I81" s="7">
        <v>45803</v>
      </c>
      <c r="J81" s="7"/>
      <c r="K81" s="3"/>
      <c r="L81" s="3"/>
      <c r="M81" s="3" t="s">
        <v>1</v>
      </c>
      <c r="N81" s="3"/>
      <c r="O81" s="3"/>
      <c r="P81" s="3"/>
      <c r="Q81" s="3"/>
      <c r="R81" s="15" t="s">
        <v>101</v>
      </c>
      <c r="S81" s="7">
        <v>45835</v>
      </c>
      <c r="T81" s="6"/>
      <c r="U81" s="6"/>
      <c r="V81" s="6"/>
      <c r="W81" s="11"/>
      <c r="X81" s="6"/>
      <c r="Y81" s="6"/>
      <c r="Z81" s="6"/>
      <c r="AA81" s="6"/>
      <c r="AB81" s="8"/>
      <c r="AC81" s="8"/>
      <c r="AD81" s="6"/>
      <c r="AE81" s="6"/>
      <c r="AF81" s="9"/>
    </row>
    <row r="82" spans="1:32" s="10" customFormat="1" ht="16.5" x14ac:dyDescent="0.25">
      <c r="A82" s="3">
        <v>71</v>
      </c>
      <c r="B82" s="5" t="s">
        <v>36</v>
      </c>
      <c r="C82" s="5" t="s">
        <v>2233</v>
      </c>
      <c r="D82" s="4" t="s">
        <v>2234</v>
      </c>
      <c r="E82" s="6">
        <v>29</v>
      </c>
      <c r="F82" s="6">
        <v>113</v>
      </c>
      <c r="G82" s="6">
        <v>2848.9</v>
      </c>
      <c r="H82" s="6" t="s">
        <v>51</v>
      </c>
      <c r="I82" s="7">
        <v>45803</v>
      </c>
      <c r="J82" s="7"/>
      <c r="K82" s="3"/>
      <c r="L82" s="3" t="s">
        <v>62</v>
      </c>
      <c r="M82" s="3"/>
      <c r="N82" s="3"/>
      <c r="O82" s="3"/>
      <c r="P82" s="3"/>
      <c r="Q82" s="3"/>
      <c r="R82" s="15" t="s">
        <v>101</v>
      </c>
      <c r="S82" s="7">
        <v>45824</v>
      </c>
      <c r="T82" s="6"/>
      <c r="U82" s="6"/>
      <c r="V82" s="6"/>
      <c r="W82" s="11"/>
      <c r="X82" s="6"/>
      <c r="Y82" s="6"/>
      <c r="Z82" s="6"/>
      <c r="AA82" s="6"/>
      <c r="AB82" s="8"/>
      <c r="AC82" s="8"/>
      <c r="AD82" s="6"/>
      <c r="AE82" s="6"/>
      <c r="AF82" s="9"/>
    </row>
    <row r="83" spans="1:32" s="10" customFormat="1" ht="16.5" x14ac:dyDescent="0.25">
      <c r="A83" s="3">
        <v>72</v>
      </c>
      <c r="B83" s="5" t="s">
        <v>36</v>
      </c>
      <c r="C83" s="5" t="s">
        <v>1183</v>
      </c>
      <c r="D83" s="4"/>
      <c r="E83" s="6">
        <v>15</v>
      </c>
      <c r="F83" s="6">
        <v>305</v>
      </c>
      <c r="G83" s="6">
        <v>1431.9</v>
      </c>
      <c r="H83" s="6" t="s">
        <v>51</v>
      </c>
      <c r="I83" s="7">
        <v>45807</v>
      </c>
      <c r="J83" s="7"/>
      <c r="K83" s="3"/>
      <c r="L83" s="3" t="s">
        <v>62</v>
      </c>
      <c r="M83" s="3"/>
      <c r="N83" s="3"/>
      <c r="O83" s="3"/>
      <c r="P83" s="3"/>
      <c r="Q83" s="3"/>
      <c r="R83" s="15" t="s">
        <v>101</v>
      </c>
      <c r="S83" s="7">
        <v>45821</v>
      </c>
      <c r="T83" s="7">
        <v>45821</v>
      </c>
      <c r="U83" s="7">
        <v>45821</v>
      </c>
      <c r="V83" s="6">
        <v>1540</v>
      </c>
      <c r="W83" s="11">
        <v>961551</v>
      </c>
      <c r="X83" s="6"/>
      <c r="Y83" s="6"/>
      <c r="Z83" s="6"/>
      <c r="AA83" s="6"/>
      <c r="AB83" s="8"/>
      <c r="AC83" s="8"/>
      <c r="AD83" s="6"/>
      <c r="AE83" s="6"/>
      <c r="AF83" s="9"/>
    </row>
    <row r="84" spans="1:32" ht="16.5" x14ac:dyDescent="0.25">
      <c r="A84" s="12"/>
      <c r="B84" s="73" t="s">
        <v>2324</v>
      </c>
      <c r="C84" s="74"/>
      <c r="D84" s="74"/>
      <c r="E84" s="74"/>
      <c r="F84" s="74"/>
      <c r="G84" s="74"/>
      <c r="H84" s="75"/>
      <c r="I84" s="13"/>
      <c r="J84" s="13"/>
      <c r="K84" s="14">
        <f>COUNTIF(K80:K83,"IG")+COUNTIF(K82:K83,"IG")+COUNTIF(K82:K83,"CQ")</f>
        <v>1</v>
      </c>
      <c r="L84" s="14">
        <f>COUNTIF(L80:L83,"CMĐ")</f>
        <v>2</v>
      </c>
      <c r="M84" s="14">
        <f>COUNTIF(M77:M83,"XMDT")+COUNTIF(M80:M83,"Mốc")</f>
        <v>1</v>
      </c>
      <c r="N84" s="14">
        <f>COUNTIF(N82:N83,"THÁn")</f>
        <v>0</v>
      </c>
      <c r="O84" s="14">
        <f>COUNTIF(O81:O83,"TÒA")</f>
        <v>0</v>
      </c>
      <c r="P84" s="14">
        <f>COUNTIF(P73:P83,"Cấp GCN")</f>
        <v>0</v>
      </c>
      <c r="Q84" s="14">
        <f>COUNTIF(Q82:Q83,"SHN")</f>
        <v>0</v>
      </c>
      <c r="R84" s="15"/>
      <c r="S84" s="13"/>
      <c r="T84" s="15"/>
      <c r="U84" s="15"/>
      <c r="V84" s="16"/>
      <c r="W84" s="11"/>
      <c r="X84" s="17"/>
      <c r="Y84" s="2"/>
      <c r="AE84" s="14">
        <f>COUNTIF(AE83,"kt")</f>
        <v>0</v>
      </c>
    </row>
    <row r="85" spans="1:32" s="10" customFormat="1" ht="16.5" x14ac:dyDescent="0.25">
      <c r="A85" s="3">
        <v>73</v>
      </c>
      <c r="B85" s="5" t="s">
        <v>36</v>
      </c>
      <c r="C85" s="5" t="s">
        <v>2418</v>
      </c>
      <c r="D85" s="4" t="s">
        <v>2419</v>
      </c>
      <c r="E85" s="6">
        <v>17</v>
      </c>
      <c r="F85" s="6">
        <v>84</v>
      </c>
      <c r="G85" s="6">
        <v>140</v>
      </c>
      <c r="H85" s="6" t="s">
        <v>55</v>
      </c>
      <c r="I85" s="7">
        <v>45817</v>
      </c>
      <c r="J85" s="7"/>
      <c r="K85" s="3"/>
      <c r="L85" s="3"/>
      <c r="M85" s="3"/>
      <c r="N85" s="3"/>
      <c r="O85" s="3"/>
      <c r="P85" s="3"/>
      <c r="Q85" s="3" t="s">
        <v>52</v>
      </c>
      <c r="R85" s="15" t="s">
        <v>101</v>
      </c>
      <c r="S85" s="7">
        <v>45832</v>
      </c>
      <c r="T85" s="7">
        <v>45833</v>
      </c>
      <c r="U85" s="7">
        <v>45833</v>
      </c>
      <c r="V85" s="20">
        <v>1872</v>
      </c>
      <c r="W85" s="11">
        <v>1416978</v>
      </c>
      <c r="X85" s="6"/>
      <c r="Y85" s="6"/>
      <c r="Z85" s="6"/>
      <c r="AA85" s="6"/>
      <c r="AB85" s="8"/>
      <c r="AC85" s="8"/>
      <c r="AD85" s="6"/>
      <c r="AE85" s="6"/>
      <c r="AF85" s="9"/>
    </row>
    <row r="86" spans="1:32" s="10" customFormat="1" ht="31.5" x14ac:dyDescent="0.25">
      <c r="A86" s="3">
        <v>74</v>
      </c>
      <c r="B86" s="5" t="s">
        <v>36</v>
      </c>
      <c r="C86" s="5" t="s">
        <v>1700</v>
      </c>
      <c r="D86" s="4" t="s">
        <v>1701</v>
      </c>
      <c r="E86" s="6">
        <v>22</v>
      </c>
      <c r="F86" s="6">
        <v>6</v>
      </c>
      <c r="G86" s="6">
        <v>182.8</v>
      </c>
      <c r="H86" s="6" t="s">
        <v>55</v>
      </c>
      <c r="I86" s="7">
        <v>45821</v>
      </c>
      <c r="J86" s="7"/>
      <c r="K86" s="3"/>
      <c r="L86" s="3"/>
      <c r="M86" s="3"/>
      <c r="N86" s="3"/>
      <c r="O86" s="3"/>
      <c r="P86" s="3"/>
      <c r="Q86" s="3" t="s">
        <v>52</v>
      </c>
      <c r="R86" s="15" t="s">
        <v>101</v>
      </c>
      <c r="S86" s="6"/>
      <c r="T86" s="6"/>
      <c r="U86" s="6"/>
      <c r="V86" s="6"/>
      <c r="W86" s="11"/>
      <c r="X86" s="6"/>
      <c r="Y86" s="6"/>
      <c r="Z86" s="6"/>
      <c r="AA86" s="6"/>
      <c r="AB86" s="8"/>
      <c r="AC86" s="8"/>
      <c r="AD86" s="6" t="s">
        <v>2539</v>
      </c>
      <c r="AE86" s="6"/>
      <c r="AF86" s="9"/>
    </row>
    <row r="87" spans="1:32" ht="16.5" x14ac:dyDescent="0.25">
      <c r="A87" s="12"/>
      <c r="B87" s="73" t="s">
        <v>2523</v>
      </c>
      <c r="C87" s="74"/>
      <c r="D87" s="74"/>
      <c r="E87" s="74"/>
      <c r="F87" s="74"/>
      <c r="G87" s="74"/>
      <c r="H87" s="75"/>
      <c r="I87" s="13"/>
      <c r="J87" s="13"/>
      <c r="K87" s="14">
        <f>COUNTIF(K83:K86,"IG")+COUNTIF(K85:K86,"IG")+COUNTIF(K85:K86,"CQ")</f>
        <v>0</v>
      </c>
      <c r="L87" s="14">
        <f ca="1">COUNTIF(L85:L87,"CMĐ")</f>
        <v>0</v>
      </c>
      <c r="M87" s="14">
        <f>COUNTIF(M85:M86,"XMDT")+COUNTIF(M83:M86,"Mốc")</f>
        <v>0</v>
      </c>
      <c r="N87" s="14">
        <f>COUNTIF(N85:N86,"THÁn")</f>
        <v>0</v>
      </c>
      <c r="O87" s="14">
        <f>COUNTIF(O84:O86,"TÒA")</f>
        <v>0</v>
      </c>
      <c r="P87" s="14">
        <f>COUNTIF(P76:P86,"Cấp GCN")</f>
        <v>0</v>
      </c>
      <c r="Q87" s="14">
        <f>COUNTIF(Q85:Q86,"SHN")</f>
        <v>2</v>
      </c>
      <c r="R87" s="15"/>
      <c r="S87" s="13"/>
      <c r="T87" s="15"/>
      <c r="U87" s="15"/>
      <c r="V87" s="16"/>
      <c r="W87" s="11"/>
      <c r="X87" s="17"/>
      <c r="Y87" s="2"/>
      <c r="AE87" s="14">
        <f>COUNTIF(AE86,"kt")</f>
        <v>0</v>
      </c>
    </row>
    <row r="88" spans="1:32" s="10" customFormat="1" ht="31.5" x14ac:dyDescent="0.25">
      <c r="A88" s="3">
        <v>75</v>
      </c>
      <c r="B88" s="5" t="s">
        <v>36</v>
      </c>
      <c r="C88" s="5" t="s">
        <v>2598</v>
      </c>
      <c r="D88" s="4" t="s">
        <v>2599</v>
      </c>
      <c r="E88" s="6">
        <v>10</v>
      </c>
      <c r="F88" s="6" t="s">
        <v>2600</v>
      </c>
      <c r="G88" s="6" t="s">
        <v>2601</v>
      </c>
      <c r="H88" s="6" t="s">
        <v>2602</v>
      </c>
      <c r="I88" s="7">
        <v>45826</v>
      </c>
      <c r="J88" s="7"/>
      <c r="K88" s="3"/>
      <c r="L88" s="3"/>
      <c r="M88" s="3" t="s">
        <v>1</v>
      </c>
      <c r="N88" s="3"/>
      <c r="O88" s="3"/>
      <c r="P88" s="3"/>
      <c r="Q88" s="3"/>
      <c r="R88" s="15" t="s">
        <v>101</v>
      </c>
      <c r="S88" s="6"/>
      <c r="T88" s="6"/>
      <c r="U88" s="6"/>
      <c r="V88" s="6"/>
      <c r="W88" s="11"/>
      <c r="X88" s="6"/>
      <c r="Y88" s="6"/>
      <c r="Z88" s="6"/>
      <c r="AA88" s="6"/>
      <c r="AB88" s="8"/>
      <c r="AC88" s="8"/>
      <c r="AD88" s="6"/>
      <c r="AE88" s="6"/>
      <c r="AF88" s="9"/>
    </row>
    <row r="89" spans="1:32" ht="16.5" x14ac:dyDescent="0.25">
      <c r="A89" s="12"/>
      <c r="B89" s="73" t="s">
        <v>2655</v>
      </c>
      <c r="C89" s="74"/>
      <c r="D89" s="74"/>
      <c r="E89" s="74"/>
      <c r="F89" s="74"/>
      <c r="G89" s="74"/>
      <c r="H89" s="75"/>
      <c r="I89" s="13"/>
      <c r="J89" s="13"/>
      <c r="K89" s="14">
        <f>COUNTIF(K85:K88,"IG")+COUNTIF(K87:K88,"IG")+COUNTIF(K87:K88,"CQ")</f>
        <v>0</v>
      </c>
      <c r="L89" s="14">
        <f ca="1">COUNTIF(L87:L89,"CMĐ")</f>
        <v>0</v>
      </c>
      <c r="M89" s="14">
        <f>COUNTIF(M87:M88,"XMDT")+COUNTIF(M85:M88,"Mốc")</f>
        <v>1</v>
      </c>
      <c r="N89" s="14">
        <f>COUNTIF(N87:N88,"THÁn")</f>
        <v>0</v>
      </c>
      <c r="O89" s="14">
        <f>COUNTIF(O86:O88,"TÒA")</f>
        <v>0</v>
      </c>
      <c r="P89" s="14">
        <f>COUNTIF(P78:P88,"Cấp GCN")</f>
        <v>0</v>
      </c>
      <c r="Q89" s="14">
        <f>COUNTIF(Q87:Q88,"SHN")</f>
        <v>0</v>
      </c>
      <c r="R89" s="15"/>
      <c r="S89" s="13"/>
      <c r="T89" s="15"/>
      <c r="U89" s="15"/>
      <c r="V89" s="16"/>
      <c r="W89" s="11"/>
      <c r="X89" s="17"/>
      <c r="Y89" s="2"/>
      <c r="AE89" s="14">
        <f>COUNTIF(AE88,"kt")</f>
        <v>0</v>
      </c>
    </row>
    <row r="90" spans="1:32" s="10" customFormat="1" ht="16.5" x14ac:dyDescent="0.25">
      <c r="A90" s="3">
        <v>76</v>
      </c>
      <c r="B90" s="5" t="s">
        <v>36</v>
      </c>
      <c r="C90" s="5" t="s">
        <v>2665</v>
      </c>
      <c r="D90" s="4" t="s">
        <v>2666</v>
      </c>
      <c r="E90" s="6">
        <v>17</v>
      </c>
      <c r="F90" s="6">
        <v>169</v>
      </c>
      <c r="G90" s="6">
        <v>1194.0999999999999</v>
      </c>
      <c r="H90" s="6" t="s">
        <v>55</v>
      </c>
      <c r="I90" s="7">
        <v>45832</v>
      </c>
      <c r="J90" s="7"/>
      <c r="K90" s="3" t="s">
        <v>153</v>
      </c>
      <c r="L90" s="3"/>
      <c r="M90" s="3"/>
      <c r="N90" s="3"/>
      <c r="O90" s="3"/>
      <c r="P90" s="3"/>
      <c r="Q90" s="3"/>
      <c r="R90" s="15" t="s">
        <v>101</v>
      </c>
      <c r="S90" s="6"/>
      <c r="T90" s="6"/>
      <c r="U90" s="6"/>
      <c r="V90" s="6"/>
      <c r="W90" s="11"/>
      <c r="X90" s="6"/>
      <c r="Y90" s="6"/>
      <c r="Z90" s="6"/>
      <c r="AA90" s="6"/>
      <c r="AB90" s="8"/>
      <c r="AC90" s="8"/>
      <c r="AD90" s="6"/>
      <c r="AE90" s="6"/>
      <c r="AF90" s="9" t="s">
        <v>2667</v>
      </c>
    </row>
    <row r="91" spans="1:32" s="10" customFormat="1" ht="16.5" x14ac:dyDescent="0.25">
      <c r="A91" s="3">
        <v>77</v>
      </c>
      <c r="B91" s="5" t="s">
        <v>36</v>
      </c>
      <c r="C91" s="5" t="s">
        <v>2688</v>
      </c>
      <c r="D91" s="4" t="s">
        <v>2689</v>
      </c>
      <c r="E91" s="6">
        <v>26</v>
      </c>
      <c r="F91" s="6">
        <v>20</v>
      </c>
      <c r="G91" s="6">
        <v>2583.1999999999998</v>
      </c>
      <c r="H91" s="6" t="s">
        <v>51</v>
      </c>
      <c r="I91" s="7">
        <v>45832</v>
      </c>
      <c r="J91" s="7"/>
      <c r="K91" s="3" t="s">
        <v>153</v>
      </c>
      <c r="L91" s="3"/>
      <c r="M91" s="3"/>
      <c r="N91" s="3"/>
      <c r="O91" s="3"/>
      <c r="P91" s="3"/>
      <c r="Q91" s="3"/>
      <c r="R91" s="15" t="s">
        <v>101</v>
      </c>
      <c r="S91" s="6"/>
      <c r="T91" s="6"/>
      <c r="U91" s="6"/>
      <c r="V91" s="6"/>
      <c r="W91" s="11"/>
      <c r="X91" s="6"/>
      <c r="Y91" s="6"/>
      <c r="Z91" s="6"/>
      <c r="AA91" s="6"/>
      <c r="AB91" s="8"/>
      <c r="AC91" s="8"/>
      <c r="AD91" s="6"/>
      <c r="AE91" s="6"/>
      <c r="AF91" s="9"/>
    </row>
    <row r="92" spans="1:32" s="10" customFormat="1" ht="47.25" x14ac:dyDescent="0.25">
      <c r="A92" s="3">
        <v>78</v>
      </c>
      <c r="B92" s="5" t="s">
        <v>36</v>
      </c>
      <c r="C92" s="5" t="s">
        <v>2728</v>
      </c>
      <c r="D92" s="4" t="s">
        <v>2729</v>
      </c>
      <c r="E92" s="6">
        <v>5</v>
      </c>
      <c r="F92" s="6">
        <v>10</v>
      </c>
      <c r="G92" s="6"/>
      <c r="H92" s="6"/>
      <c r="I92" s="7">
        <v>45803</v>
      </c>
      <c r="J92" s="7"/>
      <c r="K92" s="3"/>
      <c r="L92" s="3"/>
      <c r="M92" s="3" t="s">
        <v>1</v>
      </c>
      <c r="N92" s="3"/>
      <c r="O92" s="3"/>
      <c r="P92" s="3"/>
      <c r="Q92" s="3"/>
      <c r="R92" s="15" t="s">
        <v>101</v>
      </c>
      <c r="S92" s="6"/>
      <c r="T92" s="6"/>
      <c r="U92" s="6"/>
      <c r="V92" s="6"/>
      <c r="W92" s="11"/>
      <c r="X92" s="6"/>
      <c r="Y92" s="6"/>
      <c r="Z92" s="6"/>
      <c r="AA92" s="6"/>
      <c r="AB92" s="8"/>
      <c r="AC92" s="8"/>
      <c r="AD92" s="6"/>
      <c r="AE92" s="6"/>
      <c r="AF92" s="9"/>
    </row>
    <row r="93" spans="1:32" s="10" customFormat="1" ht="16.5" x14ac:dyDescent="0.25">
      <c r="A93" s="3"/>
      <c r="B93" s="5"/>
      <c r="C93" s="5"/>
      <c r="D93" s="4"/>
      <c r="E93" s="6"/>
      <c r="F93" s="6"/>
      <c r="G93" s="6"/>
      <c r="H93" s="6"/>
      <c r="I93" s="7"/>
      <c r="J93" s="7"/>
      <c r="K93" s="3"/>
      <c r="L93" s="3"/>
      <c r="M93" s="3"/>
      <c r="N93" s="3"/>
      <c r="O93" s="3"/>
      <c r="P93" s="3"/>
      <c r="Q93" s="3"/>
      <c r="R93" s="15"/>
      <c r="S93" s="6"/>
      <c r="T93" s="6"/>
      <c r="U93" s="6"/>
      <c r="V93" s="6"/>
      <c r="W93" s="11"/>
      <c r="X93" s="6"/>
      <c r="Y93" s="6"/>
      <c r="Z93" s="6"/>
      <c r="AA93" s="6"/>
      <c r="AB93" s="8"/>
      <c r="AC93" s="8"/>
      <c r="AD93" s="6"/>
      <c r="AE93" s="6"/>
      <c r="AF93" s="9"/>
    </row>
    <row r="94" spans="1:32" s="10" customFormat="1" ht="16.5" x14ac:dyDescent="0.25">
      <c r="A94" s="3">
        <v>79</v>
      </c>
      <c r="B94" s="5" t="s">
        <v>36</v>
      </c>
      <c r="C94" s="5" t="s">
        <v>2742</v>
      </c>
      <c r="D94" s="4" t="s">
        <v>2743</v>
      </c>
      <c r="E94" s="6">
        <v>29</v>
      </c>
      <c r="F94" s="6">
        <v>111</v>
      </c>
      <c r="G94" s="6">
        <v>1814.8</v>
      </c>
      <c r="H94" s="6" t="s">
        <v>586</v>
      </c>
      <c r="I94" s="7">
        <v>45838</v>
      </c>
      <c r="J94" s="7"/>
      <c r="K94" s="3"/>
      <c r="L94" s="3" t="s">
        <v>62</v>
      </c>
      <c r="M94" s="3"/>
      <c r="N94" s="3"/>
      <c r="O94" s="3"/>
      <c r="P94" s="3"/>
      <c r="Q94" s="3"/>
      <c r="R94" s="15" t="s">
        <v>101</v>
      </c>
      <c r="S94" s="6"/>
      <c r="T94" s="6"/>
      <c r="U94" s="6"/>
      <c r="V94" s="6"/>
      <c r="W94" s="11"/>
      <c r="X94" s="6"/>
      <c r="Y94" s="6"/>
      <c r="Z94" s="6"/>
      <c r="AA94" s="6"/>
      <c r="AB94" s="8"/>
      <c r="AC94" s="8"/>
      <c r="AD94" s="6"/>
      <c r="AE94" s="6"/>
      <c r="AF94" s="9"/>
    </row>
    <row r="95" spans="1:32" s="10" customFormat="1" ht="16.5" x14ac:dyDescent="0.25">
      <c r="A95" s="3">
        <v>80</v>
      </c>
      <c r="B95" s="5" t="s">
        <v>36</v>
      </c>
      <c r="C95" s="5"/>
      <c r="D95" s="4"/>
      <c r="E95" s="6"/>
      <c r="F95" s="6"/>
      <c r="G95" s="6"/>
      <c r="H95" s="6"/>
      <c r="I95" s="7"/>
      <c r="J95" s="7"/>
      <c r="K95" s="3"/>
      <c r="L95" s="3"/>
      <c r="M95" s="3"/>
      <c r="N95" s="3"/>
      <c r="O95" s="3"/>
      <c r="P95" s="3"/>
      <c r="Q95" s="3"/>
      <c r="R95" s="15"/>
      <c r="S95" s="6"/>
      <c r="T95" s="6"/>
      <c r="U95" s="6"/>
      <c r="V95" s="6"/>
      <c r="W95" s="11"/>
      <c r="X95" s="6"/>
      <c r="Y95" s="6"/>
      <c r="Z95" s="6"/>
      <c r="AA95" s="6"/>
      <c r="AB95" s="8"/>
      <c r="AC95" s="8"/>
      <c r="AD95" s="6"/>
      <c r="AE95" s="6"/>
      <c r="AF95" s="9"/>
    </row>
    <row r="96" spans="1:32" s="10" customFormat="1" ht="16.5" x14ac:dyDescent="0.25">
      <c r="A96" s="3">
        <v>81</v>
      </c>
      <c r="B96" s="5" t="s">
        <v>36</v>
      </c>
      <c r="C96" s="5"/>
      <c r="D96" s="4"/>
      <c r="E96" s="6"/>
      <c r="F96" s="6"/>
      <c r="G96" s="6"/>
      <c r="H96" s="6"/>
      <c r="I96" s="7"/>
      <c r="J96" s="7"/>
      <c r="K96" s="3"/>
      <c r="L96" s="3"/>
      <c r="M96" s="3"/>
      <c r="N96" s="3"/>
      <c r="O96" s="3"/>
      <c r="P96" s="3"/>
      <c r="Q96" s="3"/>
      <c r="R96" s="15"/>
      <c r="S96" s="6"/>
      <c r="T96" s="6"/>
      <c r="U96" s="6"/>
      <c r="V96" s="6"/>
      <c r="W96" s="11"/>
      <c r="X96" s="6"/>
      <c r="Y96" s="6"/>
      <c r="Z96" s="6"/>
      <c r="AA96" s="6"/>
      <c r="AB96" s="8"/>
      <c r="AC96" s="8"/>
      <c r="AD96" s="6"/>
      <c r="AE96" s="6"/>
      <c r="AF96" s="9"/>
    </row>
    <row r="97" spans="1:32" s="10" customFormat="1" ht="16.5" x14ac:dyDescent="0.25">
      <c r="A97" s="3">
        <v>82</v>
      </c>
      <c r="B97" s="5" t="s">
        <v>36</v>
      </c>
      <c r="C97" s="5"/>
      <c r="D97" s="4"/>
      <c r="E97" s="6"/>
      <c r="F97" s="6"/>
      <c r="G97" s="6"/>
      <c r="H97" s="6"/>
      <c r="I97" s="7"/>
      <c r="J97" s="7"/>
      <c r="K97" s="3"/>
      <c r="L97" s="3"/>
      <c r="M97" s="3"/>
      <c r="N97" s="3"/>
      <c r="O97" s="3"/>
      <c r="P97" s="3"/>
      <c r="Q97" s="3"/>
      <c r="R97" s="15"/>
      <c r="S97" s="6"/>
      <c r="T97" s="6"/>
      <c r="U97" s="6"/>
      <c r="V97" s="6"/>
      <c r="W97" s="11"/>
      <c r="X97" s="6"/>
      <c r="Y97" s="6"/>
      <c r="Z97" s="6"/>
      <c r="AA97" s="6"/>
      <c r="AB97" s="8"/>
      <c r="AC97" s="8"/>
      <c r="AD97" s="6"/>
      <c r="AE97" s="6"/>
      <c r="AF97" s="9"/>
    </row>
    <row r="98" spans="1:32" s="10" customFormat="1" ht="16.5" x14ac:dyDescent="0.25">
      <c r="A98" s="3">
        <v>83</v>
      </c>
      <c r="B98" s="5" t="s">
        <v>36</v>
      </c>
      <c r="C98" s="5"/>
      <c r="D98" s="4"/>
      <c r="E98" s="6"/>
      <c r="F98" s="6"/>
      <c r="G98" s="6"/>
      <c r="H98" s="6"/>
      <c r="I98" s="7"/>
      <c r="J98" s="7"/>
      <c r="K98" s="3"/>
      <c r="L98" s="3"/>
      <c r="M98" s="3"/>
      <c r="N98" s="3"/>
      <c r="O98" s="3"/>
      <c r="P98" s="3"/>
      <c r="Q98" s="3"/>
      <c r="R98" s="15"/>
      <c r="S98" s="6"/>
      <c r="T98" s="6"/>
      <c r="U98" s="6"/>
      <c r="V98" s="6"/>
      <c r="W98" s="11"/>
      <c r="X98" s="6"/>
      <c r="Y98" s="6"/>
      <c r="Z98" s="6"/>
      <c r="AA98" s="6"/>
      <c r="AB98" s="8"/>
      <c r="AC98" s="8"/>
      <c r="AD98" s="6"/>
      <c r="AE98" s="6"/>
      <c r="AF98" s="9"/>
    </row>
    <row r="99" spans="1:32" s="10" customFormat="1" ht="16.5" x14ac:dyDescent="0.25">
      <c r="A99" s="3">
        <v>84</v>
      </c>
      <c r="B99" s="5" t="s">
        <v>36</v>
      </c>
      <c r="C99" s="5"/>
      <c r="D99" s="4"/>
      <c r="E99" s="6"/>
      <c r="F99" s="6"/>
      <c r="G99" s="6"/>
      <c r="H99" s="6"/>
      <c r="I99" s="7"/>
      <c r="J99" s="7"/>
      <c r="K99" s="3"/>
      <c r="L99" s="3"/>
      <c r="M99" s="3"/>
      <c r="N99" s="3"/>
      <c r="O99" s="3"/>
      <c r="P99" s="3"/>
      <c r="Q99" s="3"/>
      <c r="R99" s="15"/>
      <c r="S99" s="6"/>
      <c r="T99" s="6"/>
      <c r="U99" s="6"/>
      <c r="V99" s="6"/>
      <c r="W99" s="11"/>
      <c r="X99" s="6"/>
      <c r="Y99" s="6"/>
      <c r="Z99" s="6"/>
      <c r="AA99" s="6"/>
      <c r="AB99" s="8"/>
      <c r="AC99" s="8"/>
      <c r="AD99" s="6"/>
      <c r="AE99" s="6"/>
      <c r="AF99" s="9"/>
    </row>
    <row r="100" spans="1:32" s="10" customFormat="1" ht="16.5" x14ac:dyDescent="0.25">
      <c r="A100" s="3">
        <v>85</v>
      </c>
      <c r="B100" s="5" t="s">
        <v>36</v>
      </c>
      <c r="C100" s="5"/>
      <c r="D100" s="4"/>
      <c r="E100" s="6"/>
      <c r="F100" s="6"/>
      <c r="G100" s="6"/>
      <c r="H100" s="6"/>
      <c r="I100" s="7"/>
      <c r="J100" s="7"/>
      <c r="K100" s="3"/>
      <c r="L100" s="3"/>
      <c r="M100" s="3"/>
      <c r="N100" s="3"/>
      <c r="O100" s="3"/>
      <c r="P100" s="3"/>
      <c r="Q100" s="3"/>
      <c r="R100" s="15"/>
      <c r="S100" s="6"/>
      <c r="T100" s="6"/>
      <c r="U100" s="6"/>
      <c r="V100" s="6"/>
      <c r="W100" s="11"/>
      <c r="X100" s="6"/>
      <c r="Y100" s="6"/>
      <c r="Z100" s="6"/>
      <c r="AA100" s="6"/>
      <c r="AB100" s="8"/>
      <c r="AC100" s="8"/>
      <c r="AD100" s="6"/>
      <c r="AE100" s="6"/>
      <c r="AF100" s="9"/>
    </row>
    <row r="101" spans="1:32" s="10" customFormat="1" ht="16.5" x14ac:dyDescent="0.25">
      <c r="A101" s="3">
        <v>86</v>
      </c>
      <c r="B101" s="5" t="s">
        <v>36</v>
      </c>
      <c r="C101" s="5"/>
      <c r="D101" s="4"/>
      <c r="E101" s="6"/>
      <c r="F101" s="6"/>
      <c r="G101" s="6"/>
      <c r="H101" s="6"/>
      <c r="I101" s="7"/>
      <c r="J101" s="7"/>
      <c r="K101" s="3"/>
      <c r="L101" s="3"/>
      <c r="M101" s="3"/>
      <c r="N101" s="3"/>
      <c r="O101" s="3"/>
      <c r="P101" s="3"/>
      <c r="Q101" s="3"/>
      <c r="R101" s="15"/>
      <c r="S101" s="6"/>
      <c r="T101" s="6"/>
      <c r="U101" s="6"/>
      <c r="V101" s="6"/>
      <c r="W101" s="11"/>
      <c r="X101" s="6"/>
      <c r="Y101" s="6"/>
      <c r="Z101" s="6"/>
      <c r="AA101" s="6"/>
      <c r="AB101" s="8"/>
      <c r="AC101" s="8"/>
      <c r="AD101" s="6"/>
      <c r="AE101" s="6"/>
      <c r="AF101" s="9"/>
    </row>
    <row r="102" spans="1:32" s="10" customFormat="1" ht="16.5" x14ac:dyDescent="0.25">
      <c r="A102" s="3">
        <v>87</v>
      </c>
      <c r="B102" s="5" t="s">
        <v>36</v>
      </c>
      <c r="C102" s="5"/>
      <c r="D102" s="4"/>
      <c r="E102" s="6"/>
      <c r="F102" s="6"/>
      <c r="G102" s="6"/>
      <c r="H102" s="6"/>
      <c r="I102" s="7"/>
      <c r="J102" s="7"/>
      <c r="K102" s="3"/>
      <c r="L102" s="3"/>
      <c r="M102" s="3"/>
      <c r="N102" s="3"/>
      <c r="O102" s="3"/>
      <c r="P102" s="3"/>
      <c r="Q102" s="3"/>
      <c r="R102" s="15"/>
      <c r="S102" s="6"/>
      <c r="T102" s="6"/>
      <c r="U102" s="6"/>
      <c r="V102" s="6"/>
      <c r="W102" s="11"/>
      <c r="X102" s="6"/>
      <c r="Y102" s="6"/>
      <c r="Z102" s="6"/>
      <c r="AA102" s="6"/>
      <c r="AB102" s="8"/>
      <c r="AC102" s="8"/>
      <c r="AD102" s="6"/>
      <c r="AE102" s="6"/>
      <c r="AF102" s="9"/>
    </row>
    <row r="103" spans="1:32" s="10" customFormat="1" ht="16.5" x14ac:dyDescent="0.25">
      <c r="A103" s="3">
        <v>88</v>
      </c>
      <c r="B103" s="5" t="s">
        <v>36</v>
      </c>
      <c r="C103" s="5"/>
      <c r="D103" s="4"/>
      <c r="E103" s="6"/>
      <c r="F103" s="6"/>
      <c r="G103" s="6"/>
      <c r="H103" s="6"/>
      <c r="I103" s="7"/>
      <c r="J103" s="7"/>
      <c r="K103" s="3"/>
      <c r="L103" s="3"/>
      <c r="M103" s="3"/>
      <c r="N103" s="3"/>
      <c r="O103" s="3"/>
      <c r="P103" s="3"/>
      <c r="Q103" s="3"/>
      <c r="R103" s="15"/>
      <c r="S103" s="6"/>
      <c r="T103" s="6"/>
      <c r="U103" s="6"/>
      <c r="V103" s="6"/>
      <c r="W103" s="11"/>
      <c r="X103" s="6"/>
      <c r="Y103" s="6"/>
      <c r="Z103" s="6"/>
      <c r="AA103" s="6"/>
      <c r="AB103" s="8"/>
      <c r="AC103" s="8"/>
      <c r="AD103" s="6"/>
      <c r="AE103" s="6"/>
      <c r="AF103" s="9"/>
    </row>
    <row r="104" spans="1:32" s="10" customFormat="1" ht="16.5" x14ac:dyDescent="0.25">
      <c r="A104" s="3">
        <v>89</v>
      </c>
      <c r="B104" s="5" t="s">
        <v>36</v>
      </c>
      <c r="C104" s="5"/>
      <c r="D104" s="4"/>
      <c r="E104" s="6"/>
      <c r="F104" s="6"/>
      <c r="G104" s="6"/>
      <c r="H104" s="6"/>
      <c r="I104" s="7"/>
      <c r="J104" s="7"/>
      <c r="K104" s="3"/>
      <c r="L104" s="3"/>
      <c r="M104" s="3"/>
      <c r="N104" s="3"/>
      <c r="O104" s="3"/>
      <c r="P104" s="3"/>
      <c r="Q104" s="3"/>
      <c r="R104" s="15"/>
      <c r="S104" s="6"/>
      <c r="T104" s="6"/>
      <c r="U104" s="6"/>
      <c r="V104" s="6"/>
      <c r="W104" s="11"/>
      <c r="X104" s="6"/>
      <c r="Y104" s="6"/>
      <c r="Z104" s="6"/>
      <c r="AA104" s="6"/>
      <c r="AB104" s="8"/>
      <c r="AC104" s="8"/>
      <c r="AD104" s="6"/>
      <c r="AE104" s="6"/>
      <c r="AF104" s="9"/>
    </row>
    <row r="105" spans="1:32" s="10" customFormat="1" ht="16.5" x14ac:dyDescent="0.25">
      <c r="A105" s="3">
        <v>90</v>
      </c>
      <c r="B105" s="5" t="s">
        <v>36</v>
      </c>
      <c r="C105" s="5"/>
      <c r="D105" s="4"/>
      <c r="E105" s="6"/>
      <c r="F105" s="6"/>
      <c r="G105" s="6"/>
      <c r="H105" s="6"/>
      <c r="I105" s="7"/>
      <c r="J105" s="7"/>
      <c r="K105" s="3"/>
      <c r="L105" s="3"/>
      <c r="M105" s="3"/>
      <c r="N105" s="3"/>
      <c r="O105" s="3"/>
      <c r="P105" s="3"/>
      <c r="Q105" s="3"/>
      <c r="R105" s="15"/>
      <c r="S105" s="6"/>
      <c r="T105" s="6"/>
      <c r="U105" s="6"/>
      <c r="V105" s="6"/>
      <c r="W105" s="11"/>
      <c r="X105" s="6"/>
      <c r="Y105" s="6"/>
      <c r="Z105" s="6"/>
      <c r="AA105" s="6"/>
      <c r="AB105" s="8"/>
      <c r="AC105" s="8"/>
      <c r="AD105" s="6"/>
      <c r="AE105" s="6"/>
      <c r="AF105" s="9"/>
    </row>
    <row r="106" spans="1:32" s="10" customFormat="1" ht="16.5" x14ac:dyDescent="0.25">
      <c r="A106" s="3">
        <v>91</v>
      </c>
      <c r="B106" s="5" t="s">
        <v>36</v>
      </c>
      <c r="C106" s="5"/>
      <c r="D106" s="4"/>
      <c r="E106" s="6"/>
      <c r="F106" s="6"/>
      <c r="G106" s="6"/>
      <c r="H106" s="6"/>
      <c r="I106" s="7"/>
      <c r="J106" s="7"/>
      <c r="K106" s="3"/>
      <c r="L106" s="3"/>
      <c r="M106" s="3"/>
      <c r="N106" s="3"/>
      <c r="O106" s="3"/>
      <c r="P106" s="3"/>
      <c r="Q106" s="3"/>
      <c r="R106" s="15"/>
      <c r="S106" s="6"/>
      <c r="T106" s="6"/>
      <c r="U106" s="6"/>
      <c r="V106" s="6"/>
      <c r="W106" s="11"/>
      <c r="X106" s="6"/>
      <c r="Y106" s="6"/>
      <c r="Z106" s="6"/>
      <c r="AA106" s="6"/>
      <c r="AB106" s="8"/>
      <c r="AC106" s="8"/>
      <c r="AD106" s="6"/>
      <c r="AE106" s="6"/>
      <c r="AF106" s="9"/>
    </row>
    <row r="107" spans="1:32" s="10" customFormat="1" ht="16.5" x14ac:dyDescent="0.25">
      <c r="A107" s="3">
        <v>92</v>
      </c>
      <c r="B107" s="5" t="s">
        <v>36</v>
      </c>
      <c r="C107" s="5"/>
      <c r="D107" s="4"/>
      <c r="E107" s="6"/>
      <c r="F107" s="6"/>
      <c r="G107" s="6"/>
      <c r="H107" s="6"/>
      <c r="I107" s="7"/>
      <c r="J107" s="7"/>
      <c r="K107" s="3"/>
      <c r="L107" s="3"/>
      <c r="M107" s="3"/>
      <c r="N107" s="3"/>
      <c r="O107" s="3"/>
      <c r="P107" s="3"/>
      <c r="Q107" s="3"/>
      <c r="R107" s="15"/>
      <c r="S107" s="6"/>
      <c r="T107" s="6"/>
      <c r="U107" s="6"/>
      <c r="V107" s="6"/>
      <c r="W107" s="11"/>
      <c r="X107" s="6"/>
      <c r="Y107" s="6"/>
      <c r="Z107" s="6"/>
      <c r="AA107" s="6"/>
      <c r="AB107" s="8"/>
      <c r="AC107" s="8"/>
      <c r="AD107" s="6"/>
      <c r="AE107" s="6"/>
      <c r="AF107" s="9"/>
    </row>
    <row r="108" spans="1:32" s="10" customFormat="1" ht="16.5" x14ac:dyDescent="0.25">
      <c r="A108" s="3">
        <v>93</v>
      </c>
      <c r="B108" s="5" t="s">
        <v>36</v>
      </c>
      <c r="C108" s="5"/>
      <c r="D108" s="4"/>
      <c r="E108" s="6"/>
      <c r="F108" s="6"/>
      <c r="G108" s="6"/>
      <c r="H108" s="6"/>
      <c r="I108" s="7"/>
      <c r="J108" s="7"/>
      <c r="K108" s="3"/>
      <c r="L108" s="3"/>
      <c r="M108" s="3"/>
      <c r="N108" s="3"/>
      <c r="O108" s="3"/>
      <c r="P108" s="3"/>
      <c r="Q108" s="3"/>
      <c r="R108" s="15"/>
      <c r="S108" s="6"/>
      <c r="T108" s="6"/>
      <c r="U108" s="6"/>
      <c r="V108" s="6"/>
      <c r="W108" s="11"/>
      <c r="X108" s="6"/>
      <c r="Y108" s="6"/>
      <c r="Z108" s="6"/>
      <c r="AA108" s="6"/>
      <c r="AB108" s="8"/>
      <c r="AC108" s="8"/>
      <c r="AD108" s="6"/>
      <c r="AE108" s="6"/>
      <c r="AF108" s="9"/>
    </row>
    <row r="109" spans="1:32" s="10" customFormat="1" ht="16.5" x14ac:dyDescent="0.25">
      <c r="A109" s="3">
        <v>94</v>
      </c>
      <c r="B109" s="5" t="s">
        <v>36</v>
      </c>
      <c r="C109" s="5"/>
      <c r="D109" s="4"/>
      <c r="E109" s="6"/>
      <c r="F109" s="6"/>
      <c r="G109" s="6"/>
      <c r="H109" s="6"/>
      <c r="I109" s="7"/>
      <c r="J109" s="7"/>
      <c r="K109" s="3"/>
      <c r="L109" s="3"/>
      <c r="M109" s="3"/>
      <c r="N109" s="3"/>
      <c r="O109" s="3"/>
      <c r="P109" s="3"/>
      <c r="Q109" s="3"/>
      <c r="R109" s="15"/>
      <c r="S109" s="6"/>
      <c r="T109" s="6"/>
      <c r="U109" s="6"/>
      <c r="V109" s="6"/>
      <c r="W109" s="11"/>
      <c r="X109" s="6"/>
      <c r="Y109" s="6"/>
      <c r="Z109" s="6"/>
      <c r="AA109" s="6"/>
      <c r="AB109" s="8"/>
      <c r="AC109" s="8"/>
      <c r="AD109" s="6"/>
      <c r="AE109" s="6"/>
      <c r="AF109" s="9"/>
    </row>
    <row r="110" spans="1:32" s="10" customFormat="1" ht="16.5" x14ac:dyDescent="0.25">
      <c r="A110" s="3">
        <v>95</v>
      </c>
      <c r="B110" s="5" t="s">
        <v>36</v>
      </c>
      <c r="C110" s="5"/>
      <c r="D110" s="4"/>
      <c r="E110" s="6"/>
      <c r="F110" s="6"/>
      <c r="G110" s="6"/>
      <c r="H110" s="6"/>
      <c r="I110" s="7"/>
      <c r="J110" s="7"/>
      <c r="K110" s="3"/>
      <c r="L110" s="3"/>
      <c r="M110" s="3"/>
      <c r="N110" s="3"/>
      <c r="O110" s="3"/>
      <c r="P110" s="3"/>
      <c r="Q110" s="3"/>
      <c r="R110" s="15"/>
      <c r="S110" s="6"/>
      <c r="T110" s="6"/>
      <c r="U110" s="6"/>
      <c r="V110" s="6"/>
      <c r="W110" s="11"/>
      <c r="X110" s="6"/>
      <c r="Y110" s="6"/>
      <c r="Z110" s="6"/>
      <c r="AA110" s="6"/>
      <c r="AB110" s="8"/>
      <c r="AC110" s="8"/>
      <c r="AD110" s="6"/>
      <c r="AE110" s="6"/>
      <c r="AF110" s="9"/>
    </row>
    <row r="111" spans="1:32" s="10" customFormat="1" ht="16.5" x14ac:dyDescent="0.25">
      <c r="A111" s="3">
        <v>96</v>
      </c>
      <c r="B111" s="5" t="s">
        <v>36</v>
      </c>
      <c r="C111" s="5"/>
      <c r="D111" s="4"/>
      <c r="E111" s="6"/>
      <c r="F111" s="6"/>
      <c r="G111" s="6"/>
      <c r="H111" s="6"/>
      <c r="I111" s="7"/>
      <c r="J111" s="7"/>
      <c r="K111" s="3"/>
      <c r="L111" s="3"/>
      <c r="M111" s="3"/>
      <c r="N111" s="3"/>
      <c r="O111" s="3"/>
      <c r="P111" s="3"/>
      <c r="Q111" s="3"/>
      <c r="R111" s="15"/>
      <c r="S111" s="6"/>
      <c r="T111" s="6"/>
      <c r="U111" s="6"/>
      <c r="V111" s="6"/>
      <c r="W111" s="11"/>
      <c r="X111" s="6"/>
      <c r="Y111" s="6"/>
      <c r="Z111" s="6"/>
      <c r="AA111" s="6"/>
      <c r="AB111" s="8"/>
      <c r="AC111" s="8"/>
      <c r="AD111" s="6"/>
      <c r="AE111" s="6"/>
      <c r="AF111" s="9"/>
    </row>
    <row r="112" spans="1:32" s="10" customFormat="1" ht="16.5" x14ac:dyDescent="0.25">
      <c r="A112" s="3">
        <v>97</v>
      </c>
      <c r="B112" s="5" t="s">
        <v>36</v>
      </c>
      <c r="C112" s="5"/>
      <c r="D112" s="4"/>
      <c r="E112" s="6"/>
      <c r="F112" s="6"/>
      <c r="G112" s="6"/>
      <c r="H112" s="6"/>
      <c r="I112" s="7"/>
      <c r="J112" s="7"/>
      <c r="K112" s="3"/>
      <c r="L112" s="3"/>
      <c r="M112" s="3"/>
      <c r="N112" s="3"/>
      <c r="O112" s="3"/>
      <c r="P112" s="3"/>
      <c r="Q112" s="3"/>
      <c r="R112" s="15"/>
      <c r="S112" s="6"/>
      <c r="T112" s="6"/>
      <c r="U112" s="6"/>
      <c r="V112" s="6"/>
      <c r="W112" s="11"/>
      <c r="X112" s="6"/>
      <c r="Y112" s="6"/>
      <c r="Z112" s="6"/>
      <c r="AA112" s="6"/>
      <c r="AB112" s="8"/>
      <c r="AC112" s="8"/>
      <c r="AD112" s="6"/>
      <c r="AE112" s="6"/>
      <c r="AF112" s="9"/>
    </row>
    <row r="113" spans="1:32" s="10" customFormat="1" ht="16.5" x14ac:dyDescent="0.25">
      <c r="A113" s="3">
        <v>98</v>
      </c>
      <c r="B113" s="5" t="s">
        <v>36</v>
      </c>
      <c r="C113" s="5"/>
      <c r="D113" s="4"/>
      <c r="E113" s="6"/>
      <c r="F113" s="6"/>
      <c r="G113" s="6"/>
      <c r="H113" s="6"/>
      <c r="I113" s="7"/>
      <c r="J113" s="7"/>
      <c r="K113" s="3"/>
      <c r="L113" s="3"/>
      <c r="M113" s="3"/>
      <c r="N113" s="3"/>
      <c r="O113" s="3"/>
      <c r="P113" s="3"/>
      <c r="Q113" s="3"/>
      <c r="R113" s="15"/>
      <c r="S113" s="6"/>
      <c r="T113" s="6"/>
      <c r="U113" s="6"/>
      <c r="V113" s="6"/>
      <c r="W113" s="11"/>
      <c r="X113" s="6"/>
      <c r="Y113" s="6"/>
      <c r="Z113" s="6"/>
      <c r="AA113" s="6"/>
      <c r="AB113" s="8"/>
      <c r="AC113" s="8"/>
      <c r="AD113" s="6"/>
      <c r="AE113" s="6"/>
      <c r="AF113" s="9"/>
    </row>
    <row r="114" spans="1:32" s="10" customFormat="1" ht="16.5" x14ac:dyDescent="0.25">
      <c r="A114" s="3">
        <v>99</v>
      </c>
      <c r="B114" s="5" t="s">
        <v>36</v>
      </c>
      <c r="C114" s="5"/>
      <c r="D114" s="4"/>
      <c r="E114" s="6"/>
      <c r="F114" s="6"/>
      <c r="G114" s="6"/>
      <c r="H114" s="6"/>
      <c r="I114" s="7"/>
      <c r="J114" s="7"/>
      <c r="K114" s="3"/>
      <c r="L114" s="3"/>
      <c r="M114" s="3"/>
      <c r="N114" s="3"/>
      <c r="O114" s="3"/>
      <c r="P114" s="3"/>
      <c r="Q114" s="3"/>
      <c r="R114" s="15"/>
      <c r="S114" s="6"/>
      <c r="T114" s="6"/>
      <c r="U114" s="6"/>
      <c r="V114" s="6"/>
      <c r="W114" s="11"/>
      <c r="X114" s="6"/>
      <c r="Y114" s="6"/>
      <c r="Z114" s="6"/>
      <c r="AA114" s="6"/>
      <c r="AB114" s="8"/>
      <c r="AC114" s="8"/>
      <c r="AD114" s="6"/>
      <c r="AE114" s="6"/>
      <c r="AF114" s="9"/>
    </row>
    <row r="115" spans="1:32" s="10" customFormat="1" ht="16.5" x14ac:dyDescent="0.25">
      <c r="A115" s="3">
        <v>100</v>
      </c>
      <c r="B115" s="5" t="s">
        <v>36</v>
      </c>
      <c r="C115" s="5"/>
      <c r="D115" s="4"/>
      <c r="E115" s="6"/>
      <c r="F115" s="6"/>
      <c r="G115" s="6"/>
      <c r="H115" s="6"/>
      <c r="I115" s="7"/>
      <c r="J115" s="7"/>
      <c r="K115" s="3"/>
      <c r="L115" s="3"/>
      <c r="M115" s="3"/>
      <c r="N115" s="3"/>
      <c r="O115" s="3"/>
      <c r="P115" s="3"/>
      <c r="Q115" s="3"/>
      <c r="R115" s="15"/>
      <c r="S115" s="6"/>
      <c r="T115" s="6"/>
      <c r="U115" s="6"/>
      <c r="V115" s="6"/>
      <c r="W115" s="11"/>
      <c r="X115" s="6"/>
      <c r="Y115" s="6"/>
      <c r="Z115" s="6"/>
      <c r="AA115" s="6"/>
      <c r="AB115" s="8"/>
      <c r="AC115" s="8"/>
      <c r="AD115" s="6"/>
      <c r="AE115" s="6"/>
      <c r="AF115" s="9"/>
    </row>
    <row r="116" spans="1:32" s="10" customFormat="1" ht="16.5" x14ac:dyDescent="0.25">
      <c r="A116" s="3">
        <v>101</v>
      </c>
      <c r="B116" s="5" t="s">
        <v>36</v>
      </c>
      <c r="C116" s="5"/>
      <c r="D116" s="4"/>
      <c r="E116" s="6"/>
      <c r="F116" s="6"/>
      <c r="G116" s="6"/>
      <c r="H116" s="6"/>
      <c r="I116" s="7"/>
      <c r="J116" s="7"/>
      <c r="K116" s="3"/>
      <c r="L116" s="3"/>
      <c r="M116" s="3"/>
      <c r="N116" s="3"/>
      <c r="O116" s="3"/>
      <c r="P116" s="3"/>
      <c r="Q116" s="3"/>
      <c r="R116" s="15"/>
      <c r="S116" s="6"/>
      <c r="T116" s="6"/>
      <c r="U116" s="6"/>
      <c r="V116" s="6"/>
      <c r="W116" s="11"/>
      <c r="X116" s="6"/>
      <c r="Y116" s="6"/>
      <c r="Z116" s="6"/>
      <c r="AA116" s="6"/>
      <c r="AB116" s="8"/>
      <c r="AC116" s="8"/>
      <c r="AD116" s="6"/>
      <c r="AE116" s="6"/>
      <c r="AF116" s="9"/>
    </row>
    <row r="117" spans="1:32" s="10" customFormat="1" ht="16.5" x14ac:dyDescent="0.25">
      <c r="A117" s="3">
        <v>102</v>
      </c>
      <c r="B117" s="5" t="s">
        <v>36</v>
      </c>
      <c r="C117" s="5"/>
      <c r="D117" s="4"/>
      <c r="E117" s="6"/>
      <c r="F117" s="6"/>
      <c r="G117" s="6"/>
      <c r="H117" s="6"/>
      <c r="I117" s="7"/>
      <c r="J117" s="7"/>
      <c r="K117" s="3"/>
      <c r="L117" s="3"/>
      <c r="M117" s="3"/>
      <c r="N117" s="3"/>
      <c r="O117" s="3"/>
      <c r="P117" s="3"/>
      <c r="Q117" s="3"/>
      <c r="R117" s="15"/>
      <c r="S117" s="6"/>
      <c r="T117" s="6"/>
      <c r="U117" s="6"/>
      <c r="V117" s="6"/>
      <c r="W117" s="11"/>
      <c r="X117" s="6"/>
      <c r="Y117" s="6"/>
      <c r="Z117" s="6"/>
      <c r="AA117" s="6"/>
      <c r="AB117" s="8"/>
      <c r="AC117" s="8"/>
      <c r="AD117" s="6"/>
      <c r="AE117" s="6"/>
      <c r="AF117" s="9"/>
    </row>
    <row r="118" spans="1:32" s="10" customFormat="1" ht="16.5" x14ac:dyDescent="0.25">
      <c r="A118" s="3">
        <v>103</v>
      </c>
      <c r="B118" s="5" t="s">
        <v>36</v>
      </c>
      <c r="C118" s="5"/>
      <c r="D118" s="4"/>
      <c r="E118" s="6"/>
      <c r="F118" s="6"/>
      <c r="G118" s="6"/>
      <c r="H118" s="6"/>
      <c r="I118" s="7"/>
      <c r="J118" s="7"/>
      <c r="K118" s="3"/>
      <c r="L118" s="3"/>
      <c r="M118" s="3"/>
      <c r="N118" s="3"/>
      <c r="O118" s="3"/>
      <c r="P118" s="3"/>
      <c r="Q118" s="3"/>
      <c r="R118" s="15"/>
      <c r="S118" s="6"/>
      <c r="T118" s="6"/>
      <c r="U118" s="6"/>
      <c r="V118" s="6"/>
      <c r="W118" s="11"/>
      <c r="X118" s="6"/>
      <c r="Y118" s="6"/>
      <c r="Z118" s="6"/>
      <c r="AA118" s="6"/>
      <c r="AB118" s="8"/>
      <c r="AC118" s="8"/>
      <c r="AD118" s="6"/>
      <c r="AE118" s="6"/>
      <c r="AF118" s="9"/>
    </row>
    <row r="119" spans="1:32" s="10" customFormat="1" ht="16.5" x14ac:dyDescent="0.25">
      <c r="A119" s="3">
        <v>104</v>
      </c>
      <c r="B119" s="5" t="s">
        <v>36</v>
      </c>
      <c r="C119" s="5"/>
      <c r="D119" s="4"/>
      <c r="E119" s="6"/>
      <c r="F119" s="6"/>
      <c r="G119" s="6"/>
      <c r="H119" s="6"/>
      <c r="I119" s="7"/>
      <c r="J119" s="7"/>
      <c r="K119" s="3"/>
      <c r="L119" s="3"/>
      <c r="M119" s="3"/>
      <c r="N119" s="3"/>
      <c r="O119" s="3"/>
      <c r="P119" s="3"/>
      <c r="Q119" s="3"/>
      <c r="R119" s="15"/>
      <c r="S119" s="6"/>
      <c r="T119" s="6"/>
      <c r="U119" s="6"/>
      <c r="V119" s="6"/>
      <c r="W119" s="11"/>
      <c r="X119" s="6"/>
      <c r="Y119" s="6"/>
      <c r="Z119" s="6"/>
      <c r="AA119" s="6"/>
      <c r="AB119" s="8"/>
      <c r="AC119" s="8"/>
      <c r="AD119" s="6"/>
      <c r="AE119" s="6"/>
      <c r="AF119" s="9"/>
    </row>
    <row r="120" spans="1:32" s="10" customFormat="1" ht="16.5" x14ac:dyDescent="0.25">
      <c r="A120" s="3">
        <v>105</v>
      </c>
      <c r="B120" s="5" t="s">
        <v>36</v>
      </c>
      <c r="C120" s="5"/>
      <c r="D120" s="4"/>
      <c r="E120" s="6"/>
      <c r="F120" s="6"/>
      <c r="G120" s="6"/>
      <c r="H120" s="6"/>
      <c r="I120" s="7"/>
      <c r="J120" s="7"/>
      <c r="K120" s="3"/>
      <c r="L120" s="3"/>
      <c r="M120" s="3"/>
      <c r="N120" s="3"/>
      <c r="O120" s="3"/>
      <c r="P120" s="3"/>
      <c r="Q120" s="3"/>
      <c r="R120" s="15"/>
      <c r="S120" s="6"/>
      <c r="T120" s="6"/>
      <c r="U120" s="6"/>
      <c r="V120" s="6"/>
      <c r="W120" s="11"/>
      <c r="X120" s="6"/>
      <c r="Y120" s="6"/>
      <c r="Z120" s="6"/>
      <c r="AA120" s="6"/>
      <c r="AB120" s="8"/>
      <c r="AC120" s="8"/>
      <c r="AD120" s="6"/>
      <c r="AE120" s="6"/>
      <c r="AF120" s="9"/>
    </row>
    <row r="121" spans="1:32" s="10" customFormat="1" ht="16.5" x14ac:dyDescent="0.25">
      <c r="A121" s="3">
        <v>106</v>
      </c>
      <c r="B121" s="5" t="s">
        <v>36</v>
      </c>
      <c r="C121" s="5"/>
      <c r="D121" s="4"/>
      <c r="E121" s="6"/>
      <c r="F121" s="6"/>
      <c r="G121" s="6"/>
      <c r="H121" s="6"/>
      <c r="I121" s="7"/>
      <c r="J121" s="7"/>
      <c r="K121" s="3"/>
      <c r="L121" s="3"/>
      <c r="M121" s="3"/>
      <c r="N121" s="3"/>
      <c r="O121" s="3"/>
      <c r="P121" s="3"/>
      <c r="Q121" s="3"/>
      <c r="R121" s="15"/>
      <c r="S121" s="6"/>
      <c r="T121" s="6"/>
      <c r="U121" s="6"/>
      <c r="V121" s="6"/>
      <c r="W121" s="11"/>
      <c r="X121" s="6"/>
      <c r="Y121" s="6"/>
      <c r="Z121" s="6"/>
      <c r="AA121" s="6"/>
      <c r="AB121" s="8"/>
      <c r="AC121" s="8"/>
      <c r="AD121" s="6"/>
      <c r="AE121" s="6"/>
      <c r="AF121" s="9"/>
    </row>
    <row r="122" spans="1:32" s="10" customFormat="1" ht="16.5" x14ac:dyDescent="0.25">
      <c r="A122" s="3">
        <v>107</v>
      </c>
      <c r="B122" s="5" t="s">
        <v>36</v>
      </c>
      <c r="C122" s="5"/>
      <c r="D122" s="4"/>
      <c r="E122" s="6"/>
      <c r="F122" s="6"/>
      <c r="G122" s="6"/>
      <c r="H122" s="6"/>
      <c r="I122" s="7"/>
      <c r="J122" s="7"/>
      <c r="K122" s="3"/>
      <c r="L122" s="3"/>
      <c r="M122" s="3"/>
      <c r="N122" s="3"/>
      <c r="O122" s="3"/>
      <c r="P122" s="3"/>
      <c r="Q122" s="3"/>
      <c r="R122" s="15"/>
      <c r="S122" s="6"/>
      <c r="T122" s="6"/>
      <c r="U122" s="6"/>
      <c r="V122" s="6"/>
      <c r="W122" s="11"/>
      <c r="X122" s="6"/>
      <c r="Y122" s="6"/>
      <c r="Z122" s="6"/>
      <c r="AA122" s="6"/>
      <c r="AB122" s="8"/>
      <c r="AC122" s="8"/>
      <c r="AD122" s="6"/>
      <c r="AE122" s="6"/>
      <c r="AF122" s="9"/>
    </row>
    <row r="123" spans="1:32" s="10" customFormat="1" ht="16.5" x14ac:dyDescent="0.25">
      <c r="A123" s="3">
        <v>108</v>
      </c>
      <c r="B123" s="5" t="s">
        <v>36</v>
      </c>
      <c r="C123" s="5"/>
      <c r="D123" s="4"/>
      <c r="E123" s="6"/>
      <c r="F123" s="6"/>
      <c r="G123" s="6"/>
      <c r="H123" s="6"/>
      <c r="I123" s="7"/>
      <c r="J123" s="7"/>
      <c r="K123" s="3"/>
      <c r="L123" s="3"/>
      <c r="M123" s="3"/>
      <c r="N123" s="3"/>
      <c r="O123" s="3"/>
      <c r="P123" s="3"/>
      <c r="Q123" s="3"/>
      <c r="R123" s="15"/>
      <c r="S123" s="6"/>
      <c r="T123" s="6"/>
      <c r="U123" s="6"/>
      <c r="V123" s="6"/>
      <c r="W123" s="11"/>
      <c r="X123" s="6"/>
      <c r="Y123" s="6"/>
      <c r="Z123" s="6"/>
      <c r="AA123" s="6"/>
      <c r="AB123" s="8"/>
      <c r="AC123" s="8"/>
      <c r="AD123" s="6"/>
      <c r="AE123" s="6"/>
      <c r="AF123" s="9"/>
    </row>
    <row r="124" spans="1:32" s="10" customFormat="1" ht="16.5" x14ac:dyDescent="0.25">
      <c r="A124" s="3">
        <v>109</v>
      </c>
      <c r="B124" s="5" t="s">
        <v>36</v>
      </c>
      <c r="C124" s="5"/>
      <c r="D124" s="4"/>
      <c r="E124" s="6"/>
      <c r="F124" s="6"/>
      <c r="G124" s="6"/>
      <c r="H124" s="6"/>
      <c r="I124" s="7"/>
      <c r="J124" s="7"/>
      <c r="K124" s="3"/>
      <c r="L124" s="3"/>
      <c r="M124" s="3"/>
      <c r="N124" s="3"/>
      <c r="O124" s="3"/>
      <c r="P124" s="3"/>
      <c r="Q124" s="3"/>
      <c r="R124" s="15"/>
      <c r="S124" s="6"/>
      <c r="T124" s="6"/>
      <c r="U124" s="6"/>
      <c r="V124" s="6"/>
      <c r="W124" s="11"/>
      <c r="X124" s="6"/>
      <c r="Y124" s="6"/>
      <c r="Z124" s="6"/>
      <c r="AA124" s="6"/>
      <c r="AB124" s="8"/>
      <c r="AC124" s="8"/>
      <c r="AD124" s="6"/>
      <c r="AE124" s="6"/>
      <c r="AF124" s="9"/>
    </row>
    <row r="125" spans="1:32" s="10" customFormat="1" ht="16.5" x14ac:dyDescent="0.25">
      <c r="A125" s="3">
        <v>110</v>
      </c>
      <c r="B125" s="5" t="s">
        <v>36</v>
      </c>
      <c r="C125" s="5"/>
      <c r="D125" s="4"/>
      <c r="E125" s="6"/>
      <c r="F125" s="6"/>
      <c r="G125" s="6"/>
      <c r="H125" s="6"/>
      <c r="I125" s="7"/>
      <c r="J125" s="7"/>
      <c r="K125" s="3"/>
      <c r="L125" s="3"/>
      <c r="M125" s="3"/>
      <c r="N125" s="3"/>
      <c r="O125" s="3"/>
      <c r="P125" s="3"/>
      <c r="Q125" s="3"/>
      <c r="R125" s="15"/>
      <c r="S125" s="6"/>
      <c r="T125" s="6"/>
      <c r="U125" s="6"/>
      <c r="V125" s="6"/>
      <c r="W125" s="11"/>
      <c r="X125" s="6"/>
      <c r="Y125" s="6"/>
      <c r="Z125" s="6"/>
      <c r="AA125" s="6"/>
      <c r="AB125" s="8"/>
      <c r="AC125" s="8"/>
      <c r="AD125" s="6"/>
      <c r="AE125" s="6"/>
      <c r="AF125" s="9"/>
    </row>
    <row r="126" spans="1:32" s="10" customFormat="1" ht="16.5" x14ac:dyDescent="0.25">
      <c r="A126" s="3">
        <v>111</v>
      </c>
      <c r="B126" s="5" t="s">
        <v>36</v>
      </c>
      <c r="C126" s="5"/>
      <c r="D126" s="4"/>
      <c r="E126" s="6"/>
      <c r="F126" s="6"/>
      <c r="G126" s="6"/>
      <c r="H126" s="6"/>
      <c r="I126" s="7"/>
      <c r="J126" s="7"/>
      <c r="K126" s="3"/>
      <c r="L126" s="3"/>
      <c r="M126" s="3"/>
      <c r="N126" s="3"/>
      <c r="O126" s="3"/>
      <c r="P126" s="3"/>
      <c r="Q126" s="3"/>
      <c r="R126" s="15"/>
      <c r="S126" s="6"/>
      <c r="T126" s="6"/>
      <c r="U126" s="6"/>
      <c r="V126" s="6"/>
      <c r="W126" s="11"/>
      <c r="X126" s="6"/>
      <c r="Y126" s="6"/>
      <c r="Z126" s="6"/>
      <c r="AA126" s="6"/>
      <c r="AB126" s="8"/>
      <c r="AC126" s="8"/>
      <c r="AD126" s="6"/>
      <c r="AE126" s="6"/>
      <c r="AF126" s="9"/>
    </row>
    <row r="127" spans="1:32" s="10" customFormat="1" ht="16.5" x14ac:dyDescent="0.25">
      <c r="A127" s="3">
        <v>112</v>
      </c>
      <c r="B127" s="5" t="s">
        <v>36</v>
      </c>
      <c r="C127" s="5"/>
      <c r="D127" s="4"/>
      <c r="E127" s="6"/>
      <c r="F127" s="6"/>
      <c r="G127" s="6"/>
      <c r="H127" s="6"/>
      <c r="I127" s="7"/>
      <c r="J127" s="7"/>
      <c r="K127" s="3"/>
      <c r="L127" s="3"/>
      <c r="M127" s="3"/>
      <c r="N127" s="3"/>
      <c r="O127" s="3"/>
      <c r="P127" s="3"/>
      <c r="Q127" s="3"/>
      <c r="R127" s="15"/>
      <c r="S127" s="6"/>
      <c r="T127" s="6"/>
      <c r="U127" s="6"/>
      <c r="V127" s="6"/>
      <c r="W127" s="11"/>
      <c r="X127" s="6"/>
      <c r="Y127" s="6"/>
      <c r="Z127" s="6"/>
      <c r="AA127" s="6"/>
      <c r="AB127" s="8"/>
      <c r="AC127" s="8"/>
      <c r="AD127" s="6"/>
      <c r="AE127" s="6"/>
      <c r="AF127" s="9"/>
    </row>
    <row r="128" spans="1:32" s="10" customFormat="1" ht="16.5" x14ac:dyDescent="0.25">
      <c r="A128" s="3">
        <v>113</v>
      </c>
      <c r="B128" s="5" t="s">
        <v>36</v>
      </c>
      <c r="C128" s="5"/>
      <c r="D128" s="4"/>
      <c r="E128" s="6"/>
      <c r="F128" s="6"/>
      <c r="G128" s="6"/>
      <c r="H128" s="6"/>
      <c r="I128" s="7"/>
      <c r="J128" s="7"/>
      <c r="K128" s="3"/>
      <c r="L128" s="3"/>
      <c r="M128" s="3"/>
      <c r="N128" s="3"/>
      <c r="O128" s="3"/>
      <c r="P128" s="3"/>
      <c r="Q128" s="3"/>
      <c r="R128" s="15"/>
      <c r="S128" s="6"/>
      <c r="T128" s="6"/>
      <c r="U128" s="6"/>
      <c r="V128" s="6"/>
      <c r="W128" s="11"/>
      <c r="X128" s="6"/>
      <c r="Y128" s="6"/>
      <c r="Z128" s="6"/>
      <c r="AA128" s="6"/>
      <c r="AB128" s="8"/>
      <c r="AC128" s="8"/>
      <c r="AD128" s="6"/>
      <c r="AE128" s="6"/>
      <c r="AF128" s="9"/>
    </row>
    <row r="129" spans="1:32" s="10" customFormat="1" ht="16.5" x14ac:dyDescent="0.25">
      <c r="A129" s="3">
        <v>114</v>
      </c>
      <c r="B129" s="5" t="s">
        <v>36</v>
      </c>
      <c r="C129" s="5"/>
      <c r="D129" s="4"/>
      <c r="E129" s="6"/>
      <c r="F129" s="6"/>
      <c r="G129" s="6"/>
      <c r="H129" s="6"/>
      <c r="I129" s="7"/>
      <c r="J129" s="7"/>
      <c r="K129" s="3"/>
      <c r="L129" s="3"/>
      <c r="M129" s="3"/>
      <c r="N129" s="3"/>
      <c r="O129" s="3"/>
      <c r="P129" s="3"/>
      <c r="Q129" s="3"/>
      <c r="R129" s="15"/>
      <c r="S129" s="6"/>
      <c r="T129" s="6"/>
      <c r="U129" s="6"/>
      <c r="V129" s="6"/>
      <c r="W129" s="11"/>
      <c r="X129" s="6"/>
      <c r="Y129" s="6"/>
      <c r="Z129" s="6"/>
      <c r="AA129" s="6"/>
      <c r="AB129" s="8"/>
      <c r="AC129" s="8"/>
      <c r="AD129" s="6"/>
      <c r="AE129" s="6"/>
      <c r="AF129" s="9"/>
    </row>
    <row r="130" spans="1:32" s="10" customFormat="1" ht="16.5" x14ac:dyDescent="0.25">
      <c r="A130" s="3">
        <v>115</v>
      </c>
      <c r="B130" s="5" t="s">
        <v>36</v>
      </c>
      <c r="C130" s="5"/>
      <c r="D130" s="4"/>
      <c r="E130" s="6"/>
      <c r="F130" s="6"/>
      <c r="G130" s="6"/>
      <c r="H130" s="6"/>
      <c r="I130" s="7"/>
      <c r="J130" s="7"/>
      <c r="K130" s="3"/>
      <c r="L130" s="3"/>
      <c r="M130" s="3"/>
      <c r="N130" s="3"/>
      <c r="O130" s="3"/>
      <c r="P130" s="3"/>
      <c r="Q130" s="3"/>
      <c r="R130" s="15"/>
      <c r="S130" s="6"/>
      <c r="T130" s="6"/>
      <c r="U130" s="6"/>
      <c r="V130" s="6"/>
      <c r="W130" s="11"/>
      <c r="X130" s="6"/>
      <c r="Y130" s="6"/>
      <c r="Z130" s="6"/>
      <c r="AA130" s="6"/>
      <c r="AB130" s="8"/>
      <c r="AC130" s="8"/>
      <c r="AD130" s="6"/>
      <c r="AE130" s="6"/>
      <c r="AF130" s="9"/>
    </row>
    <row r="131" spans="1:32" s="10" customFormat="1" ht="16.5" x14ac:dyDescent="0.25">
      <c r="A131" s="3">
        <v>116</v>
      </c>
      <c r="B131" s="5" t="s">
        <v>36</v>
      </c>
      <c r="C131" s="5"/>
      <c r="D131" s="4"/>
      <c r="E131" s="6"/>
      <c r="F131" s="6"/>
      <c r="G131" s="6"/>
      <c r="H131" s="6"/>
      <c r="I131" s="7"/>
      <c r="J131" s="7"/>
      <c r="K131" s="3"/>
      <c r="L131" s="3"/>
      <c r="M131" s="3"/>
      <c r="N131" s="3"/>
      <c r="O131" s="3"/>
      <c r="P131" s="3"/>
      <c r="Q131" s="3"/>
      <c r="R131" s="15"/>
      <c r="S131" s="6"/>
      <c r="T131" s="6"/>
      <c r="U131" s="6"/>
      <c r="V131" s="6"/>
      <c r="W131" s="11"/>
      <c r="X131" s="6"/>
      <c r="Y131" s="6"/>
      <c r="Z131" s="6"/>
      <c r="AA131" s="6"/>
      <c r="AB131" s="8"/>
      <c r="AC131" s="8"/>
      <c r="AD131" s="6"/>
      <c r="AE131" s="6"/>
      <c r="AF131" s="9"/>
    </row>
    <row r="132" spans="1:32" s="10" customFormat="1" ht="16.5" x14ac:dyDescent="0.25">
      <c r="A132" s="3">
        <v>117</v>
      </c>
      <c r="B132" s="5" t="s">
        <v>36</v>
      </c>
      <c r="C132" s="5"/>
      <c r="D132" s="4"/>
      <c r="E132" s="6"/>
      <c r="F132" s="6"/>
      <c r="G132" s="6"/>
      <c r="H132" s="6"/>
      <c r="I132" s="7"/>
      <c r="J132" s="7"/>
      <c r="K132" s="3"/>
      <c r="L132" s="3"/>
      <c r="M132" s="3"/>
      <c r="N132" s="3"/>
      <c r="O132" s="3"/>
      <c r="P132" s="3"/>
      <c r="Q132" s="3"/>
      <c r="R132" s="15"/>
      <c r="S132" s="6"/>
      <c r="T132" s="6"/>
      <c r="U132" s="6"/>
      <c r="V132" s="6"/>
      <c r="W132" s="11"/>
      <c r="X132" s="6"/>
      <c r="Y132" s="6"/>
      <c r="Z132" s="6"/>
      <c r="AA132" s="6"/>
      <c r="AB132" s="8"/>
      <c r="AC132" s="8"/>
      <c r="AD132" s="6"/>
      <c r="AE132" s="6"/>
      <c r="AF132" s="9"/>
    </row>
    <row r="133" spans="1:32" s="10" customFormat="1" ht="16.5" x14ac:dyDescent="0.25">
      <c r="A133" s="3">
        <v>118</v>
      </c>
      <c r="B133" s="5" t="s">
        <v>36</v>
      </c>
      <c r="C133" s="5"/>
      <c r="D133" s="4"/>
      <c r="E133" s="6"/>
      <c r="F133" s="6"/>
      <c r="G133" s="6"/>
      <c r="H133" s="6"/>
      <c r="I133" s="7"/>
      <c r="J133" s="7"/>
      <c r="K133" s="3"/>
      <c r="L133" s="3"/>
      <c r="M133" s="3"/>
      <c r="N133" s="3"/>
      <c r="O133" s="3"/>
      <c r="P133" s="3"/>
      <c r="Q133" s="3"/>
      <c r="R133" s="15"/>
      <c r="S133" s="6"/>
      <c r="T133" s="6"/>
      <c r="U133" s="6"/>
      <c r="V133" s="6"/>
      <c r="W133" s="11"/>
      <c r="X133" s="6"/>
      <c r="Y133" s="6"/>
      <c r="Z133" s="6"/>
      <c r="AA133" s="6"/>
      <c r="AB133" s="8"/>
      <c r="AC133" s="8"/>
      <c r="AD133" s="6"/>
      <c r="AE133" s="6"/>
      <c r="AF133" s="9"/>
    </row>
    <row r="134" spans="1:32" s="10" customFormat="1" ht="16.5" x14ac:dyDescent="0.25">
      <c r="A134" s="3">
        <v>119</v>
      </c>
      <c r="B134" s="5" t="s">
        <v>36</v>
      </c>
      <c r="C134" s="5"/>
      <c r="D134" s="4"/>
      <c r="E134" s="6"/>
      <c r="F134" s="6"/>
      <c r="G134" s="6"/>
      <c r="H134" s="6"/>
      <c r="I134" s="7"/>
      <c r="J134" s="7"/>
      <c r="K134" s="3"/>
      <c r="L134" s="3"/>
      <c r="M134" s="3"/>
      <c r="N134" s="3"/>
      <c r="O134" s="3"/>
      <c r="P134" s="3"/>
      <c r="Q134" s="3"/>
      <c r="R134" s="15"/>
      <c r="S134" s="6"/>
      <c r="T134" s="6"/>
      <c r="U134" s="6"/>
      <c r="V134" s="6"/>
      <c r="W134" s="11"/>
      <c r="X134" s="6"/>
      <c r="Y134" s="6"/>
      <c r="Z134" s="6"/>
      <c r="AA134" s="6"/>
      <c r="AB134" s="8"/>
      <c r="AC134" s="8"/>
      <c r="AD134" s="6"/>
      <c r="AE134" s="6"/>
      <c r="AF134" s="9"/>
    </row>
    <row r="135" spans="1:32" s="10" customFormat="1" ht="16.5" x14ac:dyDescent="0.25">
      <c r="A135" s="3">
        <v>120</v>
      </c>
      <c r="B135" s="5" t="s">
        <v>36</v>
      </c>
      <c r="C135" s="5"/>
      <c r="D135" s="4"/>
      <c r="E135" s="6"/>
      <c r="F135" s="6"/>
      <c r="G135" s="6"/>
      <c r="H135" s="6"/>
      <c r="I135" s="7"/>
      <c r="J135" s="7"/>
      <c r="K135" s="3"/>
      <c r="L135" s="3"/>
      <c r="M135" s="3"/>
      <c r="N135" s="3"/>
      <c r="O135" s="3"/>
      <c r="P135" s="3"/>
      <c r="Q135" s="3"/>
      <c r="R135" s="15"/>
      <c r="S135" s="6"/>
      <c r="T135" s="6"/>
      <c r="U135" s="6"/>
      <c r="V135" s="6"/>
      <c r="W135" s="11"/>
      <c r="X135" s="6"/>
      <c r="Y135" s="6"/>
      <c r="Z135" s="6"/>
      <c r="AA135" s="6"/>
      <c r="AB135" s="8"/>
      <c r="AC135" s="8"/>
      <c r="AD135" s="6"/>
      <c r="AE135" s="6"/>
      <c r="AF135" s="9"/>
    </row>
    <row r="136" spans="1:32" s="10" customFormat="1" ht="16.5" x14ac:dyDescent="0.25">
      <c r="A136" s="3">
        <v>121</v>
      </c>
      <c r="B136" s="5" t="s">
        <v>36</v>
      </c>
      <c r="C136" s="5"/>
      <c r="D136" s="4"/>
      <c r="E136" s="6"/>
      <c r="F136" s="6"/>
      <c r="G136" s="6"/>
      <c r="H136" s="6"/>
      <c r="I136" s="7"/>
      <c r="J136" s="7"/>
      <c r="K136" s="3"/>
      <c r="L136" s="3"/>
      <c r="M136" s="3"/>
      <c r="N136" s="3"/>
      <c r="O136" s="3"/>
      <c r="P136" s="3"/>
      <c r="Q136" s="3"/>
      <c r="R136" s="15"/>
      <c r="S136" s="6"/>
      <c r="T136" s="6"/>
      <c r="U136" s="6"/>
      <c r="V136" s="6"/>
      <c r="W136" s="11"/>
      <c r="X136" s="6"/>
      <c r="Y136" s="6"/>
      <c r="Z136" s="6"/>
      <c r="AA136" s="6"/>
      <c r="AB136" s="8"/>
      <c r="AC136" s="8"/>
      <c r="AD136" s="6"/>
      <c r="AE136" s="6"/>
      <c r="AF136" s="9"/>
    </row>
    <row r="137" spans="1:32" s="10" customFormat="1" ht="16.5" x14ac:dyDescent="0.25">
      <c r="A137" s="3">
        <v>122</v>
      </c>
      <c r="B137" s="5" t="s">
        <v>36</v>
      </c>
      <c r="C137" s="5"/>
      <c r="D137" s="4"/>
      <c r="E137" s="6"/>
      <c r="F137" s="6"/>
      <c r="G137" s="6"/>
      <c r="H137" s="6"/>
      <c r="I137" s="7"/>
      <c r="J137" s="7"/>
      <c r="K137" s="3"/>
      <c r="L137" s="3"/>
      <c r="M137" s="3"/>
      <c r="N137" s="3"/>
      <c r="O137" s="3"/>
      <c r="P137" s="3"/>
      <c r="Q137" s="3"/>
      <c r="R137" s="15"/>
      <c r="S137" s="6"/>
      <c r="T137" s="6"/>
      <c r="U137" s="6"/>
      <c r="V137" s="6"/>
      <c r="W137" s="11"/>
      <c r="X137" s="6"/>
      <c r="Y137" s="6"/>
      <c r="Z137" s="6"/>
      <c r="AA137" s="6"/>
      <c r="AB137" s="8"/>
      <c r="AC137" s="8"/>
      <c r="AD137" s="6"/>
      <c r="AE137" s="6"/>
      <c r="AF137" s="9"/>
    </row>
    <row r="138" spans="1:32" s="10" customFormat="1" ht="16.5" x14ac:dyDescent="0.25">
      <c r="A138" s="3">
        <v>123</v>
      </c>
      <c r="B138" s="5" t="s">
        <v>36</v>
      </c>
      <c r="C138" s="5"/>
      <c r="D138" s="4"/>
      <c r="E138" s="6"/>
      <c r="F138" s="6"/>
      <c r="G138" s="6"/>
      <c r="H138" s="6"/>
      <c r="I138" s="7"/>
      <c r="J138" s="7"/>
      <c r="K138" s="3"/>
      <c r="L138" s="3"/>
      <c r="M138" s="3"/>
      <c r="N138" s="3"/>
      <c r="O138" s="3"/>
      <c r="P138" s="3"/>
      <c r="Q138" s="3"/>
      <c r="R138" s="15"/>
      <c r="S138" s="6"/>
      <c r="T138" s="6"/>
      <c r="U138" s="6"/>
      <c r="V138" s="6"/>
      <c r="W138" s="11"/>
      <c r="X138" s="6"/>
      <c r="Y138" s="6"/>
      <c r="Z138" s="6"/>
      <c r="AA138" s="6"/>
      <c r="AB138" s="8"/>
      <c r="AC138" s="8"/>
      <c r="AD138" s="6"/>
      <c r="AE138" s="6"/>
      <c r="AF138" s="9"/>
    </row>
    <row r="139" spans="1:32" s="10" customFormat="1" ht="16.5" x14ac:dyDescent="0.25">
      <c r="A139" s="3">
        <v>124</v>
      </c>
      <c r="B139" s="5" t="s">
        <v>36</v>
      </c>
      <c r="C139" s="5"/>
      <c r="D139" s="4"/>
      <c r="E139" s="6"/>
      <c r="F139" s="6"/>
      <c r="G139" s="6"/>
      <c r="H139" s="6"/>
      <c r="I139" s="7"/>
      <c r="J139" s="7"/>
      <c r="K139" s="3"/>
      <c r="L139" s="3"/>
      <c r="M139" s="3"/>
      <c r="N139" s="3"/>
      <c r="O139" s="3"/>
      <c r="P139" s="3"/>
      <c r="Q139" s="3"/>
      <c r="R139" s="15"/>
      <c r="S139" s="6"/>
      <c r="T139" s="6"/>
      <c r="U139" s="6"/>
      <c r="V139" s="6"/>
      <c r="W139" s="11"/>
      <c r="X139" s="6"/>
      <c r="Y139" s="6"/>
      <c r="Z139" s="6"/>
      <c r="AA139" s="6"/>
      <c r="AB139" s="8"/>
      <c r="AC139" s="8"/>
      <c r="AD139" s="6"/>
      <c r="AE139" s="6"/>
      <c r="AF139" s="9"/>
    </row>
    <row r="140" spans="1:32" s="10" customFormat="1" ht="16.5" x14ac:dyDescent="0.25">
      <c r="A140" s="3">
        <v>125</v>
      </c>
      <c r="B140" s="5" t="s">
        <v>36</v>
      </c>
      <c r="C140" s="5"/>
      <c r="D140" s="4"/>
      <c r="E140" s="6"/>
      <c r="F140" s="6"/>
      <c r="G140" s="6"/>
      <c r="H140" s="6"/>
      <c r="I140" s="7"/>
      <c r="J140" s="7"/>
      <c r="K140" s="3"/>
      <c r="L140" s="3"/>
      <c r="M140" s="3"/>
      <c r="N140" s="3"/>
      <c r="O140" s="3"/>
      <c r="P140" s="3"/>
      <c r="Q140" s="3"/>
      <c r="R140" s="15"/>
      <c r="S140" s="6"/>
      <c r="T140" s="6"/>
      <c r="U140" s="6"/>
      <c r="V140" s="6"/>
      <c r="W140" s="11"/>
      <c r="X140" s="6"/>
      <c r="Y140" s="6"/>
      <c r="Z140" s="6"/>
      <c r="AA140" s="6"/>
      <c r="AB140" s="8"/>
      <c r="AC140" s="8"/>
      <c r="AD140" s="6"/>
      <c r="AE140" s="6"/>
      <c r="AF140" s="9"/>
    </row>
    <row r="141" spans="1:32" s="10" customFormat="1" ht="16.5" x14ac:dyDescent="0.25">
      <c r="A141" s="3">
        <v>126</v>
      </c>
      <c r="B141" s="5" t="s">
        <v>36</v>
      </c>
      <c r="C141" s="5"/>
      <c r="D141" s="4"/>
      <c r="E141" s="6"/>
      <c r="F141" s="6"/>
      <c r="G141" s="6"/>
      <c r="H141" s="6"/>
      <c r="I141" s="7"/>
      <c r="J141" s="7"/>
      <c r="K141" s="3"/>
      <c r="L141" s="3"/>
      <c r="M141" s="3"/>
      <c r="N141" s="3"/>
      <c r="O141" s="3"/>
      <c r="P141" s="3"/>
      <c r="Q141" s="3"/>
      <c r="R141" s="15"/>
      <c r="S141" s="6"/>
      <c r="T141" s="6"/>
      <c r="U141" s="6"/>
      <c r="V141" s="6"/>
      <c r="W141" s="11"/>
      <c r="X141" s="6"/>
      <c r="Y141" s="6"/>
      <c r="Z141" s="6"/>
      <c r="AA141" s="6"/>
      <c r="AB141" s="8"/>
      <c r="AC141" s="8"/>
      <c r="AD141" s="6"/>
      <c r="AE141" s="6"/>
      <c r="AF141" s="9"/>
    </row>
    <row r="142" spans="1:32" s="10" customFormat="1" ht="16.5" x14ac:dyDescent="0.25">
      <c r="A142" s="3">
        <v>127</v>
      </c>
      <c r="B142" s="5" t="s">
        <v>36</v>
      </c>
      <c r="C142" s="5"/>
      <c r="D142" s="4"/>
      <c r="E142" s="6"/>
      <c r="F142" s="6"/>
      <c r="G142" s="6"/>
      <c r="H142" s="6"/>
      <c r="I142" s="7"/>
      <c r="J142" s="7"/>
      <c r="K142" s="3"/>
      <c r="L142" s="3"/>
      <c r="M142" s="3"/>
      <c r="N142" s="3"/>
      <c r="O142" s="3"/>
      <c r="P142" s="3"/>
      <c r="Q142" s="3"/>
      <c r="R142" s="15"/>
      <c r="S142" s="6"/>
      <c r="T142" s="6"/>
      <c r="U142" s="6"/>
      <c r="V142" s="6"/>
      <c r="W142" s="11"/>
      <c r="X142" s="6"/>
      <c r="Y142" s="6"/>
      <c r="Z142" s="6"/>
      <c r="AA142" s="6"/>
      <c r="AB142" s="8"/>
      <c r="AC142" s="8"/>
      <c r="AD142" s="6"/>
      <c r="AE142" s="6"/>
      <c r="AF142" s="9"/>
    </row>
    <row r="143" spans="1:32" s="10" customFormat="1" ht="16.5" x14ac:dyDescent="0.25">
      <c r="A143" s="3">
        <v>128</v>
      </c>
      <c r="B143" s="5" t="s">
        <v>36</v>
      </c>
      <c r="C143" s="5"/>
      <c r="D143" s="4"/>
      <c r="E143" s="6"/>
      <c r="F143" s="6"/>
      <c r="G143" s="6"/>
      <c r="H143" s="6"/>
      <c r="I143" s="7"/>
      <c r="J143" s="7"/>
      <c r="K143" s="3"/>
      <c r="L143" s="3"/>
      <c r="M143" s="3"/>
      <c r="N143" s="3"/>
      <c r="O143" s="3"/>
      <c r="P143" s="3"/>
      <c r="Q143" s="3"/>
      <c r="R143" s="15"/>
      <c r="S143" s="6"/>
      <c r="T143" s="6"/>
      <c r="U143" s="6"/>
      <c r="V143" s="6"/>
      <c r="W143" s="11"/>
      <c r="X143" s="6"/>
      <c r="Y143" s="6"/>
      <c r="Z143" s="6"/>
      <c r="AA143" s="6"/>
      <c r="AB143" s="8"/>
      <c r="AC143" s="8"/>
      <c r="AD143" s="6"/>
      <c r="AE143" s="6"/>
      <c r="AF143" s="9"/>
    </row>
    <row r="144" spans="1:32" s="10" customFormat="1" ht="16.5" x14ac:dyDescent="0.25">
      <c r="A144" s="3">
        <v>129</v>
      </c>
      <c r="B144" s="5" t="s">
        <v>36</v>
      </c>
      <c r="C144" s="5"/>
      <c r="D144" s="4"/>
      <c r="E144" s="6"/>
      <c r="F144" s="6"/>
      <c r="G144" s="6"/>
      <c r="H144" s="6"/>
      <c r="I144" s="7"/>
      <c r="J144" s="7"/>
      <c r="K144" s="3"/>
      <c r="L144" s="3"/>
      <c r="M144" s="3"/>
      <c r="N144" s="3"/>
      <c r="O144" s="3"/>
      <c r="P144" s="3"/>
      <c r="Q144" s="3"/>
      <c r="R144" s="15"/>
      <c r="S144" s="6"/>
      <c r="T144" s="6"/>
      <c r="U144" s="6"/>
      <c r="V144" s="6"/>
      <c r="W144" s="11"/>
      <c r="X144" s="6"/>
      <c r="Y144" s="6"/>
      <c r="Z144" s="6"/>
      <c r="AA144" s="6"/>
      <c r="AB144" s="8"/>
      <c r="AC144" s="8"/>
      <c r="AD144" s="6"/>
      <c r="AE144" s="6"/>
      <c r="AF144" s="9"/>
    </row>
    <row r="145" spans="1:32" s="10" customFormat="1" ht="16.5" x14ac:dyDescent="0.25">
      <c r="A145" s="3">
        <v>130</v>
      </c>
      <c r="B145" s="5" t="s">
        <v>36</v>
      </c>
      <c r="C145" s="5"/>
      <c r="D145" s="4"/>
      <c r="E145" s="6"/>
      <c r="F145" s="6"/>
      <c r="G145" s="6"/>
      <c r="H145" s="6"/>
      <c r="I145" s="7"/>
      <c r="J145" s="7"/>
      <c r="K145" s="3"/>
      <c r="L145" s="3"/>
      <c r="M145" s="3"/>
      <c r="N145" s="3"/>
      <c r="O145" s="3"/>
      <c r="P145" s="3"/>
      <c r="Q145" s="3"/>
      <c r="R145" s="15"/>
      <c r="S145" s="6"/>
      <c r="T145" s="6"/>
      <c r="U145" s="6"/>
      <c r="V145" s="6"/>
      <c r="W145" s="11"/>
      <c r="X145" s="6"/>
      <c r="Y145" s="6"/>
      <c r="Z145" s="6"/>
      <c r="AA145" s="6"/>
      <c r="AB145" s="8"/>
      <c r="AC145" s="8"/>
      <c r="AD145" s="6"/>
      <c r="AE145" s="6"/>
      <c r="AF145" s="9"/>
    </row>
    <row r="146" spans="1:32" ht="16.5" x14ac:dyDescent="0.25">
      <c r="A146" s="12"/>
      <c r="B146" s="73" t="s">
        <v>706</v>
      </c>
      <c r="C146" s="74"/>
      <c r="D146" s="74"/>
      <c r="E146" s="74"/>
      <c r="F146" s="74"/>
      <c r="G146" s="74"/>
      <c r="H146" s="75"/>
      <c r="I146" s="13"/>
      <c r="J146" s="13"/>
      <c r="K146" s="14">
        <f ca="1">COUNTIF(K145:K146,"CQ")+COUNTIF(K27:K145,"CN")+COUNTIF(K145,"TK")</f>
        <v>0</v>
      </c>
      <c r="L146" s="14">
        <f ca="1">COUNTIF(L27:L145,"CMĐ")</f>
        <v>8</v>
      </c>
      <c r="M146" s="14">
        <f>COUNTIF(M145,"XMDT")+COUNTIF(M145,"Mốc")</f>
        <v>0</v>
      </c>
      <c r="N146" s="14">
        <f>COUNTIF(N145,"THÁn")</f>
        <v>0</v>
      </c>
      <c r="O146" s="14">
        <f>COUNTIF(O145,"TÒA")</f>
        <v>0</v>
      </c>
      <c r="P146" s="14" t="e">
        <f>COUNTIF(#REF!,"Cấp GCN")</f>
        <v>#REF!</v>
      </c>
      <c r="Q146" s="14" t="e">
        <f>COUNTIF(#REF!,"SHN")</f>
        <v>#REF!</v>
      </c>
      <c r="R146" s="15"/>
      <c r="S146" s="13"/>
      <c r="T146" s="15"/>
      <c r="U146" s="15"/>
      <c r="V146" s="16"/>
      <c r="W146" s="11"/>
      <c r="X146" s="17"/>
      <c r="Y146" s="2"/>
      <c r="AE146" s="14">
        <f>COUNTIF(AE145,"kt")</f>
        <v>0</v>
      </c>
    </row>
  </sheetData>
  <mergeCells count="15">
    <mergeCell ref="A1:AD1"/>
    <mergeCell ref="B5:H5"/>
    <mergeCell ref="B18:H18"/>
    <mergeCell ref="B146:H146"/>
    <mergeCell ref="B39:H39"/>
    <mergeCell ref="B44:H44"/>
    <mergeCell ref="B47:H47"/>
    <mergeCell ref="B55:H55"/>
    <mergeCell ref="B65:H65"/>
    <mergeCell ref="B68:H68"/>
    <mergeCell ref="B76:H76"/>
    <mergeCell ref="B79:H79"/>
    <mergeCell ref="B84:H84"/>
    <mergeCell ref="B87:H87"/>
    <mergeCell ref="B89:H89"/>
  </mergeCells>
  <phoneticPr fontId="4" type="noConversion"/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P1-HTH</vt:lpstr>
      <vt:lpstr>P3-TTH</vt:lpstr>
      <vt:lpstr>P4-CRL</vt:lpstr>
      <vt:lpstr>P5-HH</vt:lpstr>
      <vt:lpstr>P8-VL</vt:lpstr>
      <vt:lpstr>P9-VTI</vt:lpstr>
      <vt:lpstr>TAN-TL</vt:lpstr>
      <vt:lpstr>TNGAI-HTI</vt:lpstr>
      <vt:lpstr>THOA-RCTH</vt:lpstr>
      <vt:lpstr>Giao Tách thửa CN</vt:lpstr>
      <vt:lpstr>Năm 2025 - ĐĐ</vt:lpstr>
      <vt:lpstr>THOI-VH</vt:lpstr>
      <vt:lpstr>Sheet1</vt:lpstr>
      <vt:lpstr>'P1-HTH'!Print_Titles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BaoSDD</cp:lastModifiedBy>
  <cp:lastPrinted>2024-10-10T02:54:55Z</cp:lastPrinted>
  <dcterms:created xsi:type="dcterms:W3CDTF">2022-12-21T13:30:28Z</dcterms:created>
  <dcterms:modified xsi:type="dcterms:W3CDTF">2025-07-17T10:34:01Z</dcterms:modified>
</cp:coreProperties>
</file>